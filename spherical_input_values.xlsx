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hai\Documents\PHD\Research\3rd ppr\"/>
    </mc:Choice>
  </mc:AlternateContent>
  <xr:revisionPtr revIDLastSave="0" documentId="13_ncr:1_{48CC5D2E-55B0-4E52-8C80-3FAF834CCDEF}" xr6:coauthVersionLast="47" xr6:coauthVersionMax="47" xr10:uidLastSave="{00000000-0000-0000-0000-000000000000}"/>
  <bookViews>
    <workbookView xWindow="-108" yWindow="-108" windowWidth="23256" windowHeight="13896" xr2:uid="{6CA3746D-E426-4621-A733-7FECB9200D69}"/>
  </bookViews>
  <sheets>
    <sheet name="Cost" sheetId="1" r:id="rId1"/>
    <sheet name="Time" sheetId="2" r:id="rId2"/>
    <sheet name="Constraints" sheetId="3" r:id="rId3"/>
    <sheet name="sensitivity" sheetId="4" r:id="rId4"/>
    <sheet name="Sheet3" sheetId="7" r:id="rId5"/>
    <sheet name="Sheet1" sheetId="5" r:id="rId6"/>
    <sheet name="Sheet2" sheetId="6" r:id="rId7"/>
    <sheet name="mixed graph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9" i="2" l="1"/>
  <c r="M169" i="2"/>
  <c r="N169" i="2" s="1"/>
  <c r="R169" i="2" s="1"/>
  <c r="P169" i="2"/>
  <c r="Q169" i="2" s="1"/>
  <c r="L170" i="2"/>
  <c r="M170" i="2"/>
  <c r="P170" i="2"/>
  <c r="Q170" i="2"/>
  <c r="L171" i="2"/>
  <c r="N171" i="2" s="1"/>
  <c r="R171" i="2" s="1"/>
  <c r="M171" i="2"/>
  <c r="P171" i="2"/>
  <c r="Q171" i="2" s="1"/>
  <c r="L172" i="2"/>
  <c r="M172" i="2"/>
  <c r="P172" i="2"/>
  <c r="Q172" i="2"/>
  <c r="L173" i="2"/>
  <c r="M173" i="2"/>
  <c r="N173" i="2"/>
  <c r="R173" i="2" s="1"/>
  <c r="P173" i="2"/>
  <c r="Q173" i="2" s="1"/>
  <c r="L174" i="2"/>
  <c r="M174" i="2"/>
  <c r="P174" i="2"/>
  <c r="Q174" i="2"/>
  <c r="L175" i="2"/>
  <c r="M175" i="2"/>
  <c r="N175" i="2"/>
  <c r="R175" i="2" s="1"/>
  <c r="P175" i="2"/>
  <c r="Q175" i="2" s="1"/>
  <c r="L176" i="2"/>
  <c r="M176" i="2"/>
  <c r="N176" i="2"/>
  <c r="P176" i="2"/>
  <c r="Q176" i="2"/>
  <c r="R176" i="2"/>
  <c r="L177" i="2"/>
  <c r="M177" i="2"/>
  <c r="N177" i="2" s="1"/>
  <c r="R177" i="2" s="1"/>
  <c r="P177" i="2"/>
  <c r="Q177" i="2"/>
  <c r="L178" i="2"/>
  <c r="M178" i="2"/>
  <c r="P178" i="2"/>
  <c r="Q178" i="2"/>
  <c r="L179" i="2"/>
  <c r="N179" i="2" s="1"/>
  <c r="R179" i="2" s="1"/>
  <c r="M179" i="2"/>
  <c r="P179" i="2"/>
  <c r="Q179" i="2" s="1"/>
  <c r="L180" i="2"/>
  <c r="N180" i="2" s="1"/>
  <c r="R180" i="2" s="1"/>
  <c r="M180" i="2"/>
  <c r="P180" i="2"/>
  <c r="Q180" i="2"/>
  <c r="L181" i="2"/>
  <c r="M181" i="2"/>
  <c r="N181" i="2"/>
  <c r="P181" i="2"/>
  <c r="Q181" i="2"/>
  <c r="R181" i="2"/>
  <c r="L182" i="2"/>
  <c r="M182" i="2"/>
  <c r="P182" i="2"/>
  <c r="Q182" i="2" s="1"/>
  <c r="L183" i="2"/>
  <c r="M183" i="2"/>
  <c r="N183" i="2"/>
  <c r="R183" i="2" s="1"/>
  <c r="P183" i="2"/>
  <c r="Q183" i="2" s="1"/>
  <c r="L184" i="2"/>
  <c r="M184" i="2"/>
  <c r="N184" i="2"/>
  <c r="R184" i="2" s="1"/>
  <c r="P184" i="2"/>
  <c r="Q184" i="2"/>
  <c r="L185" i="2"/>
  <c r="N185" i="2" s="1"/>
  <c r="R185" i="2" s="1"/>
  <c r="M185" i="2"/>
  <c r="P185" i="2"/>
  <c r="Q185" i="2"/>
  <c r="L186" i="2"/>
  <c r="N186" i="2" s="1"/>
  <c r="R186" i="2" s="1"/>
  <c r="M186" i="2"/>
  <c r="P186" i="2"/>
  <c r="Q186" i="2"/>
  <c r="L187" i="2"/>
  <c r="M187" i="2"/>
  <c r="N187" i="2"/>
  <c r="R187" i="2" s="1"/>
  <c r="P187" i="2"/>
  <c r="Q187" i="2" s="1"/>
  <c r="L188" i="2"/>
  <c r="M188" i="2"/>
  <c r="N188" i="2"/>
  <c r="P188" i="2"/>
  <c r="Q188" i="2"/>
  <c r="R188" i="2"/>
  <c r="L189" i="2"/>
  <c r="M189" i="2"/>
  <c r="N189" i="2"/>
  <c r="P189" i="2"/>
  <c r="Q189" i="2"/>
  <c r="R189" i="2"/>
  <c r="L190" i="2"/>
  <c r="M190" i="2"/>
  <c r="P190" i="2"/>
  <c r="Q190" i="2" s="1"/>
  <c r="P168" i="2"/>
  <c r="Q168" i="2" s="1"/>
  <c r="M168" i="2"/>
  <c r="L168" i="2"/>
  <c r="P167" i="2"/>
  <c r="Q167" i="2" s="1"/>
  <c r="M167" i="2"/>
  <c r="L167" i="2"/>
  <c r="N167" i="2" s="1"/>
  <c r="R167" i="2" s="1"/>
  <c r="L155" i="2"/>
  <c r="K155" i="2"/>
  <c r="M155" i="2" s="1"/>
  <c r="Q155" i="2" s="1"/>
  <c r="O156" i="2"/>
  <c r="P156" i="2" s="1"/>
  <c r="L156" i="2"/>
  <c r="K156" i="2"/>
  <c r="M156" i="2" s="1"/>
  <c r="Q156" i="2" s="1"/>
  <c r="O155" i="2"/>
  <c r="P155" i="2" s="1"/>
  <c r="W209" i="7"/>
  <c r="W211" i="7"/>
  <c r="AC312" i="7"/>
  <c r="AC310" i="7"/>
  <c r="AC306" i="7"/>
  <c r="AC304" i="7"/>
  <c r="AB312" i="7"/>
  <c r="AA312" i="7"/>
  <c r="Z312" i="7"/>
  <c r="Y312" i="7"/>
  <c r="X312" i="7"/>
  <c r="AB310" i="7"/>
  <c r="AA310" i="7"/>
  <c r="Z310" i="7"/>
  <c r="Y310" i="7"/>
  <c r="X310" i="7"/>
  <c r="AB306" i="7"/>
  <c r="AA306" i="7"/>
  <c r="Z306" i="7"/>
  <c r="Y306" i="7"/>
  <c r="X306" i="7"/>
  <c r="AB304" i="7"/>
  <c r="AA304" i="7"/>
  <c r="Z304" i="7"/>
  <c r="Y304" i="7"/>
  <c r="X304" i="7"/>
  <c r="AB248" i="7"/>
  <c r="AA248" i="7"/>
  <c r="Z248" i="7"/>
  <c r="Y248" i="7"/>
  <c r="X248" i="7"/>
  <c r="AB246" i="7"/>
  <c r="AA246" i="7"/>
  <c r="Z246" i="7"/>
  <c r="Y246" i="7"/>
  <c r="X246" i="7"/>
  <c r="AB242" i="7"/>
  <c r="AA242" i="7"/>
  <c r="Z242" i="7"/>
  <c r="Y242" i="7"/>
  <c r="X242" i="7"/>
  <c r="AB240" i="7"/>
  <c r="AA240" i="7"/>
  <c r="Z240" i="7"/>
  <c r="Y240" i="7"/>
  <c r="X240" i="7"/>
  <c r="AA211" i="7"/>
  <c r="Z211" i="7"/>
  <c r="Y211" i="7"/>
  <c r="X211" i="7"/>
  <c r="AA209" i="7"/>
  <c r="Z209" i="7"/>
  <c r="Y209" i="7"/>
  <c r="X209" i="7"/>
  <c r="AA205" i="7"/>
  <c r="Z205" i="7"/>
  <c r="Y205" i="7"/>
  <c r="X205" i="7"/>
  <c r="W205" i="7"/>
  <c r="AA203" i="7"/>
  <c r="Z203" i="7"/>
  <c r="Y203" i="7"/>
  <c r="X203" i="7"/>
  <c r="W203" i="7"/>
  <c r="AA191" i="7"/>
  <c r="Z191" i="7"/>
  <c r="Y191" i="7"/>
  <c r="X191" i="7"/>
  <c r="W191" i="7"/>
  <c r="AA189" i="7"/>
  <c r="Z189" i="7"/>
  <c r="Y189" i="7"/>
  <c r="X189" i="7"/>
  <c r="W189" i="7"/>
  <c r="AA185" i="7"/>
  <c r="Z185" i="7"/>
  <c r="Y185" i="7"/>
  <c r="X185" i="7"/>
  <c r="W185" i="7"/>
  <c r="AA183" i="7"/>
  <c r="Z183" i="7"/>
  <c r="Y183" i="7"/>
  <c r="X183" i="7"/>
  <c r="W183" i="7"/>
  <c r="AA172" i="7"/>
  <c r="Z172" i="7"/>
  <c r="Y172" i="7"/>
  <c r="X172" i="7"/>
  <c r="W172" i="7"/>
  <c r="AA170" i="7"/>
  <c r="Z170" i="7"/>
  <c r="Y170" i="7"/>
  <c r="X170" i="7"/>
  <c r="W170" i="7"/>
  <c r="AA166" i="7"/>
  <c r="Z166" i="7"/>
  <c r="Y166" i="7"/>
  <c r="X166" i="7"/>
  <c r="W166" i="7"/>
  <c r="AA164" i="7"/>
  <c r="Z164" i="7"/>
  <c r="Y164" i="7"/>
  <c r="X164" i="7"/>
  <c r="W164" i="7"/>
  <c r="Y146" i="7"/>
  <c r="X150" i="7"/>
  <c r="W144" i="7"/>
  <c r="AA152" i="7"/>
  <c r="Z152" i="7"/>
  <c r="Y152" i="7"/>
  <c r="X152" i="7"/>
  <c r="W152" i="7"/>
  <c r="AA150" i="7"/>
  <c r="Z150" i="7"/>
  <c r="Y150" i="7"/>
  <c r="W150" i="7"/>
  <c r="AA146" i="7"/>
  <c r="Z146" i="7"/>
  <c r="X146" i="7"/>
  <c r="W146" i="7"/>
  <c r="AA144" i="7"/>
  <c r="Z144" i="7"/>
  <c r="Y144" i="7"/>
  <c r="X144" i="7"/>
  <c r="AB132" i="7"/>
  <c r="AA132" i="7"/>
  <c r="Z132" i="7"/>
  <c r="Y132" i="7"/>
  <c r="X132" i="7"/>
  <c r="AB130" i="7"/>
  <c r="AA130" i="7"/>
  <c r="Z130" i="7"/>
  <c r="Y130" i="7"/>
  <c r="X130" i="7"/>
  <c r="AB126" i="7"/>
  <c r="AA126" i="7"/>
  <c r="Z126" i="7"/>
  <c r="Y126" i="7"/>
  <c r="X126" i="7"/>
  <c r="AB124" i="7"/>
  <c r="AA124" i="7"/>
  <c r="Z124" i="7"/>
  <c r="Y124" i="7"/>
  <c r="X124" i="7"/>
  <c r="X94" i="7"/>
  <c r="X102" i="7"/>
  <c r="X100" i="7"/>
  <c r="AB102" i="7"/>
  <c r="AA102" i="7"/>
  <c r="Z102" i="7"/>
  <c r="Y102" i="7"/>
  <c r="AB100" i="7"/>
  <c r="AA100" i="7"/>
  <c r="Z100" i="7"/>
  <c r="Y100" i="7"/>
  <c r="AB96" i="7"/>
  <c r="AA96" i="7"/>
  <c r="Z96" i="7"/>
  <c r="Y96" i="7"/>
  <c r="X96" i="7"/>
  <c r="AB94" i="7"/>
  <c r="AA94" i="7"/>
  <c r="Z94" i="7"/>
  <c r="Y94" i="7"/>
  <c r="AB65" i="7"/>
  <c r="AA65" i="7"/>
  <c r="Z65" i="7"/>
  <c r="Y65" i="7"/>
  <c r="X65" i="7"/>
  <c r="AB63" i="7"/>
  <c r="AA63" i="7"/>
  <c r="Z63" i="7"/>
  <c r="Y63" i="7"/>
  <c r="X63" i="7"/>
  <c r="AB59" i="7"/>
  <c r="AA59" i="7"/>
  <c r="Z59" i="7"/>
  <c r="Y59" i="7"/>
  <c r="X59" i="7"/>
  <c r="AB57" i="7"/>
  <c r="AA57" i="7"/>
  <c r="Z57" i="7"/>
  <c r="Y57" i="7"/>
  <c r="X57" i="7"/>
  <c r="AA28" i="7"/>
  <c r="Z28" i="7"/>
  <c r="Y28" i="7"/>
  <c r="X28" i="7"/>
  <c r="W28" i="7"/>
  <c r="AA26" i="7"/>
  <c r="Y26" i="7"/>
  <c r="X26" i="7"/>
  <c r="W26" i="7"/>
  <c r="Z26" i="7"/>
  <c r="AA22" i="7"/>
  <c r="Z22" i="7"/>
  <c r="Y22" i="7"/>
  <c r="X22" i="7"/>
  <c r="W22" i="7"/>
  <c r="AA20" i="7"/>
  <c r="Z20" i="7"/>
  <c r="Y20" i="7"/>
  <c r="X20" i="7"/>
  <c r="W20" i="7"/>
  <c r="I178" i="7"/>
  <c r="K374" i="7"/>
  <c r="N19" i="8"/>
  <c r="M19" i="8"/>
  <c r="L19" i="8"/>
  <c r="K19" i="8"/>
  <c r="J19" i="8"/>
  <c r="N17" i="8"/>
  <c r="M17" i="8"/>
  <c r="L17" i="8"/>
  <c r="K17" i="8"/>
  <c r="J17" i="8"/>
  <c r="N13" i="8"/>
  <c r="M13" i="8"/>
  <c r="L13" i="8"/>
  <c r="K13" i="8"/>
  <c r="J13" i="8"/>
  <c r="N11" i="8"/>
  <c r="M11" i="8"/>
  <c r="L11" i="8"/>
  <c r="K11" i="8"/>
  <c r="J11" i="8"/>
  <c r="W259" i="7"/>
  <c r="X259" i="7"/>
  <c r="Y259" i="7"/>
  <c r="Z259" i="7"/>
  <c r="AA259" i="7"/>
  <c r="W261" i="7"/>
  <c r="X261" i="7"/>
  <c r="Y261" i="7"/>
  <c r="Z261" i="7"/>
  <c r="AA261" i="7"/>
  <c r="W265" i="7"/>
  <c r="X265" i="7"/>
  <c r="Y265" i="7"/>
  <c r="Z265" i="7"/>
  <c r="AA265" i="7"/>
  <c r="W267" i="7"/>
  <c r="X267" i="7"/>
  <c r="Y267" i="7"/>
  <c r="Z267" i="7"/>
  <c r="AA267" i="7"/>
  <c r="K711" i="7"/>
  <c r="J711" i="7"/>
  <c r="I711" i="7"/>
  <c r="H711" i="7"/>
  <c r="G711" i="7"/>
  <c r="K709" i="7"/>
  <c r="J709" i="7"/>
  <c r="I709" i="7"/>
  <c r="H709" i="7"/>
  <c r="G709" i="7"/>
  <c r="K705" i="7"/>
  <c r="J705" i="7"/>
  <c r="I705" i="7"/>
  <c r="H705" i="7"/>
  <c r="G705" i="7"/>
  <c r="K703" i="7"/>
  <c r="J703" i="7"/>
  <c r="I703" i="7"/>
  <c r="H703" i="7"/>
  <c r="G703" i="7"/>
  <c r="K617" i="7"/>
  <c r="J617" i="7"/>
  <c r="I617" i="7"/>
  <c r="H617" i="7"/>
  <c r="G617" i="7"/>
  <c r="K615" i="7"/>
  <c r="J615" i="7"/>
  <c r="I615" i="7"/>
  <c r="H615" i="7"/>
  <c r="G615" i="7"/>
  <c r="K611" i="7"/>
  <c r="J611" i="7"/>
  <c r="I611" i="7"/>
  <c r="H611" i="7"/>
  <c r="G611" i="7"/>
  <c r="K609" i="7"/>
  <c r="J609" i="7"/>
  <c r="I609" i="7"/>
  <c r="H609" i="7"/>
  <c r="G609" i="7"/>
  <c r="K449" i="7"/>
  <c r="J449" i="7"/>
  <c r="I449" i="7"/>
  <c r="H449" i="7"/>
  <c r="G449" i="7"/>
  <c r="K447" i="7"/>
  <c r="J447" i="7"/>
  <c r="I447" i="7"/>
  <c r="H447" i="7"/>
  <c r="G447" i="7"/>
  <c r="K443" i="7"/>
  <c r="J443" i="7"/>
  <c r="I443" i="7"/>
  <c r="H443" i="7"/>
  <c r="G443" i="7"/>
  <c r="K441" i="7"/>
  <c r="J441" i="7"/>
  <c r="I441" i="7"/>
  <c r="H441" i="7"/>
  <c r="G441" i="7"/>
  <c r="J205" i="7"/>
  <c r="I205" i="7"/>
  <c r="H205" i="7"/>
  <c r="G205" i="7"/>
  <c r="F205" i="7"/>
  <c r="J203" i="7"/>
  <c r="I203" i="7"/>
  <c r="H203" i="7"/>
  <c r="G203" i="7"/>
  <c r="F203" i="7"/>
  <c r="J199" i="7"/>
  <c r="I199" i="7"/>
  <c r="H199" i="7"/>
  <c r="G199" i="7"/>
  <c r="F199" i="7"/>
  <c r="J197" i="7"/>
  <c r="I197" i="7"/>
  <c r="H197" i="7"/>
  <c r="G197" i="7"/>
  <c r="F197" i="7"/>
  <c r="I741" i="7"/>
  <c r="H741" i="7"/>
  <c r="G741" i="7"/>
  <c r="F741" i="7"/>
  <c r="E741" i="7"/>
  <c r="I739" i="7"/>
  <c r="H739" i="7"/>
  <c r="G739" i="7"/>
  <c r="F739" i="7"/>
  <c r="E739" i="7"/>
  <c r="I735" i="7"/>
  <c r="H735" i="7"/>
  <c r="G735" i="7"/>
  <c r="F735" i="7"/>
  <c r="E735" i="7"/>
  <c r="I733" i="7"/>
  <c r="H733" i="7"/>
  <c r="G733" i="7"/>
  <c r="F733" i="7"/>
  <c r="E733" i="7"/>
  <c r="I163" i="7"/>
  <c r="H163" i="7"/>
  <c r="G163" i="7"/>
  <c r="F163" i="7"/>
  <c r="E163" i="7"/>
  <c r="I161" i="7"/>
  <c r="H161" i="7"/>
  <c r="G161" i="7"/>
  <c r="F161" i="7"/>
  <c r="E161" i="7"/>
  <c r="I157" i="7"/>
  <c r="H157" i="7"/>
  <c r="G157" i="7"/>
  <c r="F157" i="7"/>
  <c r="E157" i="7"/>
  <c r="I155" i="7"/>
  <c r="H155" i="7"/>
  <c r="G155" i="7"/>
  <c r="F155" i="7"/>
  <c r="E155" i="7"/>
  <c r="I126" i="7"/>
  <c r="H126" i="7"/>
  <c r="G126" i="7"/>
  <c r="F126" i="7"/>
  <c r="E126" i="7"/>
  <c r="I124" i="7"/>
  <c r="H124" i="7"/>
  <c r="G124" i="7"/>
  <c r="F124" i="7"/>
  <c r="E124" i="7"/>
  <c r="I120" i="7"/>
  <c r="H120" i="7"/>
  <c r="G120" i="7"/>
  <c r="F120" i="7"/>
  <c r="E120" i="7"/>
  <c r="I118" i="7"/>
  <c r="H118" i="7"/>
  <c r="G118" i="7"/>
  <c r="F118" i="7"/>
  <c r="E118" i="7"/>
  <c r="H89" i="7"/>
  <c r="G89" i="7"/>
  <c r="F89" i="7"/>
  <c r="E89" i="7"/>
  <c r="D89" i="7"/>
  <c r="H87" i="7"/>
  <c r="G87" i="7"/>
  <c r="F87" i="7"/>
  <c r="E87" i="7"/>
  <c r="D87" i="7"/>
  <c r="H83" i="7"/>
  <c r="G83" i="7"/>
  <c r="F83" i="7"/>
  <c r="E83" i="7"/>
  <c r="D83" i="7"/>
  <c r="H81" i="7"/>
  <c r="G81" i="7"/>
  <c r="F81" i="7"/>
  <c r="E81" i="7"/>
  <c r="D81" i="7"/>
  <c r="H68" i="7"/>
  <c r="G68" i="7"/>
  <c r="F68" i="7"/>
  <c r="E68" i="7"/>
  <c r="D68" i="7"/>
  <c r="H66" i="7"/>
  <c r="G66" i="7"/>
  <c r="F66" i="7"/>
  <c r="E66" i="7"/>
  <c r="D66" i="7"/>
  <c r="H62" i="7"/>
  <c r="G62" i="7"/>
  <c r="F62" i="7"/>
  <c r="E62" i="7"/>
  <c r="D62" i="7"/>
  <c r="H60" i="7"/>
  <c r="G60" i="7"/>
  <c r="F60" i="7"/>
  <c r="E60" i="7"/>
  <c r="D60" i="7"/>
  <c r="H49" i="7"/>
  <c r="G49" i="7"/>
  <c r="F49" i="7"/>
  <c r="E49" i="7"/>
  <c r="D49" i="7"/>
  <c r="H47" i="7"/>
  <c r="G47" i="7"/>
  <c r="F47" i="7"/>
  <c r="E47" i="7"/>
  <c r="D47" i="7"/>
  <c r="H43" i="7"/>
  <c r="G43" i="7"/>
  <c r="F43" i="7"/>
  <c r="E43" i="7"/>
  <c r="D43" i="7"/>
  <c r="H41" i="7"/>
  <c r="G41" i="7"/>
  <c r="F41" i="7"/>
  <c r="E41" i="7"/>
  <c r="D41" i="7"/>
  <c r="F83" i="6"/>
  <c r="E74" i="6"/>
  <c r="F65" i="6"/>
  <c r="H28" i="7"/>
  <c r="G28" i="7"/>
  <c r="F28" i="7"/>
  <c r="E28" i="7"/>
  <c r="D28" i="7"/>
  <c r="H22" i="7"/>
  <c r="G22" i="7"/>
  <c r="F22" i="7"/>
  <c r="E22" i="7"/>
  <c r="D22" i="7"/>
  <c r="I731" i="7"/>
  <c r="H731" i="7"/>
  <c r="G731" i="7"/>
  <c r="F731" i="7"/>
  <c r="E731" i="7"/>
  <c r="I730" i="7"/>
  <c r="H730" i="7"/>
  <c r="G730" i="7"/>
  <c r="F730" i="7"/>
  <c r="E730" i="7"/>
  <c r="I729" i="7"/>
  <c r="H729" i="7"/>
  <c r="G729" i="7"/>
  <c r="F729" i="7"/>
  <c r="E729" i="7"/>
  <c r="I728" i="7"/>
  <c r="H728" i="7"/>
  <c r="G728" i="7"/>
  <c r="F728" i="7"/>
  <c r="E728" i="7"/>
  <c r="I727" i="7"/>
  <c r="H727" i="7"/>
  <c r="G727" i="7"/>
  <c r="F727" i="7"/>
  <c r="E727" i="7"/>
  <c r="I726" i="7"/>
  <c r="H726" i="7"/>
  <c r="G726" i="7"/>
  <c r="F726" i="7"/>
  <c r="E726" i="7"/>
  <c r="I725" i="7"/>
  <c r="H725" i="7"/>
  <c r="G725" i="7"/>
  <c r="F725" i="7"/>
  <c r="E725" i="7"/>
  <c r="I724" i="7"/>
  <c r="H724" i="7"/>
  <c r="G724" i="7"/>
  <c r="F724" i="7"/>
  <c r="E724" i="7"/>
  <c r="I723" i="7"/>
  <c r="H723" i="7"/>
  <c r="G723" i="7"/>
  <c r="F723" i="7"/>
  <c r="E723" i="7"/>
  <c r="I722" i="7"/>
  <c r="H722" i="7"/>
  <c r="G722" i="7"/>
  <c r="F722" i="7"/>
  <c r="E722" i="7"/>
  <c r="I721" i="7"/>
  <c r="H721" i="7"/>
  <c r="G721" i="7"/>
  <c r="F721" i="7"/>
  <c r="E721" i="7"/>
  <c r="I720" i="7"/>
  <c r="H720" i="7"/>
  <c r="G720" i="7"/>
  <c r="F720" i="7"/>
  <c r="E720" i="7"/>
  <c r="K701" i="7"/>
  <c r="J701" i="7"/>
  <c r="I701" i="7"/>
  <c r="H701" i="7"/>
  <c r="G701" i="7"/>
  <c r="K700" i="7"/>
  <c r="J700" i="7"/>
  <c r="I700" i="7"/>
  <c r="H700" i="7"/>
  <c r="G700" i="7"/>
  <c r="K699" i="7"/>
  <c r="J699" i="7"/>
  <c r="I699" i="7"/>
  <c r="H699" i="7"/>
  <c r="G699" i="7"/>
  <c r="K698" i="7"/>
  <c r="J698" i="7"/>
  <c r="I698" i="7"/>
  <c r="H698" i="7"/>
  <c r="G698" i="7"/>
  <c r="K697" i="7"/>
  <c r="J697" i="7"/>
  <c r="I697" i="7"/>
  <c r="H697" i="7"/>
  <c r="G697" i="7"/>
  <c r="K696" i="7"/>
  <c r="J696" i="7"/>
  <c r="I696" i="7"/>
  <c r="H696" i="7"/>
  <c r="G696" i="7"/>
  <c r="K695" i="7"/>
  <c r="J695" i="7"/>
  <c r="I695" i="7"/>
  <c r="H695" i="7"/>
  <c r="G695" i="7"/>
  <c r="K694" i="7"/>
  <c r="J694" i="7"/>
  <c r="I694" i="7"/>
  <c r="H694" i="7"/>
  <c r="G694" i="7"/>
  <c r="K693" i="7"/>
  <c r="J693" i="7"/>
  <c r="I693" i="7"/>
  <c r="H693" i="7"/>
  <c r="G693" i="7"/>
  <c r="K692" i="7"/>
  <c r="J692" i="7"/>
  <c r="I692" i="7"/>
  <c r="H692" i="7"/>
  <c r="G692" i="7"/>
  <c r="K691" i="7"/>
  <c r="J691" i="7"/>
  <c r="I691" i="7"/>
  <c r="H691" i="7"/>
  <c r="G691" i="7"/>
  <c r="K690" i="7"/>
  <c r="J690" i="7"/>
  <c r="I690" i="7"/>
  <c r="H690" i="7"/>
  <c r="G690" i="7"/>
  <c r="K689" i="7"/>
  <c r="J689" i="7"/>
  <c r="I689" i="7"/>
  <c r="H689" i="7"/>
  <c r="G689" i="7"/>
  <c r="K688" i="7"/>
  <c r="J688" i="7"/>
  <c r="I688" i="7"/>
  <c r="H688" i="7"/>
  <c r="G688" i="7"/>
  <c r="K687" i="7"/>
  <c r="J687" i="7"/>
  <c r="I687" i="7"/>
  <c r="H687" i="7"/>
  <c r="G687" i="7"/>
  <c r="K686" i="7"/>
  <c r="J686" i="7"/>
  <c r="I686" i="7"/>
  <c r="H686" i="7"/>
  <c r="G686" i="7"/>
  <c r="K685" i="7"/>
  <c r="J685" i="7"/>
  <c r="I685" i="7"/>
  <c r="H685" i="7"/>
  <c r="G685" i="7"/>
  <c r="K684" i="7"/>
  <c r="J684" i="7"/>
  <c r="I684" i="7"/>
  <c r="H684" i="7"/>
  <c r="G684" i="7"/>
  <c r="K683" i="7"/>
  <c r="J683" i="7"/>
  <c r="I683" i="7"/>
  <c r="H683" i="7"/>
  <c r="G683" i="7"/>
  <c r="K682" i="7"/>
  <c r="J682" i="7"/>
  <c r="I682" i="7"/>
  <c r="H682" i="7"/>
  <c r="G682" i="7"/>
  <c r="K681" i="7"/>
  <c r="J681" i="7"/>
  <c r="I681" i="7"/>
  <c r="H681" i="7"/>
  <c r="G681" i="7"/>
  <c r="K680" i="7"/>
  <c r="J680" i="7"/>
  <c r="I680" i="7"/>
  <c r="H680" i="7"/>
  <c r="G680" i="7"/>
  <c r="K679" i="7"/>
  <c r="J679" i="7"/>
  <c r="I679" i="7"/>
  <c r="H679" i="7"/>
  <c r="G679" i="7"/>
  <c r="K678" i="7"/>
  <c r="J678" i="7"/>
  <c r="I678" i="7"/>
  <c r="H678" i="7"/>
  <c r="G678" i="7"/>
  <c r="K677" i="7"/>
  <c r="J677" i="7"/>
  <c r="I677" i="7"/>
  <c r="H677" i="7"/>
  <c r="G677" i="7"/>
  <c r="K676" i="7"/>
  <c r="J676" i="7"/>
  <c r="I676" i="7"/>
  <c r="H676" i="7"/>
  <c r="G676" i="7"/>
  <c r="K675" i="7"/>
  <c r="J675" i="7"/>
  <c r="I675" i="7"/>
  <c r="H675" i="7"/>
  <c r="G675" i="7"/>
  <c r="K674" i="7"/>
  <c r="J674" i="7"/>
  <c r="I674" i="7"/>
  <c r="H674" i="7"/>
  <c r="G674" i="7"/>
  <c r="K673" i="7"/>
  <c r="J673" i="7"/>
  <c r="I673" i="7"/>
  <c r="H673" i="7"/>
  <c r="G673" i="7"/>
  <c r="K672" i="7"/>
  <c r="J672" i="7"/>
  <c r="I672" i="7"/>
  <c r="H672" i="7"/>
  <c r="G672" i="7"/>
  <c r="K671" i="7"/>
  <c r="J671" i="7"/>
  <c r="I671" i="7"/>
  <c r="H671" i="7"/>
  <c r="G671" i="7"/>
  <c r="K670" i="7"/>
  <c r="J670" i="7"/>
  <c r="I670" i="7"/>
  <c r="H670" i="7"/>
  <c r="G670" i="7"/>
  <c r="K669" i="7"/>
  <c r="J669" i="7"/>
  <c r="I669" i="7"/>
  <c r="H669" i="7"/>
  <c r="G669" i="7"/>
  <c r="K668" i="7"/>
  <c r="J668" i="7"/>
  <c r="I668" i="7"/>
  <c r="H668" i="7"/>
  <c r="G668" i="7"/>
  <c r="K667" i="7"/>
  <c r="J667" i="7"/>
  <c r="I667" i="7"/>
  <c r="H667" i="7"/>
  <c r="G667" i="7"/>
  <c r="K666" i="7"/>
  <c r="J666" i="7"/>
  <c r="I666" i="7"/>
  <c r="H666" i="7"/>
  <c r="G666" i="7"/>
  <c r="K665" i="7"/>
  <c r="J665" i="7"/>
  <c r="I665" i="7"/>
  <c r="H665" i="7"/>
  <c r="G665" i="7"/>
  <c r="K664" i="7"/>
  <c r="J664" i="7"/>
  <c r="I664" i="7"/>
  <c r="H664" i="7"/>
  <c r="G664" i="7"/>
  <c r="K663" i="7"/>
  <c r="J663" i="7"/>
  <c r="I663" i="7"/>
  <c r="H663" i="7"/>
  <c r="G663" i="7"/>
  <c r="K662" i="7"/>
  <c r="J662" i="7"/>
  <c r="I662" i="7"/>
  <c r="H662" i="7"/>
  <c r="G662" i="7"/>
  <c r="K661" i="7"/>
  <c r="J661" i="7"/>
  <c r="I661" i="7"/>
  <c r="H661" i="7"/>
  <c r="G661" i="7"/>
  <c r="K660" i="7"/>
  <c r="J660" i="7"/>
  <c r="I660" i="7"/>
  <c r="H660" i="7"/>
  <c r="G660" i="7"/>
  <c r="K659" i="7"/>
  <c r="J659" i="7"/>
  <c r="I659" i="7"/>
  <c r="H659" i="7"/>
  <c r="G659" i="7"/>
  <c r="K658" i="7"/>
  <c r="J658" i="7"/>
  <c r="I658" i="7"/>
  <c r="H658" i="7"/>
  <c r="G658" i="7"/>
  <c r="K657" i="7"/>
  <c r="J657" i="7"/>
  <c r="I657" i="7"/>
  <c r="H657" i="7"/>
  <c r="G657" i="7"/>
  <c r="K656" i="7"/>
  <c r="J656" i="7"/>
  <c r="I656" i="7"/>
  <c r="H656" i="7"/>
  <c r="G656" i="7"/>
  <c r="K655" i="7"/>
  <c r="J655" i="7"/>
  <c r="I655" i="7"/>
  <c r="H655" i="7"/>
  <c r="G655" i="7"/>
  <c r="K654" i="7"/>
  <c r="J654" i="7"/>
  <c r="I654" i="7"/>
  <c r="H654" i="7"/>
  <c r="G654" i="7"/>
  <c r="K653" i="7"/>
  <c r="J653" i="7"/>
  <c r="I653" i="7"/>
  <c r="H653" i="7"/>
  <c r="G653" i="7"/>
  <c r="K652" i="7"/>
  <c r="J652" i="7"/>
  <c r="I652" i="7"/>
  <c r="H652" i="7"/>
  <c r="G652" i="7"/>
  <c r="K651" i="7"/>
  <c r="J651" i="7"/>
  <c r="I651" i="7"/>
  <c r="H651" i="7"/>
  <c r="G651" i="7"/>
  <c r="K650" i="7"/>
  <c r="J650" i="7"/>
  <c r="I650" i="7"/>
  <c r="H650" i="7"/>
  <c r="G650" i="7"/>
  <c r="K649" i="7"/>
  <c r="J649" i="7"/>
  <c r="I649" i="7"/>
  <c r="H649" i="7"/>
  <c r="G649" i="7"/>
  <c r="K648" i="7"/>
  <c r="J648" i="7"/>
  <c r="I648" i="7"/>
  <c r="H648" i="7"/>
  <c r="G648" i="7"/>
  <c r="K647" i="7"/>
  <c r="J647" i="7"/>
  <c r="I647" i="7"/>
  <c r="H647" i="7"/>
  <c r="G647" i="7"/>
  <c r="K646" i="7"/>
  <c r="J646" i="7"/>
  <c r="I646" i="7"/>
  <c r="H646" i="7"/>
  <c r="G646" i="7"/>
  <c r="K645" i="7"/>
  <c r="J645" i="7"/>
  <c r="I645" i="7"/>
  <c r="H645" i="7"/>
  <c r="G645" i="7"/>
  <c r="K644" i="7"/>
  <c r="J644" i="7"/>
  <c r="I644" i="7"/>
  <c r="H644" i="7"/>
  <c r="G644" i="7"/>
  <c r="K643" i="7"/>
  <c r="J643" i="7"/>
  <c r="I643" i="7"/>
  <c r="H643" i="7"/>
  <c r="G643" i="7"/>
  <c r="K642" i="7"/>
  <c r="J642" i="7"/>
  <c r="I642" i="7"/>
  <c r="H642" i="7"/>
  <c r="G642" i="7"/>
  <c r="K641" i="7"/>
  <c r="J641" i="7"/>
  <c r="I641" i="7"/>
  <c r="H641" i="7"/>
  <c r="G641" i="7"/>
  <c r="K640" i="7"/>
  <c r="J640" i="7"/>
  <c r="I640" i="7"/>
  <c r="H640" i="7"/>
  <c r="G640" i="7"/>
  <c r="K639" i="7"/>
  <c r="J639" i="7"/>
  <c r="I639" i="7"/>
  <c r="H639" i="7"/>
  <c r="G639" i="7"/>
  <c r="K638" i="7"/>
  <c r="J638" i="7"/>
  <c r="I638" i="7"/>
  <c r="H638" i="7"/>
  <c r="G638" i="7"/>
  <c r="K637" i="7"/>
  <c r="J637" i="7"/>
  <c r="I637" i="7"/>
  <c r="H637" i="7"/>
  <c r="G637" i="7"/>
  <c r="K636" i="7"/>
  <c r="J636" i="7"/>
  <c r="I636" i="7"/>
  <c r="H636" i="7"/>
  <c r="G636" i="7"/>
  <c r="K635" i="7"/>
  <c r="J635" i="7"/>
  <c r="I635" i="7"/>
  <c r="H635" i="7"/>
  <c r="G635" i="7"/>
  <c r="K634" i="7"/>
  <c r="J634" i="7"/>
  <c r="I634" i="7"/>
  <c r="H634" i="7"/>
  <c r="G634" i="7"/>
  <c r="K633" i="7"/>
  <c r="J633" i="7"/>
  <c r="I633" i="7"/>
  <c r="H633" i="7"/>
  <c r="G633" i="7"/>
  <c r="K632" i="7"/>
  <c r="J632" i="7"/>
  <c r="I632" i="7"/>
  <c r="H632" i="7"/>
  <c r="G632" i="7"/>
  <c r="K631" i="7"/>
  <c r="J631" i="7"/>
  <c r="I631" i="7"/>
  <c r="H631" i="7"/>
  <c r="G631" i="7"/>
  <c r="K630" i="7"/>
  <c r="J630" i="7"/>
  <c r="I630" i="7"/>
  <c r="H630" i="7"/>
  <c r="G630" i="7"/>
  <c r="K607" i="7"/>
  <c r="J607" i="7"/>
  <c r="I607" i="7"/>
  <c r="H607" i="7"/>
  <c r="G607" i="7"/>
  <c r="K606" i="7"/>
  <c r="J606" i="7"/>
  <c r="I606" i="7"/>
  <c r="H606" i="7"/>
  <c r="G606" i="7"/>
  <c r="K605" i="7"/>
  <c r="J605" i="7"/>
  <c r="I605" i="7"/>
  <c r="H605" i="7"/>
  <c r="G605" i="7"/>
  <c r="K604" i="7"/>
  <c r="J604" i="7"/>
  <c r="I604" i="7"/>
  <c r="H604" i="7"/>
  <c r="G604" i="7"/>
  <c r="K603" i="7"/>
  <c r="J603" i="7"/>
  <c r="I603" i="7"/>
  <c r="H603" i="7"/>
  <c r="G603" i="7"/>
  <c r="K602" i="7"/>
  <c r="J602" i="7"/>
  <c r="I602" i="7"/>
  <c r="H602" i="7"/>
  <c r="G602" i="7"/>
  <c r="K601" i="7"/>
  <c r="J601" i="7"/>
  <c r="I601" i="7"/>
  <c r="H601" i="7"/>
  <c r="G601" i="7"/>
  <c r="K600" i="7"/>
  <c r="J600" i="7"/>
  <c r="I600" i="7"/>
  <c r="H600" i="7"/>
  <c r="G600" i="7"/>
  <c r="K599" i="7"/>
  <c r="J599" i="7"/>
  <c r="I599" i="7"/>
  <c r="H599" i="7"/>
  <c r="G599" i="7"/>
  <c r="K598" i="7"/>
  <c r="J598" i="7"/>
  <c r="I598" i="7"/>
  <c r="H598" i="7"/>
  <c r="G598" i="7"/>
  <c r="K597" i="7"/>
  <c r="J597" i="7"/>
  <c r="I597" i="7"/>
  <c r="H597" i="7"/>
  <c r="G597" i="7"/>
  <c r="K596" i="7"/>
  <c r="J596" i="7"/>
  <c r="I596" i="7"/>
  <c r="H596" i="7"/>
  <c r="G596" i="7"/>
  <c r="K595" i="7"/>
  <c r="J595" i="7"/>
  <c r="I595" i="7"/>
  <c r="H595" i="7"/>
  <c r="G595" i="7"/>
  <c r="K594" i="7"/>
  <c r="J594" i="7"/>
  <c r="I594" i="7"/>
  <c r="H594" i="7"/>
  <c r="G594" i="7"/>
  <c r="K593" i="7"/>
  <c r="J593" i="7"/>
  <c r="I593" i="7"/>
  <c r="H593" i="7"/>
  <c r="G593" i="7"/>
  <c r="K592" i="7"/>
  <c r="J592" i="7"/>
  <c r="I592" i="7"/>
  <c r="H592" i="7"/>
  <c r="G592" i="7"/>
  <c r="K591" i="7"/>
  <c r="J591" i="7"/>
  <c r="I591" i="7"/>
  <c r="H591" i="7"/>
  <c r="G591" i="7"/>
  <c r="K590" i="7"/>
  <c r="J590" i="7"/>
  <c r="I590" i="7"/>
  <c r="H590" i="7"/>
  <c r="G590" i="7"/>
  <c r="K589" i="7"/>
  <c r="J589" i="7"/>
  <c r="I589" i="7"/>
  <c r="H589" i="7"/>
  <c r="G589" i="7"/>
  <c r="K588" i="7"/>
  <c r="J588" i="7"/>
  <c r="I588" i="7"/>
  <c r="H588" i="7"/>
  <c r="G588" i="7"/>
  <c r="K587" i="7"/>
  <c r="J587" i="7"/>
  <c r="I587" i="7"/>
  <c r="H587" i="7"/>
  <c r="G587" i="7"/>
  <c r="K586" i="7"/>
  <c r="J586" i="7"/>
  <c r="I586" i="7"/>
  <c r="H586" i="7"/>
  <c r="G586" i="7"/>
  <c r="K585" i="7"/>
  <c r="J585" i="7"/>
  <c r="I585" i="7"/>
  <c r="H585" i="7"/>
  <c r="G585" i="7"/>
  <c r="K584" i="7"/>
  <c r="J584" i="7"/>
  <c r="I584" i="7"/>
  <c r="H584" i="7"/>
  <c r="G584" i="7"/>
  <c r="K583" i="7"/>
  <c r="J583" i="7"/>
  <c r="I583" i="7"/>
  <c r="H583" i="7"/>
  <c r="G583" i="7"/>
  <c r="K582" i="7"/>
  <c r="J582" i="7"/>
  <c r="I582" i="7"/>
  <c r="H582" i="7"/>
  <c r="G582" i="7"/>
  <c r="K581" i="7"/>
  <c r="J581" i="7"/>
  <c r="I581" i="7"/>
  <c r="H581" i="7"/>
  <c r="G581" i="7"/>
  <c r="K580" i="7"/>
  <c r="J580" i="7"/>
  <c r="I580" i="7"/>
  <c r="H580" i="7"/>
  <c r="G580" i="7"/>
  <c r="K579" i="7"/>
  <c r="J579" i="7"/>
  <c r="I579" i="7"/>
  <c r="H579" i="7"/>
  <c r="G579" i="7"/>
  <c r="K578" i="7"/>
  <c r="J578" i="7"/>
  <c r="I578" i="7"/>
  <c r="H578" i="7"/>
  <c r="G578" i="7"/>
  <c r="K577" i="7"/>
  <c r="J577" i="7"/>
  <c r="I577" i="7"/>
  <c r="H577" i="7"/>
  <c r="G577" i="7"/>
  <c r="K576" i="7"/>
  <c r="J576" i="7"/>
  <c r="I576" i="7"/>
  <c r="H576" i="7"/>
  <c r="G576" i="7"/>
  <c r="K575" i="7"/>
  <c r="J575" i="7"/>
  <c r="I575" i="7"/>
  <c r="H575" i="7"/>
  <c r="G575" i="7"/>
  <c r="K574" i="7"/>
  <c r="J574" i="7"/>
  <c r="I574" i="7"/>
  <c r="H574" i="7"/>
  <c r="G574" i="7"/>
  <c r="K573" i="7"/>
  <c r="J573" i="7"/>
  <c r="I573" i="7"/>
  <c r="H573" i="7"/>
  <c r="G573" i="7"/>
  <c r="K572" i="7"/>
  <c r="J572" i="7"/>
  <c r="I572" i="7"/>
  <c r="H572" i="7"/>
  <c r="G572" i="7"/>
  <c r="K571" i="7"/>
  <c r="J571" i="7"/>
  <c r="I571" i="7"/>
  <c r="H571" i="7"/>
  <c r="G571" i="7"/>
  <c r="K570" i="7"/>
  <c r="J570" i="7"/>
  <c r="I570" i="7"/>
  <c r="H570" i="7"/>
  <c r="G570" i="7"/>
  <c r="K569" i="7"/>
  <c r="J569" i="7"/>
  <c r="I569" i="7"/>
  <c r="H569" i="7"/>
  <c r="G569" i="7"/>
  <c r="K568" i="7"/>
  <c r="J568" i="7"/>
  <c r="I568" i="7"/>
  <c r="H568" i="7"/>
  <c r="G568" i="7"/>
  <c r="K567" i="7"/>
  <c r="J567" i="7"/>
  <c r="I567" i="7"/>
  <c r="H567" i="7"/>
  <c r="G567" i="7"/>
  <c r="K566" i="7"/>
  <c r="J566" i="7"/>
  <c r="I566" i="7"/>
  <c r="H566" i="7"/>
  <c r="G566" i="7"/>
  <c r="K565" i="7"/>
  <c r="J565" i="7"/>
  <c r="I565" i="7"/>
  <c r="H565" i="7"/>
  <c r="G565" i="7"/>
  <c r="K564" i="7"/>
  <c r="J564" i="7"/>
  <c r="I564" i="7"/>
  <c r="H564" i="7"/>
  <c r="G564" i="7"/>
  <c r="K563" i="7"/>
  <c r="J563" i="7"/>
  <c r="I563" i="7"/>
  <c r="H563" i="7"/>
  <c r="G563" i="7"/>
  <c r="K562" i="7"/>
  <c r="J562" i="7"/>
  <c r="I562" i="7"/>
  <c r="H562" i="7"/>
  <c r="G562" i="7"/>
  <c r="K561" i="7"/>
  <c r="J561" i="7"/>
  <c r="I561" i="7"/>
  <c r="H561" i="7"/>
  <c r="G561" i="7"/>
  <c r="K560" i="7"/>
  <c r="J560" i="7"/>
  <c r="I560" i="7"/>
  <c r="H560" i="7"/>
  <c r="G560" i="7"/>
  <c r="K559" i="7"/>
  <c r="J559" i="7"/>
  <c r="I559" i="7"/>
  <c r="H559" i="7"/>
  <c r="G559" i="7"/>
  <c r="K558" i="7"/>
  <c r="J558" i="7"/>
  <c r="I558" i="7"/>
  <c r="H558" i="7"/>
  <c r="G558" i="7"/>
  <c r="K557" i="7"/>
  <c r="J557" i="7"/>
  <c r="I557" i="7"/>
  <c r="H557" i="7"/>
  <c r="G557" i="7"/>
  <c r="K556" i="7"/>
  <c r="J556" i="7"/>
  <c r="I556" i="7"/>
  <c r="H556" i="7"/>
  <c r="G556" i="7"/>
  <c r="K555" i="7"/>
  <c r="J555" i="7"/>
  <c r="I555" i="7"/>
  <c r="H555" i="7"/>
  <c r="G555" i="7"/>
  <c r="K554" i="7"/>
  <c r="J554" i="7"/>
  <c r="I554" i="7"/>
  <c r="H554" i="7"/>
  <c r="G554" i="7"/>
  <c r="K553" i="7"/>
  <c r="J553" i="7"/>
  <c r="I553" i="7"/>
  <c r="H553" i="7"/>
  <c r="G553" i="7"/>
  <c r="K552" i="7"/>
  <c r="J552" i="7"/>
  <c r="I552" i="7"/>
  <c r="H552" i="7"/>
  <c r="G552" i="7"/>
  <c r="K551" i="7"/>
  <c r="J551" i="7"/>
  <c r="I551" i="7"/>
  <c r="H551" i="7"/>
  <c r="G551" i="7"/>
  <c r="K550" i="7"/>
  <c r="J550" i="7"/>
  <c r="I550" i="7"/>
  <c r="H550" i="7"/>
  <c r="G550" i="7"/>
  <c r="K549" i="7"/>
  <c r="J549" i="7"/>
  <c r="I549" i="7"/>
  <c r="H549" i="7"/>
  <c r="G549" i="7"/>
  <c r="K548" i="7"/>
  <c r="J548" i="7"/>
  <c r="I548" i="7"/>
  <c r="H548" i="7"/>
  <c r="G548" i="7"/>
  <c r="K547" i="7"/>
  <c r="J547" i="7"/>
  <c r="I547" i="7"/>
  <c r="H547" i="7"/>
  <c r="G547" i="7"/>
  <c r="K546" i="7"/>
  <c r="J546" i="7"/>
  <c r="I546" i="7"/>
  <c r="H546" i="7"/>
  <c r="G546" i="7"/>
  <c r="K545" i="7"/>
  <c r="J545" i="7"/>
  <c r="I545" i="7"/>
  <c r="H545" i="7"/>
  <c r="G545" i="7"/>
  <c r="K544" i="7"/>
  <c r="J544" i="7"/>
  <c r="I544" i="7"/>
  <c r="H544" i="7"/>
  <c r="G544" i="7"/>
  <c r="K543" i="7"/>
  <c r="J543" i="7"/>
  <c r="I543" i="7"/>
  <c r="H543" i="7"/>
  <c r="G543" i="7"/>
  <c r="K542" i="7"/>
  <c r="J542" i="7"/>
  <c r="I542" i="7"/>
  <c r="H542" i="7"/>
  <c r="G542" i="7"/>
  <c r="K541" i="7"/>
  <c r="J541" i="7"/>
  <c r="I541" i="7"/>
  <c r="H541" i="7"/>
  <c r="G541" i="7"/>
  <c r="K540" i="7"/>
  <c r="J540" i="7"/>
  <c r="I540" i="7"/>
  <c r="H540" i="7"/>
  <c r="G540" i="7"/>
  <c r="K539" i="7"/>
  <c r="J539" i="7"/>
  <c r="I539" i="7"/>
  <c r="H539" i="7"/>
  <c r="G539" i="7"/>
  <c r="K538" i="7"/>
  <c r="J538" i="7"/>
  <c r="I538" i="7"/>
  <c r="H538" i="7"/>
  <c r="G538" i="7"/>
  <c r="K537" i="7"/>
  <c r="J537" i="7"/>
  <c r="I537" i="7"/>
  <c r="H537" i="7"/>
  <c r="G537" i="7"/>
  <c r="K536" i="7"/>
  <c r="J536" i="7"/>
  <c r="I536" i="7"/>
  <c r="H536" i="7"/>
  <c r="G536" i="7"/>
  <c r="K535" i="7"/>
  <c r="J535" i="7"/>
  <c r="I535" i="7"/>
  <c r="H535" i="7"/>
  <c r="G535" i="7"/>
  <c r="K534" i="7"/>
  <c r="J534" i="7"/>
  <c r="I534" i="7"/>
  <c r="H534" i="7"/>
  <c r="G534" i="7"/>
  <c r="K533" i="7"/>
  <c r="J533" i="7"/>
  <c r="I533" i="7"/>
  <c r="H533" i="7"/>
  <c r="G533" i="7"/>
  <c r="K532" i="7"/>
  <c r="J532" i="7"/>
  <c r="I532" i="7"/>
  <c r="H532" i="7"/>
  <c r="G532" i="7"/>
  <c r="K531" i="7"/>
  <c r="J531" i="7"/>
  <c r="I531" i="7"/>
  <c r="H531" i="7"/>
  <c r="G531" i="7"/>
  <c r="K530" i="7"/>
  <c r="J530" i="7"/>
  <c r="I530" i="7"/>
  <c r="H530" i="7"/>
  <c r="G530" i="7"/>
  <c r="K529" i="7"/>
  <c r="J529" i="7"/>
  <c r="I529" i="7"/>
  <c r="H529" i="7"/>
  <c r="G529" i="7"/>
  <c r="K528" i="7"/>
  <c r="J528" i="7"/>
  <c r="I528" i="7"/>
  <c r="H528" i="7"/>
  <c r="G528" i="7"/>
  <c r="K527" i="7"/>
  <c r="J527" i="7"/>
  <c r="I527" i="7"/>
  <c r="H527" i="7"/>
  <c r="G527" i="7"/>
  <c r="K526" i="7"/>
  <c r="J526" i="7"/>
  <c r="I526" i="7"/>
  <c r="H526" i="7"/>
  <c r="G526" i="7"/>
  <c r="K525" i="7"/>
  <c r="J525" i="7"/>
  <c r="I525" i="7"/>
  <c r="H525" i="7"/>
  <c r="G525" i="7"/>
  <c r="K524" i="7"/>
  <c r="J524" i="7"/>
  <c r="I524" i="7"/>
  <c r="H524" i="7"/>
  <c r="G524" i="7"/>
  <c r="K523" i="7"/>
  <c r="J523" i="7"/>
  <c r="I523" i="7"/>
  <c r="H523" i="7"/>
  <c r="G523" i="7"/>
  <c r="K522" i="7"/>
  <c r="J522" i="7"/>
  <c r="I522" i="7"/>
  <c r="H522" i="7"/>
  <c r="G522" i="7"/>
  <c r="K521" i="7"/>
  <c r="J521" i="7"/>
  <c r="I521" i="7"/>
  <c r="H521" i="7"/>
  <c r="G521" i="7"/>
  <c r="K520" i="7"/>
  <c r="J520" i="7"/>
  <c r="I520" i="7"/>
  <c r="H520" i="7"/>
  <c r="G520" i="7"/>
  <c r="K519" i="7"/>
  <c r="J519" i="7"/>
  <c r="I519" i="7"/>
  <c r="H519" i="7"/>
  <c r="G519" i="7"/>
  <c r="K518" i="7"/>
  <c r="J518" i="7"/>
  <c r="I518" i="7"/>
  <c r="H518" i="7"/>
  <c r="G518" i="7"/>
  <c r="K517" i="7"/>
  <c r="J517" i="7"/>
  <c r="I517" i="7"/>
  <c r="H517" i="7"/>
  <c r="G517" i="7"/>
  <c r="K516" i="7"/>
  <c r="J516" i="7"/>
  <c r="I516" i="7"/>
  <c r="H516" i="7"/>
  <c r="G516" i="7"/>
  <c r="K515" i="7"/>
  <c r="J515" i="7"/>
  <c r="I515" i="7"/>
  <c r="H515" i="7"/>
  <c r="G515" i="7"/>
  <c r="K514" i="7"/>
  <c r="J514" i="7"/>
  <c r="I514" i="7"/>
  <c r="H514" i="7"/>
  <c r="G514" i="7"/>
  <c r="K513" i="7"/>
  <c r="J513" i="7"/>
  <c r="I513" i="7"/>
  <c r="H513" i="7"/>
  <c r="G513" i="7"/>
  <c r="K512" i="7"/>
  <c r="J512" i="7"/>
  <c r="I512" i="7"/>
  <c r="H512" i="7"/>
  <c r="G512" i="7"/>
  <c r="K511" i="7"/>
  <c r="J511" i="7"/>
  <c r="I511" i="7"/>
  <c r="H511" i="7"/>
  <c r="G511" i="7"/>
  <c r="K510" i="7"/>
  <c r="J510" i="7"/>
  <c r="I510" i="7"/>
  <c r="H510" i="7"/>
  <c r="G510" i="7"/>
  <c r="K509" i="7"/>
  <c r="J509" i="7"/>
  <c r="I509" i="7"/>
  <c r="H509" i="7"/>
  <c r="G509" i="7"/>
  <c r="K508" i="7"/>
  <c r="J508" i="7"/>
  <c r="I508" i="7"/>
  <c r="H508" i="7"/>
  <c r="G508" i="7"/>
  <c r="K507" i="7"/>
  <c r="J507" i="7"/>
  <c r="I507" i="7"/>
  <c r="H507" i="7"/>
  <c r="G507" i="7"/>
  <c r="K506" i="7"/>
  <c r="J506" i="7"/>
  <c r="I506" i="7"/>
  <c r="H506" i="7"/>
  <c r="G506" i="7"/>
  <c r="K505" i="7"/>
  <c r="J505" i="7"/>
  <c r="I505" i="7"/>
  <c r="H505" i="7"/>
  <c r="G505" i="7"/>
  <c r="K504" i="7"/>
  <c r="J504" i="7"/>
  <c r="I504" i="7"/>
  <c r="H504" i="7"/>
  <c r="G504" i="7"/>
  <c r="K503" i="7"/>
  <c r="J503" i="7"/>
  <c r="I503" i="7"/>
  <c r="H503" i="7"/>
  <c r="G503" i="7"/>
  <c r="K502" i="7"/>
  <c r="J502" i="7"/>
  <c r="I502" i="7"/>
  <c r="H502" i="7"/>
  <c r="G502" i="7"/>
  <c r="K501" i="7"/>
  <c r="J501" i="7"/>
  <c r="I501" i="7"/>
  <c r="H501" i="7"/>
  <c r="G501" i="7"/>
  <c r="K500" i="7"/>
  <c r="J500" i="7"/>
  <c r="I500" i="7"/>
  <c r="H500" i="7"/>
  <c r="G500" i="7"/>
  <c r="K499" i="7"/>
  <c r="J499" i="7"/>
  <c r="I499" i="7"/>
  <c r="H499" i="7"/>
  <c r="G499" i="7"/>
  <c r="K498" i="7"/>
  <c r="J498" i="7"/>
  <c r="I498" i="7"/>
  <c r="H498" i="7"/>
  <c r="G498" i="7"/>
  <c r="K497" i="7"/>
  <c r="J497" i="7"/>
  <c r="I497" i="7"/>
  <c r="H497" i="7"/>
  <c r="G497" i="7"/>
  <c r="K496" i="7"/>
  <c r="J496" i="7"/>
  <c r="I496" i="7"/>
  <c r="H496" i="7"/>
  <c r="G496" i="7"/>
  <c r="K495" i="7"/>
  <c r="J495" i="7"/>
  <c r="I495" i="7"/>
  <c r="H495" i="7"/>
  <c r="G495" i="7"/>
  <c r="K494" i="7"/>
  <c r="J494" i="7"/>
  <c r="I494" i="7"/>
  <c r="H494" i="7"/>
  <c r="G494" i="7"/>
  <c r="K493" i="7"/>
  <c r="J493" i="7"/>
  <c r="I493" i="7"/>
  <c r="H493" i="7"/>
  <c r="G493" i="7"/>
  <c r="K492" i="7"/>
  <c r="J492" i="7"/>
  <c r="I492" i="7"/>
  <c r="H492" i="7"/>
  <c r="G492" i="7"/>
  <c r="K491" i="7"/>
  <c r="J491" i="7"/>
  <c r="I491" i="7"/>
  <c r="H491" i="7"/>
  <c r="G491" i="7"/>
  <c r="K490" i="7"/>
  <c r="J490" i="7"/>
  <c r="I490" i="7"/>
  <c r="H490" i="7"/>
  <c r="G490" i="7"/>
  <c r="K489" i="7"/>
  <c r="J489" i="7"/>
  <c r="I489" i="7"/>
  <c r="H489" i="7"/>
  <c r="G489" i="7"/>
  <c r="K488" i="7"/>
  <c r="J488" i="7"/>
  <c r="I488" i="7"/>
  <c r="H488" i="7"/>
  <c r="G488" i="7"/>
  <c r="K487" i="7"/>
  <c r="J487" i="7"/>
  <c r="I487" i="7"/>
  <c r="H487" i="7"/>
  <c r="G487" i="7"/>
  <c r="K486" i="7"/>
  <c r="J486" i="7"/>
  <c r="I486" i="7"/>
  <c r="H486" i="7"/>
  <c r="G486" i="7"/>
  <c r="K485" i="7"/>
  <c r="J485" i="7"/>
  <c r="I485" i="7"/>
  <c r="H485" i="7"/>
  <c r="G485" i="7"/>
  <c r="K484" i="7"/>
  <c r="J484" i="7"/>
  <c r="I484" i="7"/>
  <c r="H484" i="7"/>
  <c r="G484" i="7"/>
  <c r="K483" i="7"/>
  <c r="J483" i="7"/>
  <c r="I483" i="7"/>
  <c r="H483" i="7"/>
  <c r="G483" i="7"/>
  <c r="K482" i="7"/>
  <c r="J482" i="7"/>
  <c r="I482" i="7"/>
  <c r="H482" i="7"/>
  <c r="G482" i="7"/>
  <c r="K481" i="7"/>
  <c r="J481" i="7"/>
  <c r="I481" i="7"/>
  <c r="H481" i="7"/>
  <c r="G481" i="7"/>
  <c r="K480" i="7"/>
  <c r="J480" i="7"/>
  <c r="I480" i="7"/>
  <c r="H480" i="7"/>
  <c r="G480" i="7"/>
  <c r="K479" i="7"/>
  <c r="J479" i="7"/>
  <c r="I479" i="7"/>
  <c r="H479" i="7"/>
  <c r="G479" i="7"/>
  <c r="K478" i="7"/>
  <c r="J478" i="7"/>
  <c r="I478" i="7"/>
  <c r="H478" i="7"/>
  <c r="G478" i="7"/>
  <c r="K477" i="7"/>
  <c r="J477" i="7"/>
  <c r="I477" i="7"/>
  <c r="H477" i="7"/>
  <c r="G477" i="7"/>
  <c r="K476" i="7"/>
  <c r="J476" i="7"/>
  <c r="I476" i="7"/>
  <c r="H476" i="7"/>
  <c r="G476" i="7"/>
  <c r="K475" i="7"/>
  <c r="J475" i="7"/>
  <c r="I475" i="7"/>
  <c r="H475" i="7"/>
  <c r="G475" i="7"/>
  <c r="K474" i="7"/>
  <c r="J474" i="7"/>
  <c r="I474" i="7"/>
  <c r="H474" i="7"/>
  <c r="G474" i="7"/>
  <c r="K473" i="7"/>
  <c r="J473" i="7"/>
  <c r="I473" i="7"/>
  <c r="H473" i="7"/>
  <c r="G473" i="7"/>
  <c r="K472" i="7"/>
  <c r="J472" i="7"/>
  <c r="I472" i="7"/>
  <c r="H472" i="7"/>
  <c r="G472" i="7"/>
  <c r="K471" i="7"/>
  <c r="J471" i="7"/>
  <c r="I471" i="7"/>
  <c r="H471" i="7"/>
  <c r="G471" i="7"/>
  <c r="K470" i="7"/>
  <c r="J470" i="7"/>
  <c r="I470" i="7"/>
  <c r="H470" i="7"/>
  <c r="G470" i="7"/>
  <c r="K469" i="7"/>
  <c r="J469" i="7"/>
  <c r="I469" i="7"/>
  <c r="H469" i="7"/>
  <c r="G469" i="7"/>
  <c r="K468" i="7"/>
  <c r="J468" i="7"/>
  <c r="I468" i="7"/>
  <c r="H468" i="7"/>
  <c r="G468" i="7"/>
  <c r="K467" i="7"/>
  <c r="J467" i="7"/>
  <c r="I467" i="7"/>
  <c r="H467" i="7"/>
  <c r="G467" i="7"/>
  <c r="K466" i="7"/>
  <c r="J466" i="7"/>
  <c r="I466" i="7"/>
  <c r="H466" i="7"/>
  <c r="G466" i="7"/>
  <c r="K465" i="7"/>
  <c r="J465" i="7"/>
  <c r="I465" i="7"/>
  <c r="H465" i="7"/>
  <c r="G465" i="7"/>
  <c r="K464" i="7"/>
  <c r="J464" i="7"/>
  <c r="I464" i="7"/>
  <c r="H464" i="7"/>
  <c r="G464" i="7"/>
  <c r="K439" i="7"/>
  <c r="J439" i="7"/>
  <c r="I439" i="7"/>
  <c r="H439" i="7"/>
  <c r="G439" i="7"/>
  <c r="K438" i="7"/>
  <c r="J438" i="7"/>
  <c r="I438" i="7"/>
  <c r="H438" i="7"/>
  <c r="G438" i="7"/>
  <c r="K437" i="7"/>
  <c r="J437" i="7"/>
  <c r="I437" i="7"/>
  <c r="H437" i="7"/>
  <c r="G437" i="7"/>
  <c r="K436" i="7"/>
  <c r="J436" i="7"/>
  <c r="I436" i="7"/>
  <c r="H436" i="7"/>
  <c r="G436" i="7"/>
  <c r="K435" i="7"/>
  <c r="J435" i="7"/>
  <c r="I435" i="7"/>
  <c r="H435" i="7"/>
  <c r="G435" i="7"/>
  <c r="K434" i="7"/>
  <c r="J434" i="7"/>
  <c r="I434" i="7"/>
  <c r="H434" i="7"/>
  <c r="G434" i="7"/>
  <c r="K433" i="7"/>
  <c r="J433" i="7"/>
  <c r="I433" i="7"/>
  <c r="H433" i="7"/>
  <c r="G433" i="7"/>
  <c r="K432" i="7"/>
  <c r="J432" i="7"/>
  <c r="I432" i="7"/>
  <c r="H432" i="7"/>
  <c r="G432" i="7"/>
  <c r="K431" i="7"/>
  <c r="J431" i="7"/>
  <c r="I431" i="7"/>
  <c r="H431" i="7"/>
  <c r="G431" i="7"/>
  <c r="K430" i="7"/>
  <c r="J430" i="7"/>
  <c r="I430" i="7"/>
  <c r="H430" i="7"/>
  <c r="G430" i="7"/>
  <c r="K429" i="7"/>
  <c r="J429" i="7"/>
  <c r="I429" i="7"/>
  <c r="H429" i="7"/>
  <c r="G429" i="7"/>
  <c r="K428" i="7"/>
  <c r="J428" i="7"/>
  <c r="I428" i="7"/>
  <c r="H428" i="7"/>
  <c r="G428" i="7"/>
  <c r="K427" i="7"/>
  <c r="J427" i="7"/>
  <c r="I427" i="7"/>
  <c r="H427" i="7"/>
  <c r="G427" i="7"/>
  <c r="K426" i="7"/>
  <c r="J426" i="7"/>
  <c r="I426" i="7"/>
  <c r="H426" i="7"/>
  <c r="G426" i="7"/>
  <c r="K425" i="7"/>
  <c r="J425" i="7"/>
  <c r="I425" i="7"/>
  <c r="H425" i="7"/>
  <c r="G425" i="7"/>
  <c r="K424" i="7"/>
  <c r="J424" i="7"/>
  <c r="I424" i="7"/>
  <c r="H424" i="7"/>
  <c r="G424" i="7"/>
  <c r="K423" i="7"/>
  <c r="J423" i="7"/>
  <c r="I423" i="7"/>
  <c r="H423" i="7"/>
  <c r="G423" i="7"/>
  <c r="K422" i="7"/>
  <c r="J422" i="7"/>
  <c r="I422" i="7"/>
  <c r="H422" i="7"/>
  <c r="G422" i="7"/>
  <c r="K421" i="7"/>
  <c r="J421" i="7"/>
  <c r="I421" i="7"/>
  <c r="H421" i="7"/>
  <c r="G421" i="7"/>
  <c r="K420" i="7"/>
  <c r="J420" i="7"/>
  <c r="I420" i="7"/>
  <c r="H420" i="7"/>
  <c r="G420" i="7"/>
  <c r="K419" i="7"/>
  <c r="J419" i="7"/>
  <c r="I419" i="7"/>
  <c r="H419" i="7"/>
  <c r="G419" i="7"/>
  <c r="K418" i="7"/>
  <c r="J418" i="7"/>
  <c r="I418" i="7"/>
  <c r="H418" i="7"/>
  <c r="G418" i="7"/>
  <c r="K417" i="7"/>
  <c r="J417" i="7"/>
  <c r="I417" i="7"/>
  <c r="H417" i="7"/>
  <c r="G417" i="7"/>
  <c r="K416" i="7"/>
  <c r="J416" i="7"/>
  <c r="I416" i="7"/>
  <c r="H416" i="7"/>
  <c r="G416" i="7"/>
  <c r="K415" i="7"/>
  <c r="J415" i="7"/>
  <c r="I415" i="7"/>
  <c r="H415" i="7"/>
  <c r="G415" i="7"/>
  <c r="K414" i="7"/>
  <c r="J414" i="7"/>
  <c r="I414" i="7"/>
  <c r="H414" i="7"/>
  <c r="G414" i="7"/>
  <c r="K413" i="7"/>
  <c r="J413" i="7"/>
  <c r="I413" i="7"/>
  <c r="H413" i="7"/>
  <c r="G413" i="7"/>
  <c r="K412" i="7"/>
  <c r="J412" i="7"/>
  <c r="I412" i="7"/>
  <c r="H412" i="7"/>
  <c r="G412" i="7"/>
  <c r="K411" i="7"/>
  <c r="J411" i="7"/>
  <c r="I411" i="7"/>
  <c r="H411" i="7"/>
  <c r="G411" i="7"/>
  <c r="K410" i="7"/>
  <c r="J410" i="7"/>
  <c r="I410" i="7"/>
  <c r="H410" i="7"/>
  <c r="G410" i="7"/>
  <c r="K409" i="7"/>
  <c r="J409" i="7"/>
  <c r="I409" i="7"/>
  <c r="H409" i="7"/>
  <c r="G409" i="7"/>
  <c r="K408" i="7"/>
  <c r="J408" i="7"/>
  <c r="I408" i="7"/>
  <c r="H408" i="7"/>
  <c r="G408" i="7"/>
  <c r="K407" i="7"/>
  <c r="J407" i="7"/>
  <c r="I407" i="7"/>
  <c r="H407" i="7"/>
  <c r="G407" i="7"/>
  <c r="K406" i="7"/>
  <c r="J406" i="7"/>
  <c r="I406" i="7"/>
  <c r="H406" i="7"/>
  <c r="G406" i="7"/>
  <c r="K405" i="7"/>
  <c r="J405" i="7"/>
  <c r="I405" i="7"/>
  <c r="H405" i="7"/>
  <c r="G405" i="7"/>
  <c r="K404" i="7"/>
  <c r="J404" i="7"/>
  <c r="I404" i="7"/>
  <c r="H404" i="7"/>
  <c r="G404" i="7"/>
  <c r="K403" i="7"/>
  <c r="J403" i="7"/>
  <c r="I403" i="7"/>
  <c r="H403" i="7"/>
  <c r="G403" i="7"/>
  <c r="K402" i="7"/>
  <c r="J402" i="7"/>
  <c r="I402" i="7"/>
  <c r="H402" i="7"/>
  <c r="G402" i="7"/>
  <c r="K401" i="7"/>
  <c r="J401" i="7"/>
  <c r="I401" i="7"/>
  <c r="H401" i="7"/>
  <c r="G401" i="7"/>
  <c r="K400" i="7"/>
  <c r="J400" i="7"/>
  <c r="I400" i="7"/>
  <c r="H400" i="7"/>
  <c r="G400" i="7"/>
  <c r="K399" i="7"/>
  <c r="J399" i="7"/>
  <c r="I399" i="7"/>
  <c r="H399" i="7"/>
  <c r="G399" i="7"/>
  <c r="K398" i="7"/>
  <c r="J398" i="7"/>
  <c r="I398" i="7"/>
  <c r="H398" i="7"/>
  <c r="G398" i="7"/>
  <c r="K397" i="7"/>
  <c r="J397" i="7"/>
  <c r="I397" i="7"/>
  <c r="H397" i="7"/>
  <c r="G397" i="7"/>
  <c r="K396" i="7"/>
  <c r="J396" i="7"/>
  <c r="I396" i="7"/>
  <c r="H396" i="7"/>
  <c r="G396" i="7"/>
  <c r="K395" i="7"/>
  <c r="J395" i="7"/>
  <c r="I395" i="7"/>
  <c r="H395" i="7"/>
  <c r="G395" i="7"/>
  <c r="K394" i="7"/>
  <c r="J394" i="7"/>
  <c r="I394" i="7"/>
  <c r="H394" i="7"/>
  <c r="G394" i="7"/>
  <c r="K393" i="7"/>
  <c r="J393" i="7"/>
  <c r="I393" i="7"/>
  <c r="H393" i="7"/>
  <c r="G393" i="7"/>
  <c r="K392" i="7"/>
  <c r="J392" i="7"/>
  <c r="I392" i="7"/>
  <c r="H392" i="7"/>
  <c r="G392" i="7"/>
  <c r="K391" i="7"/>
  <c r="J391" i="7"/>
  <c r="I391" i="7"/>
  <c r="H391" i="7"/>
  <c r="G391" i="7"/>
  <c r="K390" i="7"/>
  <c r="J390" i="7"/>
  <c r="I390" i="7"/>
  <c r="H390" i="7"/>
  <c r="G390" i="7"/>
  <c r="K389" i="7"/>
  <c r="J389" i="7"/>
  <c r="I389" i="7"/>
  <c r="H389" i="7"/>
  <c r="G389" i="7"/>
  <c r="K388" i="7"/>
  <c r="J388" i="7"/>
  <c r="I388" i="7"/>
  <c r="H388" i="7"/>
  <c r="G388" i="7"/>
  <c r="K387" i="7"/>
  <c r="J387" i="7"/>
  <c r="I387" i="7"/>
  <c r="H387" i="7"/>
  <c r="G387" i="7"/>
  <c r="K386" i="7"/>
  <c r="J386" i="7"/>
  <c r="I386" i="7"/>
  <c r="H386" i="7"/>
  <c r="G386" i="7"/>
  <c r="K385" i="7"/>
  <c r="J385" i="7"/>
  <c r="I385" i="7"/>
  <c r="H385" i="7"/>
  <c r="G385" i="7"/>
  <c r="K384" i="7"/>
  <c r="J384" i="7"/>
  <c r="I384" i="7"/>
  <c r="H384" i="7"/>
  <c r="G384" i="7"/>
  <c r="K383" i="7"/>
  <c r="J383" i="7"/>
  <c r="I383" i="7"/>
  <c r="H383" i="7"/>
  <c r="G383" i="7"/>
  <c r="K382" i="7"/>
  <c r="J382" i="7"/>
  <c r="I382" i="7"/>
  <c r="H382" i="7"/>
  <c r="G382" i="7"/>
  <c r="K381" i="7"/>
  <c r="J381" i="7"/>
  <c r="I381" i="7"/>
  <c r="H381" i="7"/>
  <c r="G381" i="7"/>
  <c r="K380" i="7"/>
  <c r="J380" i="7"/>
  <c r="I380" i="7"/>
  <c r="H380" i="7"/>
  <c r="G380" i="7"/>
  <c r="K379" i="7"/>
  <c r="J379" i="7"/>
  <c r="I379" i="7"/>
  <c r="H379" i="7"/>
  <c r="G379" i="7"/>
  <c r="K378" i="7"/>
  <c r="J378" i="7"/>
  <c r="I378" i="7"/>
  <c r="H378" i="7"/>
  <c r="G378" i="7"/>
  <c r="K377" i="7"/>
  <c r="J377" i="7"/>
  <c r="I377" i="7"/>
  <c r="H377" i="7"/>
  <c r="G377" i="7"/>
  <c r="K376" i="7"/>
  <c r="J376" i="7"/>
  <c r="I376" i="7"/>
  <c r="H376" i="7"/>
  <c r="G376" i="7"/>
  <c r="K375" i="7"/>
  <c r="J375" i="7"/>
  <c r="I375" i="7"/>
  <c r="H375" i="7"/>
  <c r="G375" i="7"/>
  <c r="J374" i="7"/>
  <c r="I374" i="7"/>
  <c r="H374" i="7"/>
  <c r="G374" i="7"/>
  <c r="K373" i="7"/>
  <c r="J373" i="7"/>
  <c r="I373" i="7"/>
  <c r="H373" i="7"/>
  <c r="G373" i="7"/>
  <c r="K372" i="7"/>
  <c r="J372" i="7"/>
  <c r="I372" i="7"/>
  <c r="H372" i="7"/>
  <c r="G372" i="7"/>
  <c r="K371" i="7"/>
  <c r="J371" i="7"/>
  <c r="I371" i="7"/>
  <c r="H371" i="7"/>
  <c r="G371" i="7"/>
  <c r="K370" i="7"/>
  <c r="J370" i="7"/>
  <c r="I370" i="7"/>
  <c r="H370" i="7"/>
  <c r="G370" i="7"/>
  <c r="K369" i="7"/>
  <c r="J369" i="7"/>
  <c r="I369" i="7"/>
  <c r="H369" i="7"/>
  <c r="G369" i="7"/>
  <c r="K368" i="7"/>
  <c r="J368" i="7"/>
  <c r="I368" i="7"/>
  <c r="H368" i="7"/>
  <c r="G368" i="7"/>
  <c r="K367" i="7"/>
  <c r="J367" i="7"/>
  <c r="I367" i="7"/>
  <c r="H367" i="7"/>
  <c r="G367" i="7"/>
  <c r="K366" i="7"/>
  <c r="J366" i="7"/>
  <c r="I366" i="7"/>
  <c r="H366" i="7"/>
  <c r="G366" i="7"/>
  <c r="K365" i="7"/>
  <c r="J365" i="7"/>
  <c r="I365" i="7"/>
  <c r="H365" i="7"/>
  <c r="G365" i="7"/>
  <c r="K364" i="7"/>
  <c r="J364" i="7"/>
  <c r="I364" i="7"/>
  <c r="H364" i="7"/>
  <c r="G364" i="7"/>
  <c r="K363" i="7"/>
  <c r="J363" i="7"/>
  <c r="I363" i="7"/>
  <c r="H363" i="7"/>
  <c r="G363" i="7"/>
  <c r="K362" i="7"/>
  <c r="J362" i="7"/>
  <c r="I362" i="7"/>
  <c r="H362" i="7"/>
  <c r="G362" i="7"/>
  <c r="K361" i="7"/>
  <c r="J361" i="7"/>
  <c r="I361" i="7"/>
  <c r="H361" i="7"/>
  <c r="G361" i="7"/>
  <c r="K360" i="7"/>
  <c r="J360" i="7"/>
  <c r="I360" i="7"/>
  <c r="H360" i="7"/>
  <c r="G360" i="7"/>
  <c r="K359" i="7"/>
  <c r="J359" i="7"/>
  <c r="I359" i="7"/>
  <c r="H359" i="7"/>
  <c r="G359" i="7"/>
  <c r="K358" i="7"/>
  <c r="J358" i="7"/>
  <c r="I358" i="7"/>
  <c r="H358" i="7"/>
  <c r="G358" i="7"/>
  <c r="K357" i="7"/>
  <c r="J357" i="7"/>
  <c r="I357" i="7"/>
  <c r="H357" i="7"/>
  <c r="G357" i="7"/>
  <c r="K356" i="7"/>
  <c r="J356" i="7"/>
  <c r="I356" i="7"/>
  <c r="H356" i="7"/>
  <c r="G356" i="7"/>
  <c r="K355" i="7"/>
  <c r="J355" i="7"/>
  <c r="I355" i="7"/>
  <c r="H355" i="7"/>
  <c r="G355" i="7"/>
  <c r="K354" i="7"/>
  <c r="J354" i="7"/>
  <c r="I354" i="7"/>
  <c r="H354" i="7"/>
  <c r="G354" i="7"/>
  <c r="K353" i="7"/>
  <c r="J353" i="7"/>
  <c r="I353" i="7"/>
  <c r="H353" i="7"/>
  <c r="G353" i="7"/>
  <c r="K352" i="7"/>
  <c r="J352" i="7"/>
  <c r="I352" i="7"/>
  <c r="H352" i="7"/>
  <c r="G352" i="7"/>
  <c r="K351" i="7"/>
  <c r="J351" i="7"/>
  <c r="I351" i="7"/>
  <c r="H351" i="7"/>
  <c r="G351" i="7"/>
  <c r="K350" i="7"/>
  <c r="J350" i="7"/>
  <c r="I350" i="7"/>
  <c r="H350" i="7"/>
  <c r="G350" i="7"/>
  <c r="K349" i="7"/>
  <c r="J349" i="7"/>
  <c r="I349" i="7"/>
  <c r="H349" i="7"/>
  <c r="G349" i="7"/>
  <c r="K348" i="7"/>
  <c r="J348" i="7"/>
  <c r="I348" i="7"/>
  <c r="H348" i="7"/>
  <c r="G348" i="7"/>
  <c r="K347" i="7"/>
  <c r="J347" i="7"/>
  <c r="I347" i="7"/>
  <c r="H347" i="7"/>
  <c r="G347" i="7"/>
  <c r="K346" i="7"/>
  <c r="J346" i="7"/>
  <c r="I346" i="7"/>
  <c r="H346" i="7"/>
  <c r="G346" i="7"/>
  <c r="K345" i="7"/>
  <c r="J345" i="7"/>
  <c r="I345" i="7"/>
  <c r="H345" i="7"/>
  <c r="G345" i="7"/>
  <c r="K344" i="7"/>
  <c r="J344" i="7"/>
  <c r="I344" i="7"/>
  <c r="H344" i="7"/>
  <c r="G344" i="7"/>
  <c r="K343" i="7"/>
  <c r="J343" i="7"/>
  <c r="I343" i="7"/>
  <c r="H343" i="7"/>
  <c r="G343" i="7"/>
  <c r="K342" i="7"/>
  <c r="J342" i="7"/>
  <c r="I342" i="7"/>
  <c r="H342" i="7"/>
  <c r="G342" i="7"/>
  <c r="K341" i="7"/>
  <c r="J341" i="7"/>
  <c r="I341" i="7"/>
  <c r="H341" i="7"/>
  <c r="G341" i="7"/>
  <c r="K340" i="7"/>
  <c r="J340" i="7"/>
  <c r="I340" i="7"/>
  <c r="H340" i="7"/>
  <c r="G340" i="7"/>
  <c r="K339" i="7"/>
  <c r="J339" i="7"/>
  <c r="I339" i="7"/>
  <c r="H339" i="7"/>
  <c r="G339" i="7"/>
  <c r="K338" i="7"/>
  <c r="J338" i="7"/>
  <c r="I338" i="7"/>
  <c r="H338" i="7"/>
  <c r="G338" i="7"/>
  <c r="K337" i="7"/>
  <c r="J337" i="7"/>
  <c r="I337" i="7"/>
  <c r="H337" i="7"/>
  <c r="G337" i="7"/>
  <c r="K336" i="7"/>
  <c r="J336" i="7"/>
  <c r="I336" i="7"/>
  <c r="H336" i="7"/>
  <c r="G336" i="7"/>
  <c r="K335" i="7"/>
  <c r="J335" i="7"/>
  <c r="I335" i="7"/>
  <c r="H335" i="7"/>
  <c r="G335" i="7"/>
  <c r="K334" i="7"/>
  <c r="J334" i="7"/>
  <c r="I334" i="7"/>
  <c r="H334" i="7"/>
  <c r="G334" i="7"/>
  <c r="K333" i="7"/>
  <c r="J333" i="7"/>
  <c r="I333" i="7"/>
  <c r="H333" i="7"/>
  <c r="G333" i="7"/>
  <c r="K332" i="7"/>
  <c r="J332" i="7"/>
  <c r="I332" i="7"/>
  <c r="H332" i="7"/>
  <c r="G332" i="7"/>
  <c r="K331" i="7"/>
  <c r="J331" i="7"/>
  <c r="I331" i="7"/>
  <c r="H331" i="7"/>
  <c r="G331" i="7"/>
  <c r="K330" i="7"/>
  <c r="J330" i="7"/>
  <c r="I330" i="7"/>
  <c r="H330" i="7"/>
  <c r="G330" i="7"/>
  <c r="K329" i="7"/>
  <c r="J329" i="7"/>
  <c r="I329" i="7"/>
  <c r="H329" i="7"/>
  <c r="G329" i="7"/>
  <c r="K328" i="7"/>
  <c r="J328" i="7"/>
  <c r="I328" i="7"/>
  <c r="H328" i="7"/>
  <c r="G328" i="7"/>
  <c r="K327" i="7"/>
  <c r="J327" i="7"/>
  <c r="I327" i="7"/>
  <c r="H327" i="7"/>
  <c r="G327" i="7"/>
  <c r="K326" i="7"/>
  <c r="J326" i="7"/>
  <c r="I326" i="7"/>
  <c r="H326" i="7"/>
  <c r="G326" i="7"/>
  <c r="K325" i="7"/>
  <c r="J325" i="7"/>
  <c r="I325" i="7"/>
  <c r="H325" i="7"/>
  <c r="G325" i="7"/>
  <c r="K324" i="7"/>
  <c r="J324" i="7"/>
  <c r="I324" i="7"/>
  <c r="H324" i="7"/>
  <c r="G324" i="7"/>
  <c r="K323" i="7"/>
  <c r="J323" i="7"/>
  <c r="I323" i="7"/>
  <c r="H323" i="7"/>
  <c r="G323" i="7"/>
  <c r="K322" i="7"/>
  <c r="J322" i="7"/>
  <c r="I322" i="7"/>
  <c r="H322" i="7"/>
  <c r="G322" i="7"/>
  <c r="K321" i="7"/>
  <c r="J321" i="7"/>
  <c r="I321" i="7"/>
  <c r="H321" i="7"/>
  <c r="G321" i="7"/>
  <c r="K320" i="7"/>
  <c r="J320" i="7"/>
  <c r="I320" i="7"/>
  <c r="H320" i="7"/>
  <c r="G320" i="7"/>
  <c r="K319" i="7"/>
  <c r="J319" i="7"/>
  <c r="I319" i="7"/>
  <c r="H319" i="7"/>
  <c r="G319" i="7"/>
  <c r="K318" i="7"/>
  <c r="J318" i="7"/>
  <c r="I318" i="7"/>
  <c r="H318" i="7"/>
  <c r="G318" i="7"/>
  <c r="K317" i="7"/>
  <c r="J317" i="7"/>
  <c r="I317" i="7"/>
  <c r="H317" i="7"/>
  <c r="G317" i="7"/>
  <c r="K316" i="7"/>
  <c r="J316" i="7"/>
  <c r="I316" i="7"/>
  <c r="H316" i="7"/>
  <c r="G316" i="7"/>
  <c r="K315" i="7"/>
  <c r="J315" i="7"/>
  <c r="I315" i="7"/>
  <c r="H315" i="7"/>
  <c r="G315" i="7"/>
  <c r="K314" i="7"/>
  <c r="J314" i="7"/>
  <c r="I314" i="7"/>
  <c r="H314" i="7"/>
  <c r="G314" i="7"/>
  <c r="K313" i="7"/>
  <c r="J313" i="7"/>
  <c r="I313" i="7"/>
  <c r="H313" i="7"/>
  <c r="G313" i="7"/>
  <c r="K312" i="7"/>
  <c r="J312" i="7"/>
  <c r="I312" i="7"/>
  <c r="H312" i="7"/>
  <c r="G312" i="7"/>
  <c r="K311" i="7"/>
  <c r="J311" i="7"/>
  <c r="I311" i="7"/>
  <c r="H311" i="7"/>
  <c r="G311" i="7"/>
  <c r="K310" i="7"/>
  <c r="J310" i="7"/>
  <c r="I310" i="7"/>
  <c r="H310" i="7"/>
  <c r="G310" i="7"/>
  <c r="K309" i="7"/>
  <c r="J309" i="7"/>
  <c r="I309" i="7"/>
  <c r="H309" i="7"/>
  <c r="G309" i="7"/>
  <c r="K308" i="7"/>
  <c r="J308" i="7"/>
  <c r="I308" i="7"/>
  <c r="H308" i="7"/>
  <c r="G308" i="7"/>
  <c r="AC301" i="7"/>
  <c r="AB301" i="7"/>
  <c r="AA301" i="7"/>
  <c r="Z301" i="7"/>
  <c r="Y301" i="7"/>
  <c r="X301" i="7"/>
  <c r="K307" i="7"/>
  <c r="J307" i="7"/>
  <c r="I307" i="7"/>
  <c r="H307" i="7"/>
  <c r="G307" i="7"/>
  <c r="AC300" i="7"/>
  <c r="AB300" i="7"/>
  <c r="AA300" i="7"/>
  <c r="Z300" i="7"/>
  <c r="Y300" i="7"/>
  <c r="X300" i="7"/>
  <c r="K306" i="7"/>
  <c r="J306" i="7"/>
  <c r="I306" i="7"/>
  <c r="H306" i="7"/>
  <c r="G306" i="7"/>
  <c r="AC299" i="7"/>
  <c r="AB299" i="7"/>
  <c r="AA299" i="7"/>
  <c r="Z299" i="7"/>
  <c r="Y299" i="7"/>
  <c r="X299" i="7"/>
  <c r="K305" i="7"/>
  <c r="J305" i="7"/>
  <c r="I305" i="7"/>
  <c r="H305" i="7"/>
  <c r="G305" i="7"/>
  <c r="AC298" i="7"/>
  <c r="AB298" i="7"/>
  <c r="AA298" i="7"/>
  <c r="Z298" i="7"/>
  <c r="Y298" i="7"/>
  <c r="X298" i="7"/>
  <c r="K304" i="7"/>
  <c r="J304" i="7"/>
  <c r="I304" i="7"/>
  <c r="H304" i="7"/>
  <c r="G304" i="7"/>
  <c r="AC297" i="7"/>
  <c r="AB297" i="7"/>
  <c r="AA297" i="7"/>
  <c r="Z297" i="7"/>
  <c r="Y297" i="7"/>
  <c r="X297" i="7"/>
  <c r="K303" i="7"/>
  <c r="J303" i="7"/>
  <c r="I303" i="7"/>
  <c r="H303" i="7"/>
  <c r="G303" i="7"/>
  <c r="AC296" i="7"/>
  <c r="AB296" i="7"/>
  <c r="AA296" i="7"/>
  <c r="Z296" i="7"/>
  <c r="Y296" i="7"/>
  <c r="X296" i="7"/>
  <c r="K302" i="7"/>
  <c r="J302" i="7"/>
  <c r="I302" i="7"/>
  <c r="H302" i="7"/>
  <c r="G302" i="7"/>
  <c r="AC295" i="7"/>
  <c r="AB295" i="7"/>
  <c r="AA295" i="7"/>
  <c r="Z295" i="7"/>
  <c r="Y295" i="7"/>
  <c r="X295" i="7"/>
  <c r="K301" i="7"/>
  <c r="J301" i="7"/>
  <c r="I301" i="7"/>
  <c r="H301" i="7"/>
  <c r="G301" i="7"/>
  <c r="AC294" i="7"/>
  <c r="AB294" i="7"/>
  <c r="AA294" i="7"/>
  <c r="Z294" i="7"/>
  <c r="Y294" i="7"/>
  <c r="X294" i="7"/>
  <c r="K300" i="7"/>
  <c r="J300" i="7"/>
  <c r="I300" i="7"/>
  <c r="H300" i="7"/>
  <c r="G300" i="7"/>
  <c r="AC293" i="7"/>
  <c r="AB293" i="7"/>
  <c r="AA293" i="7"/>
  <c r="Z293" i="7"/>
  <c r="Y293" i="7"/>
  <c r="X293" i="7"/>
  <c r="K299" i="7"/>
  <c r="J299" i="7"/>
  <c r="I299" i="7"/>
  <c r="H299" i="7"/>
  <c r="G299" i="7"/>
  <c r="AC292" i="7"/>
  <c r="AB292" i="7"/>
  <c r="AA292" i="7"/>
  <c r="Z292" i="7"/>
  <c r="Y292" i="7"/>
  <c r="X292" i="7"/>
  <c r="K298" i="7"/>
  <c r="J298" i="7"/>
  <c r="I298" i="7"/>
  <c r="H298" i="7"/>
  <c r="G298" i="7"/>
  <c r="AC291" i="7"/>
  <c r="AB291" i="7"/>
  <c r="AA291" i="7"/>
  <c r="Z291" i="7"/>
  <c r="Y291" i="7"/>
  <c r="X291" i="7"/>
  <c r="K297" i="7"/>
  <c r="J297" i="7"/>
  <c r="I297" i="7"/>
  <c r="H297" i="7"/>
  <c r="G297" i="7"/>
  <c r="AC290" i="7"/>
  <c r="AB290" i="7"/>
  <c r="AA290" i="7"/>
  <c r="Z290" i="7"/>
  <c r="Y290" i="7"/>
  <c r="X290" i="7"/>
  <c r="K296" i="7"/>
  <c r="J296" i="7"/>
  <c r="I296" i="7"/>
  <c r="H296" i="7"/>
  <c r="G296" i="7"/>
  <c r="AC289" i="7"/>
  <c r="AB289" i="7"/>
  <c r="AA289" i="7"/>
  <c r="Z289" i="7"/>
  <c r="Y289" i="7"/>
  <c r="X289" i="7"/>
  <c r="K295" i="7"/>
  <c r="J295" i="7"/>
  <c r="I295" i="7"/>
  <c r="H295" i="7"/>
  <c r="G295" i="7"/>
  <c r="AC288" i="7"/>
  <c r="AB288" i="7"/>
  <c r="AA288" i="7"/>
  <c r="Z288" i="7"/>
  <c r="Y288" i="7"/>
  <c r="X288" i="7"/>
  <c r="K294" i="7"/>
  <c r="J294" i="7"/>
  <c r="I294" i="7"/>
  <c r="H294" i="7"/>
  <c r="G294" i="7"/>
  <c r="AC287" i="7"/>
  <c r="AB287" i="7"/>
  <c r="AA287" i="7"/>
  <c r="Z287" i="7"/>
  <c r="Y287" i="7"/>
  <c r="X287" i="7"/>
  <c r="K293" i="7"/>
  <c r="J293" i="7"/>
  <c r="I293" i="7"/>
  <c r="H293" i="7"/>
  <c r="G293" i="7"/>
  <c r="AC286" i="7"/>
  <c r="AB286" i="7"/>
  <c r="AA286" i="7"/>
  <c r="Z286" i="7"/>
  <c r="Y286" i="7"/>
  <c r="X286" i="7"/>
  <c r="K292" i="7"/>
  <c r="J292" i="7"/>
  <c r="I292" i="7"/>
  <c r="H292" i="7"/>
  <c r="G292" i="7"/>
  <c r="AC285" i="7"/>
  <c r="AB285" i="7"/>
  <c r="AA285" i="7"/>
  <c r="Z285" i="7"/>
  <c r="Y285" i="7"/>
  <c r="X285" i="7"/>
  <c r="K291" i="7"/>
  <c r="J291" i="7"/>
  <c r="I291" i="7"/>
  <c r="H291" i="7"/>
  <c r="G291" i="7"/>
  <c r="AC284" i="7"/>
  <c r="AB284" i="7"/>
  <c r="AA284" i="7"/>
  <c r="Z284" i="7"/>
  <c r="Y284" i="7"/>
  <c r="X284" i="7"/>
  <c r="K290" i="7"/>
  <c r="J290" i="7"/>
  <c r="I290" i="7"/>
  <c r="H290" i="7"/>
  <c r="G290" i="7"/>
  <c r="AC283" i="7"/>
  <c r="AB283" i="7"/>
  <c r="AA283" i="7"/>
  <c r="Z283" i="7"/>
  <c r="Y283" i="7"/>
  <c r="X283" i="7"/>
  <c r="K289" i="7"/>
  <c r="J289" i="7"/>
  <c r="I289" i="7"/>
  <c r="H289" i="7"/>
  <c r="G289" i="7"/>
  <c r="AC282" i="7"/>
  <c r="AB282" i="7"/>
  <c r="AA282" i="7"/>
  <c r="Z282" i="7"/>
  <c r="Y282" i="7"/>
  <c r="X282" i="7"/>
  <c r="K288" i="7"/>
  <c r="J288" i="7"/>
  <c r="I288" i="7"/>
  <c r="H288" i="7"/>
  <c r="G288" i="7"/>
  <c r="AC281" i="7"/>
  <c r="AB281" i="7"/>
  <c r="AA281" i="7"/>
  <c r="Z281" i="7"/>
  <c r="Y281" i="7"/>
  <c r="X281" i="7"/>
  <c r="K287" i="7"/>
  <c r="J287" i="7"/>
  <c r="I287" i="7"/>
  <c r="H287" i="7"/>
  <c r="G287" i="7"/>
  <c r="AC280" i="7"/>
  <c r="AB280" i="7"/>
  <c r="AA280" i="7"/>
  <c r="Z280" i="7"/>
  <c r="Y280" i="7"/>
  <c r="X280" i="7"/>
  <c r="K286" i="7"/>
  <c r="J286" i="7"/>
  <c r="I286" i="7"/>
  <c r="H286" i="7"/>
  <c r="G286" i="7"/>
  <c r="AC279" i="7"/>
  <c r="AB279" i="7"/>
  <c r="AA279" i="7"/>
  <c r="Z279" i="7"/>
  <c r="Y279" i="7"/>
  <c r="X279" i="7"/>
  <c r="K285" i="7"/>
  <c r="J285" i="7"/>
  <c r="I285" i="7"/>
  <c r="H285" i="7"/>
  <c r="G285" i="7"/>
  <c r="AC278" i="7"/>
  <c r="AB278" i="7"/>
  <c r="AA278" i="7"/>
  <c r="Z278" i="7"/>
  <c r="Y278" i="7"/>
  <c r="X278" i="7"/>
  <c r="K284" i="7"/>
  <c r="J284" i="7"/>
  <c r="I284" i="7"/>
  <c r="H284" i="7"/>
  <c r="G284" i="7"/>
  <c r="K283" i="7"/>
  <c r="J283" i="7"/>
  <c r="I283" i="7"/>
  <c r="H283" i="7"/>
  <c r="G283" i="7"/>
  <c r="K282" i="7"/>
  <c r="J282" i="7"/>
  <c r="I282" i="7"/>
  <c r="H282" i="7"/>
  <c r="G282" i="7"/>
  <c r="K281" i="7"/>
  <c r="J281" i="7"/>
  <c r="I281" i="7"/>
  <c r="H281" i="7"/>
  <c r="G281" i="7"/>
  <c r="K280" i="7"/>
  <c r="J280" i="7"/>
  <c r="I280" i="7"/>
  <c r="H280" i="7"/>
  <c r="G280" i="7"/>
  <c r="K279" i="7"/>
  <c r="J279" i="7"/>
  <c r="I279" i="7"/>
  <c r="H279" i="7"/>
  <c r="G279" i="7"/>
  <c r="K278" i="7"/>
  <c r="J278" i="7"/>
  <c r="I278" i="7"/>
  <c r="H278" i="7"/>
  <c r="G278" i="7"/>
  <c r="K277" i="7"/>
  <c r="J277" i="7"/>
  <c r="I277" i="7"/>
  <c r="H277" i="7"/>
  <c r="G277" i="7"/>
  <c r="K276" i="7"/>
  <c r="J276" i="7"/>
  <c r="I276" i="7"/>
  <c r="H276" i="7"/>
  <c r="G276" i="7"/>
  <c r="K275" i="7"/>
  <c r="J275" i="7"/>
  <c r="I275" i="7"/>
  <c r="H275" i="7"/>
  <c r="G275" i="7"/>
  <c r="K274" i="7"/>
  <c r="J274" i="7"/>
  <c r="I274" i="7"/>
  <c r="H274" i="7"/>
  <c r="G274" i="7"/>
  <c r="K273" i="7"/>
  <c r="J273" i="7"/>
  <c r="I273" i="7"/>
  <c r="H273" i="7"/>
  <c r="G273" i="7"/>
  <c r="K272" i="7"/>
  <c r="J272" i="7"/>
  <c r="I272" i="7"/>
  <c r="H272" i="7"/>
  <c r="G272" i="7"/>
  <c r="K271" i="7"/>
  <c r="J271" i="7"/>
  <c r="I271" i="7"/>
  <c r="H271" i="7"/>
  <c r="G271" i="7"/>
  <c r="K270" i="7"/>
  <c r="J270" i="7"/>
  <c r="I270" i="7"/>
  <c r="H270" i="7"/>
  <c r="G270" i="7"/>
  <c r="K269" i="7"/>
  <c r="J269" i="7"/>
  <c r="I269" i="7"/>
  <c r="H269" i="7"/>
  <c r="G269" i="7"/>
  <c r="K268" i="7"/>
  <c r="J268" i="7"/>
  <c r="I268" i="7"/>
  <c r="H268" i="7"/>
  <c r="G268" i="7"/>
  <c r="K267" i="7"/>
  <c r="J267" i="7"/>
  <c r="I267" i="7"/>
  <c r="H267" i="7"/>
  <c r="G267" i="7"/>
  <c r="K266" i="7"/>
  <c r="J266" i="7"/>
  <c r="I266" i="7"/>
  <c r="H266" i="7"/>
  <c r="G266" i="7"/>
  <c r="K265" i="7"/>
  <c r="J265" i="7"/>
  <c r="I265" i="7"/>
  <c r="H265" i="7"/>
  <c r="G265" i="7"/>
  <c r="K264" i="7"/>
  <c r="J264" i="7"/>
  <c r="I264" i="7"/>
  <c r="H264" i="7"/>
  <c r="G264" i="7"/>
  <c r="AA257" i="7"/>
  <c r="Z257" i="7"/>
  <c r="Y257" i="7"/>
  <c r="X257" i="7"/>
  <c r="W257" i="7"/>
  <c r="K263" i="7"/>
  <c r="J263" i="7"/>
  <c r="I263" i="7"/>
  <c r="H263" i="7"/>
  <c r="G263" i="7"/>
  <c r="AA256" i="7"/>
  <c r="Z256" i="7"/>
  <c r="Y256" i="7"/>
  <c r="X256" i="7"/>
  <c r="W256" i="7"/>
  <c r="K262" i="7"/>
  <c r="J262" i="7"/>
  <c r="I262" i="7"/>
  <c r="H262" i="7"/>
  <c r="G262" i="7"/>
  <c r="K261" i="7"/>
  <c r="J261" i="7"/>
  <c r="I261" i="7"/>
  <c r="H261" i="7"/>
  <c r="G261" i="7"/>
  <c r="K260" i="7"/>
  <c r="J260" i="7"/>
  <c r="I260" i="7"/>
  <c r="H260" i="7"/>
  <c r="G260" i="7"/>
  <c r="K259" i="7"/>
  <c r="J259" i="7"/>
  <c r="I259" i="7"/>
  <c r="H259" i="7"/>
  <c r="G259" i="7"/>
  <c r="K258" i="7"/>
  <c r="J258" i="7"/>
  <c r="I258" i="7"/>
  <c r="H258" i="7"/>
  <c r="G258" i="7"/>
  <c r="K257" i="7"/>
  <c r="J257" i="7"/>
  <c r="I257" i="7"/>
  <c r="H257" i="7"/>
  <c r="G257" i="7"/>
  <c r="K256" i="7"/>
  <c r="J256" i="7"/>
  <c r="I256" i="7"/>
  <c r="H256" i="7"/>
  <c r="G256" i="7"/>
  <c r="K255" i="7"/>
  <c r="J255" i="7"/>
  <c r="I255" i="7"/>
  <c r="H255" i="7"/>
  <c r="G255" i="7"/>
  <c r="K254" i="7"/>
  <c r="J254" i="7"/>
  <c r="I254" i="7"/>
  <c r="H254" i="7"/>
  <c r="G254" i="7"/>
  <c r="K253" i="7"/>
  <c r="J253" i="7"/>
  <c r="I253" i="7"/>
  <c r="H253" i="7"/>
  <c r="G253" i="7"/>
  <c r="K252" i="7"/>
  <c r="J252" i="7"/>
  <c r="I252" i="7"/>
  <c r="H252" i="7"/>
  <c r="G252" i="7"/>
  <c r="K251" i="7"/>
  <c r="J251" i="7"/>
  <c r="I251" i="7"/>
  <c r="H251" i="7"/>
  <c r="G251" i="7"/>
  <c r="K250" i="7"/>
  <c r="J250" i="7"/>
  <c r="I250" i="7"/>
  <c r="H250" i="7"/>
  <c r="G250" i="7"/>
  <c r="K249" i="7"/>
  <c r="J249" i="7"/>
  <c r="I249" i="7"/>
  <c r="H249" i="7"/>
  <c r="G249" i="7"/>
  <c r="K248" i="7"/>
  <c r="J248" i="7"/>
  <c r="I248" i="7"/>
  <c r="H248" i="7"/>
  <c r="G248" i="7"/>
  <c r="K247" i="7"/>
  <c r="J247" i="7"/>
  <c r="I247" i="7"/>
  <c r="H247" i="7"/>
  <c r="G247" i="7"/>
  <c r="K246" i="7"/>
  <c r="J246" i="7"/>
  <c r="I246" i="7"/>
  <c r="H246" i="7"/>
  <c r="G246" i="7"/>
  <c r="K245" i="7"/>
  <c r="J245" i="7"/>
  <c r="I245" i="7"/>
  <c r="H245" i="7"/>
  <c r="G245" i="7"/>
  <c r="AB238" i="7"/>
  <c r="AA238" i="7"/>
  <c r="Z238" i="7"/>
  <c r="Y238" i="7"/>
  <c r="X238" i="7"/>
  <c r="K244" i="7"/>
  <c r="J244" i="7"/>
  <c r="I244" i="7"/>
  <c r="H244" i="7"/>
  <c r="G244" i="7"/>
  <c r="AB237" i="7"/>
  <c r="AA237" i="7"/>
  <c r="Z237" i="7"/>
  <c r="Y237" i="7"/>
  <c r="X237" i="7"/>
  <c r="K243" i="7"/>
  <c r="J243" i="7"/>
  <c r="I243" i="7"/>
  <c r="H243" i="7"/>
  <c r="G243" i="7"/>
  <c r="AB236" i="7"/>
  <c r="AA236" i="7"/>
  <c r="Z236" i="7"/>
  <c r="Y236" i="7"/>
  <c r="X236" i="7"/>
  <c r="K242" i="7"/>
  <c r="J242" i="7"/>
  <c r="I242" i="7"/>
  <c r="H242" i="7"/>
  <c r="G242" i="7"/>
  <c r="AB235" i="7"/>
  <c r="AA235" i="7"/>
  <c r="Z235" i="7"/>
  <c r="Y235" i="7"/>
  <c r="X235" i="7"/>
  <c r="K241" i="7"/>
  <c r="J241" i="7"/>
  <c r="I241" i="7"/>
  <c r="H241" i="7"/>
  <c r="G241" i="7"/>
  <c r="AB234" i="7"/>
  <c r="AA234" i="7"/>
  <c r="Z234" i="7"/>
  <c r="Y234" i="7"/>
  <c r="X234" i="7"/>
  <c r="K240" i="7"/>
  <c r="J240" i="7"/>
  <c r="I240" i="7"/>
  <c r="H240" i="7"/>
  <c r="G240" i="7"/>
  <c r="AB233" i="7"/>
  <c r="AA233" i="7"/>
  <c r="Z233" i="7"/>
  <c r="Y233" i="7"/>
  <c r="X233" i="7"/>
  <c r="K239" i="7"/>
  <c r="J239" i="7"/>
  <c r="I239" i="7"/>
  <c r="H239" i="7"/>
  <c r="G239" i="7"/>
  <c r="AB232" i="7"/>
  <c r="AA232" i="7"/>
  <c r="Z232" i="7"/>
  <c r="Y232" i="7"/>
  <c r="X232" i="7"/>
  <c r="K238" i="7"/>
  <c r="J238" i="7"/>
  <c r="I238" i="7"/>
  <c r="H238" i="7"/>
  <c r="G238" i="7"/>
  <c r="AB231" i="7"/>
  <c r="AA231" i="7"/>
  <c r="Z231" i="7"/>
  <c r="Y231" i="7"/>
  <c r="X231" i="7"/>
  <c r="K237" i="7"/>
  <c r="J237" i="7"/>
  <c r="I237" i="7"/>
  <c r="H237" i="7"/>
  <c r="G237" i="7"/>
  <c r="AB230" i="7"/>
  <c r="AA230" i="7"/>
  <c r="Z230" i="7"/>
  <c r="Y230" i="7"/>
  <c r="X230" i="7"/>
  <c r="K236" i="7"/>
  <c r="J236" i="7"/>
  <c r="I236" i="7"/>
  <c r="H236" i="7"/>
  <c r="G236" i="7"/>
  <c r="AB229" i="7"/>
  <c r="AA229" i="7"/>
  <c r="Z229" i="7"/>
  <c r="Y229" i="7"/>
  <c r="X229" i="7"/>
  <c r="K235" i="7"/>
  <c r="J235" i="7"/>
  <c r="I235" i="7"/>
  <c r="H235" i="7"/>
  <c r="G235" i="7"/>
  <c r="AB228" i="7"/>
  <c r="AA228" i="7"/>
  <c r="Z228" i="7"/>
  <c r="Y228" i="7"/>
  <c r="X228" i="7"/>
  <c r="K234" i="7"/>
  <c r="J234" i="7"/>
  <c r="I234" i="7"/>
  <c r="H234" i="7"/>
  <c r="G234" i="7"/>
  <c r="AB227" i="7"/>
  <c r="AA227" i="7"/>
  <c r="Z227" i="7"/>
  <c r="Y227" i="7"/>
  <c r="X227" i="7"/>
  <c r="K233" i="7"/>
  <c r="J233" i="7"/>
  <c r="I233" i="7"/>
  <c r="H233" i="7"/>
  <c r="G233" i="7"/>
  <c r="AB226" i="7"/>
  <c r="AA226" i="7"/>
  <c r="Z226" i="7"/>
  <c r="Y226" i="7"/>
  <c r="X226" i="7"/>
  <c r="K232" i="7"/>
  <c r="J232" i="7"/>
  <c r="I232" i="7"/>
  <c r="H232" i="7"/>
  <c r="G232" i="7"/>
  <c r="AB225" i="7"/>
  <c r="AA225" i="7"/>
  <c r="Z225" i="7"/>
  <c r="Y225" i="7"/>
  <c r="X225" i="7"/>
  <c r="K231" i="7"/>
  <c r="J231" i="7"/>
  <c r="I231" i="7"/>
  <c r="H231" i="7"/>
  <c r="G231" i="7"/>
  <c r="AB224" i="7"/>
  <c r="AA224" i="7"/>
  <c r="Z224" i="7"/>
  <c r="Y224" i="7"/>
  <c r="X224" i="7"/>
  <c r="K230" i="7"/>
  <c r="J230" i="7"/>
  <c r="I230" i="7"/>
  <c r="H230" i="7"/>
  <c r="G230" i="7"/>
  <c r="AB223" i="7"/>
  <c r="AA223" i="7"/>
  <c r="Z223" i="7"/>
  <c r="Y223" i="7"/>
  <c r="X223" i="7"/>
  <c r="K229" i="7"/>
  <c r="J229" i="7"/>
  <c r="I229" i="7"/>
  <c r="H229" i="7"/>
  <c r="G229" i="7"/>
  <c r="AB222" i="7"/>
  <c r="AA222" i="7"/>
  <c r="Z222" i="7"/>
  <c r="Y222" i="7"/>
  <c r="X222" i="7"/>
  <c r="K228" i="7"/>
  <c r="J228" i="7"/>
  <c r="I228" i="7"/>
  <c r="H228" i="7"/>
  <c r="G228" i="7"/>
  <c r="AB221" i="7"/>
  <c r="AA221" i="7"/>
  <c r="Z221" i="7"/>
  <c r="Y221" i="7"/>
  <c r="X221" i="7"/>
  <c r="K227" i="7"/>
  <c r="J227" i="7"/>
  <c r="I227" i="7"/>
  <c r="H227" i="7"/>
  <c r="G227" i="7"/>
  <c r="K226" i="7"/>
  <c r="J226" i="7"/>
  <c r="I226" i="7"/>
  <c r="H226" i="7"/>
  <c r="G226" i="7"/>
  <c r="K225" i="7"/>
  <c r="J225" i="7"/>
  <c r="I225" i="7"/>
  <c r="H225" i="7"/>
  <c r="G225" i="7"/>
  <c r="K224" i="7"/>
  <c r="J224" i="7"/>
  <c r="I224" i="7"/>
  <c r="H224" i="7"/>
  <c r="G224" i="7"/>
  <c r="AA201" i="7"/>
  <c r="Z201" i="7"/>
  <c r="Y201" i="7"/>
  <c r="X201" i="7"/>
  <c r="W201" i="7"/>
  <c r="AA200" i="7"/>
  <c r="Z200" i="7"/>
  <c r="Y200" i="7"/>
  <c r="X200" i="7"/>
  <c r="W200" i="7"/>
  <c r="AA199" i="7"/>
  <c r="Z199" i="7"/>
  <c r="Y199" i="7"/>
  <c r="X199" i="7"/>
  <c r="W199" i="7"/>
  <c r="J195" i="7"/>
  <c r="I195" i="7"/>
  <c r="H195" i="7"/>
  <c r="G195" i="7"/>
  <c r="F195" i="7"/>
  <c r="J194" i="7"/>
  <c r="I194" i="7"/>
  <c r="H194" i="7"/>
  <c r="G194" i="7"/>
  <c r="F194" i="7"/>
  <c r="J193" i="7"/>
  <c r="I193" i="7"/>
  <c r="H193" i="7"/>
  <c r="G193" i="7"/>
  <c r="F193" i="7"/>
  <c r="J192" i="7"/>
  <c r="I192" i="7"/>
  <c r="H192" i="7"/>
  <c r="G192" i="7"/>
  <c r="F192" i="7"/>
  <c r="J191" i="7"/>
  <c r="I191" i="7"/>
  <c r="H191" i="7"/>
  <c r="G191" i="7"/>
  <c r="F191" i="7"/>
  <c r="J190" i="7"/>
  <c r="I190" i="7"/>
  <c r="H190" i="7"/>
  <c r="G190" i="7"/>
  <c r="F190" i="7"/>
  <c r="J189" i="7"/>
  <c r="I189" i="7"/>
  <c r="H189" i="7"/>
  <c r="G189" i="7"/>
  <c r="F189" i="7"/>
  <c r="J188" i="7"/>
  <c r="I188" i="7"/>
  <c r="H188" i="7"/>
  <c r="G188" i="7"/>
  <c r="F188" i="7"/>
  <c r="J187" i="7"/>
  <c r="I187" i="7"/>
  <c r="H187" i="7"/>
  <c r="G187" i="7"/>
  <c r="F187" i="7"/>
  <c r="J186" i="7"/>
  <c r="I186" i="7"/>
  <c r="H186" i="7"/>
  <c r="G186" i="7"/>
  <c r="F186" i="7"/>
  <c r="AA181" i="7"/>
  <c r="Z181" i="7"/>
  <c r="Y181" i="7"/>
  <c r="X181" i="7"/>
  <c r="W181" i="7"/>
  <c r="J185" i="7"/>
  <c r="I185" i="7"/>
  <c r="H185" i="7"/>
  <c r="G185" i="7"/>
  <c r="F185" i="7"/>
  <c r="AA180" i="7"/>
  <c r="Z180" i="7"/>
  <c r="Y180" i="7"/>
  <c r="X180" i="7"/>
  <c r="W180" i="7"/>
  <c r="J184" i="7"/>
  <c r="I184" i="7"/>
  <c r="H184" i="7"/>
  <c r="G184" i="7"/>
  <c r="F184" i="7"/>
  <c r="J183" i="7"/>
  <c r="I183" i="7"/>
  <c r="H183" i="7"/>
  <c r="G183" i="7"/>
  <c r="F183" i="7"/>
  <c r="J182" i="7"/>
  <c r="I182" i="7"/>
  <c r="H182" i="7"/>
  <c r="G182" i="7"/>
  <c r="F182" i="7"/>
  <c r="J181" i="7"/>
  <c r="I181" i="7"/>
  <c r="H181" i="7"/>
  <c r="G181" i="7"/>
  <c r="F181" i="7"/>
  <c r="J180" i="7"/>
  <c r="I180" i="7"/>
  <c r="H180" i="7"/>
  <c r="G180" i="7"/>
  <c r="F180" i="7"/>
  <c r="J179" i="7"/>
  <c r="I179" i="7"/>
  <c r="H179" i="7"/>
  <c r="G179" i="7"/>
  <c r="F179" i="7"/>
  <c r="J178" i="7"/>
  <c r="H178" i="7"/>
  <c r="G178" i="7"/>
  <c r="F178" i="7"/>
  <c r="J177" i="7"/>
  <c r="I177" i="7"/>
  <c r="H177" i="7"/>
  <c r="G177" i="7"/>
  <c r="F177" i="7"/>
  <c r="J176" i="7"/>
  <c r="I176" i="7"/>
  <c r="H176" i="7"/>
  <c r="G176" i="7"/>
  <c r="F176" i="7"/>
  <c r="J175" i="7"/>
  <c r="I175" i="7"/>
  <c r="H175" i="7"/>
  <c r="G175" i="7"/>
  <c r="F175" i="7"/>
  <c r="J174" i="7"/>
  <c r="I174" i="7"/>
  <c r="H174" i="7"/>
  <c r="G174" i="7"/>
  <c r="F174" i="7"/>
  <c r="J173" i="7"/>
  <c r="I173" i="7"/>
  <c r="H173" i="7"/>
  <c r="G173" i="7"/>
  <c r="F173" i="7"/>
  <c r="J172" i="7"/>
  <c r="I172" i="7"/>
  <c r="H172" i="7"/>
  <c r="G172" i="7"/>
  <c r="F172" i="7"/>
  <c r="AA162" i="7"/>
  <c r="Z162" i="7"/>
  <c r="Y162" i="7"/>
  <c r="X162" i="7"/>
  <c r="W162" i="7"/>
  <c r="AA161" i="7"/>
  <c r="Z161" i="7"/>
  <c r="Y161" i="7"/>
  <c r="X161" i="7"/>
  <c r="W161" i="7"/>
  <c r="AA160" i="7"/>
  <c r="Z160" i="7"/>
  <c r="Y160" i="7"/>
  <c r="X160" i="7"/>
  <c r="W160" i="7"/>
  <c r="I153" i="7"/>
  <c r="H153" i="7"/>
  <c r="G153" i="7"/>
  <c r="F153" i="7"/>
  <c r="E153" i="7"/>
  <c r="I152" i="7"/>
  <c r="H152" i="7"/>
  <c r="G152" i="7"/>
  <c r="F152" i="7"/>
  <c r="E152" i="7"/>
  <c r="I151" i="7"/>
  <c r="H151" i="7"/>
  <c r="G151" i="7"/>
  <c r="F151" i="7"/>
  <c r="E151" i="7"/>
  <c r="I150" i="7"/>
  <c r="H150" i="7"/>
  <c r="G150" i="7"/>
  <c r="F150" i="7"/>
  <c r="E150" i="7"/>
  <c r="I149" i="7"/>
  <c r="H149" i="7"/>
  <c r="G149" i="7"/>
  <c r="F149" i="7"/>
  <c r="E149" i="7"/>
  <c r="I148" i="7"/>
  <c r="H148" i="7"/>
  <c r="G148" i="7"/>
  <c r="F148" i="7"/>
  <c r="E148" i="7"/>
  <c r="I147" i="7"/>
  <c r="H147" i="7"/>
  <c r="G147" i="7"/>
  <c r="F147" i="7"/>
  <c r="E147" i="7"/>
  <c r="I146" i="7"/>
  <c r="H146" i="7"/>
  <c r="G146" i="7"/>
  <c r="F146" i="7"/>
  <c r="E146" i="7"/>
  <c r="I145" i="7"/>
  <c r="H145" i="7"/>
  <c r="G145" i="7"/>
  <c r="F145" i="7"/>
  <c r="E145" i="7"/>
  <c r="AA142" i="7"/>
  <c r="Z142" i="7"/>
  <c r="Y142" i="7"/>
  <c r="X142" i="7"/>
  <c r="W142" i="7"/>
  <c r="I144" i="7"/>
  <c r="H144" i="7"/>
  <c r="G144" i="7"/>
  <c r="F144" i="7"/>
  <c r="E144" i="7"/>
  <c r="AA141" i="7"/>
  <c r="Z141" i="7"/>
  <c r="Y141" i="7"/>
  <c r="X141" i="7"/>
  <c r="W141" i="7"/>
  <c r="I143" i="7"/>
  <c r="H143" i="7"/>
  <c r="G143" i="7"/>
  <c r="F143" i="7"/>
  <c r="E143" i="7"/>
  <c r="AA140" i="7"/>
  <c r="Z140" i="7"/>
  <c r="Y140" i="7"/>
  <c r="X140" i="7"/>
  <c r="W140" i="7"/>
  <c r="I142" i="7"/>
  <c r="H142" i="7"/>
  <c r="G142" i="7"/>
  <c r="F142" i="7"/>
  <c r="E142" i="7"/>
  <c r="I141" i="7"/>
  <c r="H141" i="7"/>
  <c r="G141" i="7"/>
  <c r="F141" i="7"/>
  <c r="E141" i="7"/>
  <c r="I140" i="7"/>
  <c r="H140" i="7"/>
  <c r="G140" i="7"/>
  <c r="F140" i="7"/>
  <c r="E140" i="7"/>
  <c r="I139" i="7"/>
  <c r="H139" i="7"/>
  <c r="G139" i="7"/>
  <c r="F139" i="7"/>
  <c r="E139" i="7"/>
  <c r="I138" i="7"/>
  <c r="H138" i="7"/>
  <c r="G138" i="7"/>
  <c r="F138" i="7"/>
  <c r="E138" i="7"/>
  <c r="I137" i="7"/>
  <c r="H137" i="7"/>
  <c r="G137" i="7"/>
  <c r="F137" i="7"/>
  <c r="E137" i="7"/>
  <c r="I136" i="7"/>
  <c r="H136" i="7"/>
  <c r="G136" i="7"/>
  <c r="F136" i="7"/>
  <c r="E136" i="7"/>
  <c r="AB122" i="7"/>
  <c r="AA122" i="7"/>
  <c r="Z122" i="7"/>
  <c r="Y122" i="7"/>
  <c r="X122" i="7"/>
  <c r="AB121" i="7"/>
  <c r="AA121" i="7"/>
  <c r="Z121" i="7"/>
  <c r="Y121" i="7"/>
  <c r="X121" i="7"/>
  <c r="AB120" i="7"/>
  <c r="AA120" i="7"/>
  <c r="Z120" i="7"/>
  <c r="Y120" i="7"/>
  <c r="X120" i="7"/>
  <c r="AB119" i="7"/>
  <c r="AA119" i="7"/>
  <c r="Z119" i="7"/>
  <c r="Y119" i="7"/>
  <c r="X119" i="7"/>
  <c r="AB118" i="7"/>
  <c r="AA118" i="7"/>
  <c r="Z118" i="7"/>
  <c r="Y118" i="7"/>
  <c r="X118" i="7"/>
  <c r="AB117" i="7"/>
  <c r="AA117" i="7"/>
  <c r="Z117" i="7"/>
  <c r="Y117" i="7"/>
  <c r="X117" i="7"/>
  <c r="AB116" i="7"/>
  <c r="AA116" i="7"/>
  <c r="Z116" i="7"/>
  <c r="Y116" i="7"/>
  <c r="X116" i="7"/>
  <c r="I116" i="7"/>
  <c r="H116" i="7"/>
  <c r="G116" i="7"/>
  <c r="F116" i="7"/>
  <c r="E116" i="7"/>
  <c r="AB115" i="7"/>
  <c r="AA115" i="7"/>
  <c r="Z115" i="7"/>
  <c r="Y115" i="7"/>
  <c r="X115" i="7"/>
  <c r="I115" i="7"/>
  <c r="H115" i="7"/>
  <c r="G115" i="7"/>
  <c r="F115" i="7"/>
  <c r="E115" i="7"/>
  <c r="AB114" i="7"/>
  <c r="AA114" i="7"/>
  <c r="Z114" i="7"/>
  <c r="Y114" i="7"/>
  <c r="X114" i="7"/>
  <c r="I114" i="7"/>
  <c r="H114" i="7"/>
  <c r="G114" i="7"/>
  <c r="F114" i="7"/>
  <c r="E114" i="7"/>
  <c r="AB113" i="7"/>
  <c r="AA113" i="7"/>
  <c r="Z113" i="7"/>
  <c r="Y113" i="7"/>
  <c r="X113" i="7"/>
  <c r="I113" i="7"/>
  <c r="H113" i="7"/>
  <c r="G113" i="7"/>
  <c r="F113" i="7"/>
  <c r="E113" i="7"/>
  <c r="AB112" i="7"/>
  <c r="AA112" i="7"/>
  <c r="Z112" i="7"/>
  <c r="Y112" i="7"/>
  <c r="X112" i="7"/>
  <c r="I112" i="7"/>
  <c r="H112" i="7"/>
  <c r="G112" i="7"/>
  <c r="F112" i="7"/>
  <c r="E112" i="7"/>
  <c r="AB111" i="7"/>
  <c r="AA111" i="7"/>
  <c r="Z111" i="7"/>
  <c r="Y111" i="7"/>
  <c r="X111" i="7"/>
  <c r="I111" i="7"/>
  <c r="H111" i="7"/>
  <c r="G111" i="7"/>
  <c r="F111" i="7"/>
  <c r="E111" i="7"/>
  <c r="I110" i="7"/>
  <c r="H110" i="7"/>
  <c r="G110" i="7"/>
  <c r="F110" i="7"/>
  <c r="E110" i="7"/>
  <c r="I109" i="7"/>
  <c r="H109" i="7"/>
  <c r="G109" i="7"/>
  <c r="F109" i="7"/>
  <c r="E109" i="7"/>
  <c r="I108" i="7"/>
  <c r="H108" i="7"/>
  <c r="G108" i="7"/>
  <c r="F108" i="7"/>
  <c r="E108" i="7"/>
  <c r="I107" i="7"/>
  <c r="H107" i="7"/>
  <c r="G107" i="7"/>
  <c r="F107" i="7"/>
  <c r="E107" i="7"/>
  <c r="I106" i="7"/>
  <c r="H106" i="7"/>
  <c r="G106" i="7"/>
  <c r="F106" i="7"/>
  <c r="E106" i="7"/>
  <c r="I105" i="7"/>
  <c r="H105" i="7"/>
  <c r="G105" i="7"/>
  <c r="F105" i="7"/>
  <c r="E105" i="7"/>
  <c r="I104" i="7"/>
  <c r="H104" i="7"/>
  <c r="G104" i="7"/>
  <c r="F104" i="7"/>
  <c r="E104" i="7"/>
  <c r="I103" i="7"/>
  <c r="H103" i="7"/>
  <c r="G103" i="7"/>
  <c r="F103" i="7"/>
  <c r="E103" i="7"/>
  <c r="I102" i="7"/>
  <c r="H102" i="7"/>
  <c r="G102" i="7"/>
  <c r="F102" i="7"/>
  <c r="E102" i="7"/>
  <c r="I101" i="7"/>
  <c r="H101" i="7"/>
  <c r="G101" i="7"/>
  <c r="F101" i="7"/>
  <c r="E101" i="7"/>
  <c r="I100" i="7"/>
  <c r="H100" i="7"/>
  <c r="G100" i="7"/>
  <c r="F100" i="7"/>
  <c r="E100" i="7"/>
  <c r="I99" i="7"/>
  <c r="H99" i="7"/>
  <c r="G99" i="7"/>
  <c r="F99" i="7"/>
  <c r="E99" i="7"/>
  <c r="AB92" i="7"/>
  <c r="AA92" i="7"/>
  <c r="Z92" i="7"/>
  <c r="Y92" i="7"/>
  <c r="X92" i="7"/>
  <c r="AB91" i="7"/>
  <c r="AA91" i="7"/>
  <c r="Z91" i="7"/>
  <c r="Y91" i="7"/>
  <c r="X91" i="7"/>
  <c r="AB90" i="7"/>
  <c r="AA90" i="7"/>
  <c r="Z90" i="7"/>
  <c r="Y90" i="7"/>
  <c r="X90" i="7"/>
  <c r="AB89" i="7"/>
  <c r="AA89" i="7"/>
  <c r="Z89" i="7"/>
  <c r="Y89" i="7"/>
  <c r="X89" i="7"/>
  <c r="AB88" i="7"/>
  <c r="AA88" i="7"/>
  <c r="Z88" i="7"/>
  <c r="Y88" i="7"/>
  <c r="X88" i="7"/>
  <c r="AB87" i="7"/>
  <c r="AA87" i="7"/>
  <c r="Z87" i="7"/>
  <c r="Y87" i="7"/>
  <c r="X87" i="7"/>
  <c r="AB86" i="7"/>
  <c r="AA86" i="7"/>
  <c r="Z86" i="7"/>
  <c r="Y86" i="7"/>
  <c r="X86" i="7"/>
  <c r="AB85" i="7"/>
  <c r="AA85" i="7"/>
  <c r="Z85" i="7"/>
  <c r="Y85" i="7"/>
  <c r="X85" i="7"/>
  <c r="AB84" i="7"/>
  <c r="AA84" i="7"/>
  <c r="Z84" i="7"/>
  <c r="Y84" i="7"/>
  <c r="X84" i="7"/>
  <c r="AB83" i="7"/>
  <c r="AA83" i="7"/>
  <c r="Z83" i="7"/>
  <c r="Y83" i="7"/>
  <c r="X83" i="7"/>
  <c r="AB82" i="7"/>
  <c r="AA82" i="7"/>
  <c r="Z82" i="7"/>
  <c r="Y82" i="7"/>
  <c r="X82" i="7"/>
  <c r="AB81" i="7"/>
  <c r="AA81" i="7"/>
  <c r="Z81" i="7"/>
  <c r="Y81" i="7"/>
  <c r="X81" i="7"/>
  <c r="H79" i="7"/>
  <c r="G79" i="7"/>
  <c r="F79" i="7"/>
  <c r="E79" i="7"/>
  <c r="D79" i="7"/>
  <c r="AB80" i="7"/>
  <c r="AA80" i="7"/>
  <c r="Z80" i="7"/>
  <c r="Y80" i="7"/>
  <c r="X80" i="7"/>
  <c r="H78" i="7"/>
  <c r="G78" i="7"/>
  <c r="F78" i="7"/>
  <c r="E78" i="7"/>
  <c r="D78" i="7"/>
  <c r="AB79" i="7"/>
  <c r="AA79" i="7"/>
  <c r="Z79" i="7"/>
  <c r="Y79" i="7"/>
  <c r="X79" i="7"/>
  <c r="H77" i="7"/>
  <c r="G77" i="7"/>
  <c r="F77" i="7"/>
  <c r="E77" i="7"/>
  <c r="D77" i="7"/>
  <c r="AB78" i="7"/>
  <c r="AA78" i="7"/>
  <c r="Z78" i="7"/>
  <c r="Y78" i="7"/>
  <c r="X78" i="7"/>
  <c r="H76" i="7"/>
  <c r="G76" i="7"/>
  <c r="F76" i="7"/>
  <c r="E76" i="7"/>
  <c r="D76" i="7"/>
  <c r="AB77" i="7"/>
  <c r="AA77" i="7"/>
  <c r="Z77" i="7"/>
  <c r="Y77" i="7"/>
  <c r="X77" i="7"/>
  <c r="AB76" i="7"/>
  <c r="AA76" i="7"/>
  <c r="Z76" i="7"/>
  <c r="Y76" i="7"/>
  <c r="X76" i="7"/>
  <c r="AB75" i="7"/>
  <c r="AA75" i="7"/>
  <c r="Z75" i="7"/>
  <c r="Y75" i="7"/>
  <c r="X75" i="7"/>
  <c r="H58" i="7"/>
  <c r="G58" i="7"/>
  <c r="F58" i="7"/>
  <c r="E58" i="7"/>
  <c r="D58" i="7"/>
  <c r="H57" i="7"/>
  <c r="G57" i="7"/>
  <c r="F57" i="7"/>
  <c r="E57" i="7"/>
  <c r="D57" i="7"/>
  <c r="AB55" i="7"/>
  <c r="AA55" i="7"/>
  <c r="Z55" i="7"/>
  <c r="Y55" i="7"/>
  <c r="X55" i="7"/>
  <c r="AB54" i="7"/>
  <c r="AA54" i="7"/>
  <c r="Z54" i="7"/>
  <c r="Y54" i="7"/>
  <c r="X54" i="7"/>
  <c r="AB53" i="7"/>
  <c r="AA53" i="7"/>
  <c r="Z53" i="7"/>
  <c r="Y53" i="7"/>
  <c r="X53" i="7"/>
  <c r="AB52" i="7"/>
  <c r="AA52" i="7"/>
  <c r="Z52" i="7"/>
  <c r="Y52" i="7"/>
  <c r="X52" i="7"/>
  <c r="AB51" i="7"/>
  <c r="AA51" i="7"/>
  <c r="Z51" i="7"/>
  <c r="Y51" i="7"/>
  <c r="X51" i="7"/>
  <c r="AB50" i="7"/>
  <c r="AA50" i="7"/>
  <c r="Z50" i="7"/>
  <c r="Y50" i="7"/>
  <c r="X50" i="7"/>
  <c r="AB49" i="7"/>
  <c r="AA49" i="7"/>
  <c r="Z49" i="7"/>
  <c r="Y49" i="7"/>
  <c r="X49" i="7"/>
  <c r="AB48" i="7"/>
  <c r="AA48" i="7"/>
  <c r="Z48" i="7"/>
  <c r="Y48" i="7"/>
  <c r="X48" i="7"/>
  <c r="AB47" i="7"/>
  <c r="AA47" i="7"/>
  <c r="Z47" i="7"/>
  <c r="Y47" i="7"/>
  <c r="X47" i="7"/>
  <c r="AB46" i="7"/>
  <c r="AA46" i="7"/>
  <c r="Z46" i="7"/>
  <c r="Y46" i="7"/>
  <c r="X46" i="7"/>
  <c r="AB45" i="7"/>
  <c r="AA45" i="7"/>
  <c r="Z45" i="7"/>
  <c r="Y45" i="7"/>
  <c r="X45" i="7"/>
  <c r="H39" i="7"/>
  <c r="G39" i="7"/>
  <c r="F39" i="7"/>
  <c r="E39" i="7"/>
  <c r="D39" i="7"/>
  <c r="AB44" i="7"/>
  <c r="AA44" i="7"/>
  <c r="Z44" i="7"/>
  <c r="Y44" i="7"/>
  <c r="X44" i="7"/>
  <c r="H38" i="7"/>
  <c r="G38" i="7"/>
  <c r="F38" i="7"/>
  <c r="E38" i="7"/>
  <c r="D38" i="7"/>
  <c r="AB43" i="7"/>
  <c r="AA43" i="7"/>
  <c r="Z43" i="7"/>
  <c r="Y43" i="7"/>
  <c r="X43" i="7"/>
  <c r="H37" i="7"/>
  <c r="G37" i="7"/>
  <c r="F37" i="7"/>
  <c r="E37" i="7"/>
  <c r="D37" i="7"/>
  <c r="AB42" i="7"/>
  <c r="AA42" i="7"/>
  <c r="Z42" i="7"/>
  <c r="Y42" i="7"/>
  <c r="X42" i="7"/>
  <c r="H36" i="7"/>
  <c r="G36" i="7"/>
  <c r="F36" i="7"/>
  <c r="E36" i="7"/>
  <c r="D36" i="7"/>
  <c r="AB41" i="7"/>
  <c r="AA41" i="7"/>
  <c r="Z41" i="7"/>
  <c r="Y41" i="7"/>
  <c r="X41" i="7"/>
  <c r="AB40" i="7"/>
  <c r="AA40" i="7"/>
  <c r="Z40" i="7"/>
  <c r="Y40" i="7"/>
  <c r="X40" i="7"/>
  <c r="AB39" i="7"/>
  <c r="AA39" i="7"/>
  <c r="Z39" i="7"/>
  <c r="Y39" i="7"/>
  <c r="X39" i="7"/>
  <c r="AB38" i="7"/>
  <c r="AA38" i="7"/>
  <c r="Z38" i="7"/>
  <c r="Y38" i="7"/>
  <c r="X38" i="7"/>
  <c r="H26" i="7"/>
  <c r="G26" i="7"/>
  <c r="F26" i="7"/>
  <c r="E26" i="7"/>
  <c r="D26" i="7"/>
  <c r="H20" i="7"/>
  <c r="G20" i="7"/>
  <c r="F20" i="7"/>
  <c r="E20" i="7"/>
  <c r="D20" i="7"/>
  <c r="H18" i="7"/>
  <c r="G18" i="7"/>
  <c r="F18" i="7"/>
  <c r="E18" i="7"/>
  <c r="D18" i="7"/>
  <c r="H17" i="7"/>
  <c r="G17" i="7"/>
  <c r="F17" i="7"/>
  <c r="E17" i="7"/>
  <c r="D17" i="7"/>
  <c r="H16" i="7"/>
  <c r="G16" i="7"/>
  <c r="F16" i="7"/>
  <c r="E16" i="7"/>
  <c r="D16" i="7"/>
  <c r="H15" i="7"/>
  <c r="G15" i="7"/>
  <c r="F15" i="7"/>
  <c r="E15" i="7"/>
  <c r="D15" i="7"/>
  <c r="AA18" i="7"/>
  <c r="Z18" i="7"/>
  <c r="Y18" i="7"/>
  <c r="X18" i="7"/>
  <c r="W18" i="7"/>
  <c r="AA17" i="7"/>
  <c r="Z17" i="7"/>
  <c r="Y17" i="7"/>
  <c r="X17" i="7"/>
  <c r="W17" i="7"/>
  <c r="AA16" i="7"/>
  <c r="Z16" i="7"/>
  <c r="Y16" i="7"/>
  <c r="X16" i="7"/>
  <c r="W16" i="7"/>
  <c r="G569" i="4"/>
  <c r="H569" i="4"/>
  <c r="I569" i="4"/>
  <c r="J569" i="4"/>
  <c r="K569" i="4"/>
  <c r="G570" i="4"/>
  <c r="H570" i="4"/>
  <c r="I570" i="4"/>
  <c r="J570" i="4"/>
  <c r="K570" i="4"/>
  <c r="G571" i="4"/>
  <c r="H571" i="4"/>
  <c r="I571" i="4"/>
  <c r="J571" i="4"/>
  <c r="K571" i="4"/>
  <c r="G572" i="4"/>
  <c r="H572" i="4"/>
  <c r="I572" i="4"/>
  <c r="J572" i="4"/>
  <c r="K572" i="4"/>
  <c r="G573" i="4"/>
  <c r="H573" i="4"/>
  <c r="I573" i="4"/>
  <c r="J573" i="4"/>
  <c r="K573" i="4"/>
  <c r="G574" i="4"/>
  <c r="H574" i="4"/>
  <c r="I574" i="4"/>
  <c r="J574" i="4"/>
  <c r="K574" i="4"/>
  <c r="G575" i="4"/>
  <c r="H575" i="4"/>
  <c r="I575" i="4"/>
  <c r="J575" i="4"/>
  <c r="K575" i="4"/>
  <c r="G576" i="4"/>
  <c r="H576" i="4"/>
  <c r="I576" i="4"/>
  <c r="J576" i="4"/>
  <c r="K576" i="4"/>
  <c r="G577" i="4"/>
  <c r="H577" i="4"/>
  <c r="I577" i="4"/>
  <c r="J577" i="4"/>
  <c r="K577" i="4"/>
  <c r="G578" i="4"/>
  <c r="H578" i="4"/>
  <c r="I578" i="4"/>
  <c r="J578" i="4"/>
  <c r="K578" i="4"/>
  <c r="G579" i="4"/>
  <c r="H579" i="4"/>
  <c r="I579" i="4"/>
  <c r="J579" i="4"/>
  <c r="K579" i="4"/>
  <c r="G580" i="4"/>
  <c r="H580" i="4"/>
  <c r="I580" i="4"/>
  <c r="J580" i="4"/>
  <c r="K580" i="4"/>
  <c r="G581" i="4"/>
  <c r="H581" i="4"/>
  <c r="I581" i="4"/>
  <c r="J581" i="4"/>
  <c r="K581" i="4"/>
  <c r="G582" i="4"/>
  <c r="H582" i="4"/>
  <c r="I582" i="4"/>
  <c r="J582" i="4"/>
  <c r="K582" i="4"/>
  <c r="G583" i="4"/>
  <c r="H583" i="4"/>
  <c r="I583" i="4"/>
  <c r="J583" i="4"/>
  <c r="K583" i="4"/>
  <c r="G584" i="4"/>
  <c r="H584" i="4"/>
  <c r="I584" i="4"/>
  <c r="J584" i="4"/>
  <c r="K584" i="4"/>
  <c r="G585" i="4"/>
  <c r="H585" i="4"/>
  <c r="I585" i="4"/>
  <c r="J585" i="4"/>
  <c r="K585" i="4"/>
  <c r="G586" i="4"/>
  <c r="H586" i="4"/>
  <c r="I586" i="4"/>
  <c r="J586" i="4"/>
  <c r="K586" i="4"/>
  <c r="G587" i="4"/>
  <c r="H587" i="4"/>
  <c r="I587" i="4"/>
  <c r="J587" i="4"/>
  <c r="K587" i="4"/>
  <c r="G588" i="4"/>
  <c r="H588" i="4"/>
  <c r="I588" i="4"/>
  <c r="J588" i="4"/>
  <c r="K588" i="4"/>
  <c r="G589" i="4"/>
  <c r="H589" i="4"/>
  <c r="I589" i="4"/>
  <c r="J589" i="4"/>
  <c r="K589" i="4"/>
  <c r="G590" i="4"/>
  <c r="H590" i="4"/>
  <c r="I590" i="4"/>
  <c r="J590" i="4"/>
  <c r="K590" i="4"/>
  <c r="G591" i="4"/>
  <c r="H591" i="4"/>
  <c r="I591" i="4"/>
  <c r="J591" i="4"/>
  <c r="K591" i="4"/>
  <c r="G593" i="4"/>
  <c r="H593" i="4"/>
  <c r="I593" i="4"/>
  <c r="J593" i="4"/>
  <c r="K593" i="4"/>
  <c r="G598" i="4"/>
  <c r="H598" i="4"/>
  <c r="I598" i="4"/>
  <c r="J598" i="4"/>
  <c r="K598" i="4"/>
  <c r="G612" i="4"/>
  <c r="H612" i="4"/>
  <c r="I612" i="4"/>
  <c r="J612" i="4"/>
  <c r="K612" i="4"/>
  <c r="G613" i="4"/>
  <c r="H613" i="4"/>
  <c r="I613" i="4"/>
  <c r="J613" i="4"/>
  <c r="K613" i="4"/>
  <c r="G614" i="4"/>
  <c r="H614" i="4"/>
  <c r="I614" i="4"/>
  <c r="J614" i="4"/>
  <c r="K614" i="4"/>
  <c r="G615" i="4"/>
  <c r="H615" i="4"/>
  <c r="I615" i="4"/>
  <c r="J615" i="4"/>
  <c r="K615" i="4"/>
  <c r="G616" i="4"/>
  <c r="H616" i="4"/>
  <c r="I616" i="4"/>
  <c r="J616" i="4"/>
  <c r="K616" i="4"/>
  <c r="G617" i="4"/>
  <c r="H617" i="4"/>
  <c r="I617" i="4"/>
  <c r="J617" i="4"/>
  <c r="K617" i="4"/>
  <c r="G618" i="4"/>
  <c r="H618" i="4"/>
  <c r="I618" i="4"/>
  <c r="J618" i="4"/>
  <c r="K618" i="4"/>
  <c r="G619" i="4"/>
  <c r="H619" i="4"/>
  <c r="I619" i="4"/>
  <c r="J619" i="4"/>
  <c r="K619" i="4"/>
  <c r="G620" i="4"/>
  <c r="H620" i="4"/>
  <c r="I620" i="4"/>
  <c r="J620" i="4"/>
  <c r="K620" i="4"/>
  <c r="G621" i="4"/>
  <c r="H621" i="4"/>
  <c r="I621" i="4"/>
  <c r="J621" i="4"/>
  <c r="K621" i="4"/>
  <c r="G622" i="4"/>
  <c r="H622" i="4"/>
  <c r="I622" i="4"/>
  <c r="J622" i="4"/>
  <c r="K622" i="4"/>
  <c r="G623" i="4"/>
  <c r="H623" i="4"/>
  <c r="I623" i="4"/>
  <c r="J623" i="4"/>
  <c r="K623" i="4"/>
  <c r="G624" i="4"/>
  <c r="H624" i="4"/>
  <c r="I624" i="4"/>
  <c r="J624" i="4"/>
  <c r="K624" i="4"/>
  <c r="G625" i="4"/>
  <c r="H625" i="4"/>
  <c r="I625" i="4"/>
  <c r="J625" i="4"/>
  <c r="K625" i="4"/>
  <c r="G626" i="4"/>
  <c r="H626" i="4"/>
  <c r="I626" i="4"/>
  <c r="J626" i="4"/>
  <c r="K626" i="4"/>
  <c r="G627" i="4"/>
  <c r="H627" i="4"/>
  <c r="I627" i="4"/>
  <c r="J627" i="4"/>
  <c r="K627" i="4"/>
  <c r="G628" i="4"/>
  <c r="H628" i="4"/>
  <c r="I628" i="4"/>
  <c r="J628" i="4"/>
  <c r="K628" i="4"/>
  <c r="G629" i="4"/>
  <c r="H629" i="4"/>
  <c r="I629" i="4"/>
  <c r="J629" i="4"/>
  <c r="K629" i="4"/>
  <c r="G630" i="4"/>
  <c r="H630" i="4"/>
  <c r="I630" i="4"/>
  <c r="J630" i="4"/>
  <c r="K630" i="4"/>
  <c r="G631" i="4"/>
  <c r="H631" i="4"/>
  <c r="I631" i="4"/>
  <c r="J631" i="4"/>
  <c r="K631" i="4"/>
  <c r="G632" i="4"/>
  <c r="H632" i="4"/>
  <c r="I632" i="4"/>
  <c r="J632" i="4"/>
  <c r="K632" i="4"/>
  <c r="G633" i="4"/>
  <c r="H633" i="4"/>
  <c r="I633" i="4"/>
  <c r="J633" i="4"/>
  <c r="K633" i="4"/>
  <c r="G634" i="4"/>
  <c r="H634" i="4"/>
  <c r="I634" i="4"/>
  <c r="J634" i="4"/>
  <c r="K634" i="4"/>
  <c r="G635" i="4"/>
  <c r="H635" i="4"/>
  <c r="I635" i="4"/>
  <c r="J635" i="4"/>
  <c r="K635" i="4"/>
  <c r="G636" i="4"/>
  <c r="H636" i="4"/>
  <c r="I636" i="4"/>
  <c r="J636" i="4"/>
  <c r="K636" i="4"/>
  <c r="G637" i="4"/>
  <c r="H637" i="4"/>
  <c r="I637" i="4"/>
  <c r="J637" i="4"/>
  <c r="K637" i="4"/>
  <c r="G638" i="4"/>
  <c r="H638" i="4"/>
  <c r="I638" i="4"/>
  <c r="J638" i="4"/>
  <c r="K638" i="4"/>
  <c r="G639" i="4"/>
  <c r="H639" i="4"/>
  <c r="I639" i="4"/>
  <c r="J639" i="4"/>
  <c r="K639" i="4"/>
  <c r="G640" i="4"/>
  <c r="H640" i="4"/>
  <c r="I640" i="4"/>
  <c r="J640" i="4"/>
  <c r="K640" i="4"/>
  <c r="G641" i="4"/>
  <c r="H641" i="4"/>
  <c r="I641" i="4"/>
  <c r="J641" i="4"/>
  <c r="K641" i="4"/>
  <c r="G642" i="4"/>
  <c r="H642" i="4"/>
  <c r="I642" i="4"/>
  <c r="J642" i="4"/>
  <c r="K642" i="4"/>
  <c r="G643" i="4"/>
  <c r="H643" i="4"/>
  <c r="I643" i="4"/>
  <c r="J643" i="4"/>
  <c r="K643" i="4"/>
  <c r="G644" i="4"/>
  <c r="H644" i="4"/>
  <c r="I644" i="4"/>
  <c r="J644" i="4"/>
  <c r="K644" i="4"/>
  <c r="G645" i="4"/>
  <c r="H645" i="4"/>
  <c r="I645" i="4"/>
  <c r="J645" i="4"/>
  <c r="K645" i="4"/>
  <c r="G646" i="4"/>
  <c r="H646" i="4"/>
  <c r="I646" i="4"/>
  <c r="J646" i="4"/>
  <c r="K646" i="4"/>
  <c r="G647" i="4"/>
  <c r="H647" i="4"/>
  <c r="I647" i="4"/>
  <c r="J647" i="4"/>
  <c r="K647" i="4"/>
  <c r="G648" i="4"/>
  <c r="H648" i="4"/>
  <c r="I648" i="4"/>
  <c r="J648" i="4"/>
  <c r="K648" i="4"/>
  <c r="G649" i="4"/>
  <c r="H649" i="4"/>
  <c r="I649" i="4"/>
  <c r="J649" i="4"/>
  <c r="K649" i="4"/>
  <c r="G650" i="4"/>
  <c r="H650" i="4"/>
  <c r="I650" i="4"/>
  <c r="J650" i="4"/>
  <c r="K650" i="4"/>
  <c r="G651" i="4"/>
  <c r="H651" i="4"/>
  <c r="I651" i="4"/>
  <c r="J651" i="4"/>
  <c r="K651" i="4"/>
  <c r="G652" i="4"/>
  <c r="H652" i="4"/>
  <c r="I652" i="4"/>
  <c r="J652" i="4"/>
  <c r="K652" i="4"/>
  <c r="G653" i="4"/>
  <c r="H653" i="4"/>
  <c r="I653" i="4"/>
  <c r="J653" i="4"/>
  <c r="K653" i="4"/>
  <c r="G654" i="4"/>
  <c r="H654" i="4"/>
  <c r="I654" i="4"/>
  <c r="J654" i="4"/>
  <c r="K654" i="4"/>
  <c r="G655" i="4"/>
  <c r="H655" i="4"/>
  <c r="I655" i="4"/>
  <c r="J655" i="4"/>
  <c r="K655" i="4"/>
  <c r="G656" i="4"/>
  <c r="H656" i="4"/>
  <c r="I656" i="4"/>
  <c r="J656" i="4"/>
  <c r="K656" i="4"/>
  <c r="G657" i="4"/>
  <c r="H657" i="4"/>
  <c r="I657" i="4"/>
  <c r="J657" i="4"/>
  <c r="K657" i="4"/>
  <c r="G658" i="4"/>
  <c r="H658" i="4"/>
  <c r="I658" i="4"/>
  <c r="J658" i="4"/>
  <c r="K658" i="4"/>
  <c r="G659" i="4"/>
  <c r="H659" i="4"/>
  <c r="I659" i="4"/>
  <c r="J659" i="4"/>
  <c r="K659" i="4"/>
  <c r="G660" i="4"/>
  <c r="H660" i="4"/>
  <c r="I660" i="4"/>
  <c r="J660" i="4"/>
  <c r="K660" i="4"/>
  <c r="G661" i="4"/>
  <c r="H661" i="4"/>
  <c r="I661" i="4"/>
  <c r="J661" i="4"/>
  <c r="K661" i="4"/>
  <c r="G662" i="4"/>
  <c r="H662" i="4"/>
  <c r="I662" i="4"/>
  <c r="J662" i="4"/>
  <c r="K662" i="4"/>
  <c r="G663" i="4"/>
  <c r="H663" i="4"/>
  <c r="I663" i="4"/>
  <c r="J663" i="4"/>
  <c r="K663" i="4"/>
  <c r="G664" i="4"/>
  <c r="H664" i="4"/>
  <c r="I664" i="4"/>
  <c r="J664" i="4"/>
  <c r="K664" i="4"/>
  <c r="G665" i="4"/>
  <c r="H665" i="4"/>
  <c r="I665" i="4"/>
  <c r="J665" i="4"/>
  <c r="K665" i="4"/>
  <c r="G666" i="4"/>
  <c r="H666" i="4"/>
  <c r="I666" i="4"/>
  <c r="J666" i="4"/>
  <c r="K666" i="4"/>
  <c r="G667" i="4"/>
  <c r="H667" i="4"/>
  <c r="I667" i="4"/>
  <c r="J667" i="4"/>
  <c r="K667" i="4"/>
  <c r="G668" i="4"/>
  <c r="H668" i="4"/>
  <c r="I668" i="4"/>
  <c r="J668" i="4"/>
  <c r="K668" i="4"/>
  <c r="G669" i="4"/>
  <c r="H669" i="4"/>
  <c r="I669" i="4"/>
  <c r="J669" i="4"/>
  <c r="K669" i="4"/>
  <c r="G670" i="4"/>
  <c r="H670" i="4"/>
  <c r="I670" i="4"/>
  <c r="J670" i="4"/>
  <c r="K670" i="4"/>
  <c r="G671" i="4"/>
  <c r="H671" i="4"/>
  <c r="I671" i="4"/>
  <c r="J671" i="4"/>
  <c r="K671" i="4"/>
  <c r="G672" i="4"/>
  <c r="H672" i="4"/>
  <c r="I672" i="4"/>
  <c r="J672" i="4"/>
  <c r="K672" i="4"/>
  <c r="G673" i="4"/>
  <c r="H673" i="4"/>
  <c r="I673" i="4"/>
  <c r="J673" i="4"/>
  <c r="K673" i="4"/>
  <c r="G674" i="4"/>
  <c r="H674" i="4"/>
  <c r="I674" i="4"/>
  <c r="J674" i="4"/>
  <c r="K674" i="4"/>
  <c r="G675" i="4"/>
  <c r="H675" i="4"/>
  <c r="I675" i="4"/>
  <c r="J675" i="4"/>
  <c r="K675" i="4"/>
  <c r="G676" i="4"/>
  <c r="H676" i="4"/>
  <c r="I676" i="4"/>
  <c r="J676" i="4"/>
  <c r="K676" i="4"/>
  <c r="G677" i="4"/>
  <c r="H677" i="4"/>
  <c r="I677" i="4"/>
  <c r="J677" i="4"/>
  <c r="K677" i="4"/>
  <c r="G678" i="4"/>
  <c r="H678" i="4"/>
  <c r="I678" i="4"/>
  <c r="J678" i="4"/>
  <c r="K678" i="4"/>
  <c r="G679" i="4"/>
  <c r="H679" i="4"/>
  <c r="I679" i="4"/>
  <c r="J679" i="4"/>
  <c r="K679" i="4"/>
  <c r="G680" i="4"/>
  <c r="H680" i="4"/>
  <c r="I680" i="4"/>
  <c r="J680" i="4"/>
  <c r="K680" i="4"/>
  <c r="G681" i="4"/>
  <c r="H681" i="4"/>
  <c r="I681" i="4"/>
  <c r="J681" i="4"/>
  <c r="K681" i="4"/>
  <c r="G682" i="4"/>
  <c r="H682" i="4"/>
  <c r="I682" i="4"/>
  <c r="J682" i="4"/>
  <c r="K682" i="4"/>
  <c r="G683" i="4"/>
  <c r="H683" i="4"/>
  <c r="I683" i="4"/>
  <c r="J683" i="4"/>
  <c r="K683" i="4"/>
  <c r="G685" i="4"/>
  <c r="H685" i="4"/>
  <c r="I685" i="4"/>
  <c r="J685" i="4"/>
  <c r="K685" i="4"/>
  <c r="G690" i="4"/>
  <c r="H690" i="4"/>
  <c r="I690" i="4"/>
  <c r="J690" i="4"/>
  <c r="K690" i="4"/>
  <c r="E700" i="4"/>
  <c r="F700" i="4"/>
  <c r="G700" i="4"/>
  <c r="H700" i="4"/>
  <c r="I700" i="4"/>
  <c r="E701" i="4"/>
  <c r="F701" i="4"/>
  <c r="G701" i="4"/>
  <c r="H701" i="4"/>
  <c r="I701" i="4"/>
  <c r="E702" i="4"/>
  <c r="F702" i="4"/>
  <c r="G702" i="4"/>
  <c r="H702" i="4"/>
  <c r="I702" i="4"/>
  <c r="E703" i="4"/>
  <c r="F703" i="4"/>
  <c r="G703" i="4"/>
  <c r="H703" i="4"/>
  <c r="I703" i="4"/>
  <c r="E704" i="4"/>
  <c r="F704" i="4"/>
  <c r="G704" i="4"/>
  <c r="H704" i="4"/>
  <c r="I704" i="4"/>
  <c r="E705" i="4"/>
  <c r="F705" i="4"/>
  <c r="G705" i="4"/>
  <c r="H705" i="4"/>
  <c r="I705" i="4"/>
  <c r="E706" i="4"/>
  <c r="F706" i="4"/>
  <c r="G706" i="4"/>
  <c r="H706" i="4"/>
  <c r="I706" i="4"/>
  <c r="E707" i="4"/>
  <c r="F707" i="4"/>
  <c r="G707" i="4"/>
  <c r="H707" i="4"/>
  <c r="I707" i="4"/>
  <c r="E708" i="4"/>
  <c r="F708" i="4"/>
  <c r="G708" i="4"/>
  <c r="H708" i="4"/>
  <c r="I708" i="4"/>
  <c r="E709" i="4"/>
  <c r="F709" i="4"/>
  <c r="G709" i="4"/>
  <c r="H709" i="4"/>
  <c r="I709" i="4"/>
  <c r="E710" i="4"/>
  <c r="F710" i="4"/>
  <c r="G710" i="4"/>
  <c r="H710" i="4"/>
  <c r="I710" i="4"/>
  <c r="E711" i="4"/>
  <c r="F711" i="4"/>
  <c r="G711" i="4"/>
  <c r="H711" i="4"/>
  <c r="I711" i="4"/>
  <c r="E713" i="4"/>
  <c r="F713" i="4"/>
  <c r="G713" i="4"/>
  <c r="H713" i="4"/>
  <c r="I713" i="4"/>
  <c r="E718" i="4"/>
  <c r="F718" i="4"/>
  <c r="G718" i="4"/>
  <c r="H718" i="4"/>
  <c r="I718" i="4"/>
  <c r="AC304" i="4"/>
  <c r="AC302" i="4"/>
  <c r="AC298" i="4"/>
  <c r="AC296" i="4"/>
  <c r="AC290" i="4"/>
  <c r="AC291" i="4"/>
  <c r="AC292" i="4"/>
  <c r="AC293" i="4"/>
  <c r="AC270" i="4"/>
  <c r="AC289" i="4"/>
  <c r="AC288" i="4"/>
  <c r="AC287" i="4"/>
  <c r="AC286" i="4"/>
  <c r="AC285" i="4"/>
  <c r="AC284" i="4"/>
  <c r="AC283" i="4"/>
  <c r="AC282" i="4"/>
  <c r="AC281" i="4"/>
  <c r="AC280" i="4"/>
  <c r="AC279" i="4"/>
  <c r="AC278" i="4"/>
  <c r="AC277" i="4"/>
  <c r="AC276" i="4"/>
  <c r="AC275" i="4"/>
  <c r="AC274" i="4"/>
  <c r="AC273" i="4"/>
  <c r="AC272" i="4"/>
  <c r="AC271" i="4"/>
  <c r="H97" i="6"/>
  <c r="G97" i="6"/>
  <c r="F97" i="6"/>
  <c r="E97" i="6"/>
  <c r="D97" i="6"/>
  <c r="H92" i="6"/>
  <c r="G92" i="6"/>
  <c r="F92" i="6"/>
  <c r="E92" i="6"/>
  <c r="D92" i="6"/>
  <c r="D83" i="6"/>
  <c r="E83" i="6"/>
  <c r="G83" i="6"/>
  <c r="H83" i="6"/>
  <c r="D88" i="6"/>
  <c r="E88" i="6"/>
  <c r="F88" i="6"/>
  <c r="G88" i="6"/>
  <c r="H88" i="6"/>
  <c r="I79" i="6"/>
  <c r="H79" i="6"/>
  <c r="G79" i="6"/>
  <c r="F79" i="6"/>
  <c r="E79" i="6"/>
  <c r="D79" i="6"/>
  <c r="I74" i="6"/>
  <c r="H74" i="6"/>
  <c r="G74" i="6"/>
  <c r="F74" i="6"/>
  <c r="D74" i="6"/>
  <c r="H70" i="6"/>
  <c r="G70" i="6"/>
  <c r="F70" i="6"/>
  <c r="E70" i="6"/>
  <c r="D70" i="6"/>
  <c r="H65" i="6"/>
  <c r="G65" i="6"/>
  <c r="E65" i="6"/>
  <c r="D65" i="6"/>
  <c r="H61" i="6"/>
  <c r="G61" i="6"/>
  <c r="F61" i="6"/>
  <c r="E61" i="6"/>
  <c r="D61" i="6"/>
  <c r="H56" i="6"/>
  <c r="G56" i="6"/>
  <c r="F56" i="6"/>
  <c r="E56" i="6"/>
  <c r="D56" i="6"/>
  <c r="H52" i="6"/>
  <c r="G52" i="6"/>
  <c r="F52" i="6"/>
  <c r="E52" i="6"/>
  <c r="D52" i="6"/>
  <c r="H47" i="6"/>
  <c r="G47" i="6"/>
  <c r="F47" i="6"/>
  <c r="E47" i="6"/>
  <c r="D47" i="6"/>
  <c r="D38" i="6"/>
  <c r="E38" i="6"/>
  <c r="F38" i="6"/>
  <c r="G38" i="6"/>
  <c r="H38" i="6"/>
  <c r="D43" i="6"/>
  <c r="E43" i="6"/>
  <c r="F43" i="6"/>
  <c r="G43" i="6"/>
  <c r="H43" i="6"/>
  <c r="H34" i="6"/>
  <c r="G34" i="6"/>
  <c r="F34" i="6"/>
  <c r="E34" i="6"/>
  <c r="D34" i="6"/>
  <c r="H29" i="6"/>
  <c r="G29" i="6"/>
  <c r="F29" i="6"/>
  <c r="E29" i="6"/>
  <c r="D29" i="6"/>
  <c r="H25" i="6"/>
  <c r="G25" i="6"/>
  <c r="F25" i="6"/>
  <c r="E25" i="6"/>
  <c r="D25" i="6"/>
  <c r="H20" i="6"/>
  <c r="G20" i="6"/>
  <c r="F20" i="6"/>
  <c r="E20" i="6"/>
  <c r="D20" i="6"/>
  <c r="H16" i="6"/>
  <c r="G16" i="6"/>
  <c r="F16" i="6"/>
  <c r="E16" i="6"/>
  <c r="D16" i="6"/>
  <c r="H11" i="6"/>
  <c r="G11" i="6"/>
  <c r="F11" i="6"/>
  <c r="E11" i="6"/>
  <c r="D11" i="6"/>
  <c r="H7" i="6"/>
  <c r="G7" i="6"/>
  <c r="F7" i="6"/>
  <c r="E7" i="6"/>
  <c r="D7" i="6"/>
  <c r="H2" i="6"/>
  <c r="G2" i="6"/>
  <c r="F2" i="6"/>
  <c r="E2" i="6"/>
  <c r="D2" i="6"/>
  <c r="G10" i="5"/>
  <c r="H21" i="5"/>
  <c r="G21" i="5"/>
  <c r="F21" i="5"/>
  <c r="E21" i="5"/>
  <c r="D21" i="5"/>
  <c r="H19" i="5"/>
  <c r="G19" i="5"/>
  <c r="F19" i="5"/>
  <c r="E19" i="5"/>
  <c r="D19" i="5"/>
  <c r="H15" i="5"/>
  <c r="G15" i="5"/>
  <c r="F15" i="5"/>
  <c r="E15" i="5"/>
  <c r="D15" i="5"/>
  <c r="H13" i="5"/>
  <c r="G13" i="5"/>
  <c r="F13" i="5"/>
  <c r="E13" i="5"/>
  <c r="D13" i="5"/>
  <c r="H120" i="5"/>
  <c r="G120" i="5"/>
  <c r="F120" i="5"/>
  <c r="E120" i="5"/>
  <c r="D120" i="5"/>
  <c r="H118" i="5"/>
  <c r="G118" i="5"/>
  <c r="F118" i="5"/>
  <c r="E118" i="5"/>
  <c r="D118" i="5"/>
  <c r="H114" i="5"/>
  <c r="G114" i="5"/>
  <c r="F114" i="5"/>
  <c r="E114" i="5"/>
  <c r="D114" i="5"/>
  <c r="H112" i="5"/>
  <c r="G112" i="5"/>
  <c r="F112" i="5"/>
  <c r="E112" i="5"/>
  <c r="D112" i="5"/>
  <c r="H109" i="5"/>
  <c r="G109" i="5"/>
  <c r="F109" i="5"/>
  <c r="E109" i="5"/>
  <c r="D109" i="5"/>
  <c r="H107" i="5"/>
  <c r="G107" i="5"/>
  <c r="F107" i="5"/>
  <c r="E107" i="5"/>
  <c r="D107" i="5"/>
  <c r="H103" i="5"/>
  <c r="G103" i="5"/>
  <c r="F103" i="5"/>
  <c r="E103" i="5"/>
  <c r="D103" i="5"/>
  <c r="H101" i="5"/>
  <c r="G101" i="5"/>
  <c r="F101" i="5"/>
  <c r="E101" i="5"/>
  <c r="D101" i="5"/>
  <c r="H98" i="5"/>
  <c r="G98" i="5"/>
  <c r="F98" i="5"/>
  <c r="E98" i="5"/>
  <c r="D98" i="5"/>
  <c r="H96" i="5"/>
  <c r="G96" i="5"/>
  <c r="F96" i="5"/>
  <c r="E96" i="5"/>
  <c r="D96" i="5"/>
  <c r="H92" i="5"/>
  <c r="G92" i="5"/>
  <c r="F92" i="5"/>
  <c r="E92" i="5"/>
  <c r="D92" i="5"/>
  <c r="H90" i="5"/>
  <c r="G90" i="5"/>
  <c r="F90" i="5"/>
  <c r="E90" i="5"/>
  <c r="D90" i="5"/>
  <c r="H87" i="5"/>
  <c r="G87" i="5"/>
  <c r="F87" i="5"/>
  <c r="E87" i="5"/>
  <c r="D87" i="5"/>
  <c r="H85" i="5"/>
  <c r="G85" i="5"/>
  <c r="F85" i="5"/>
  <c r="E85" i="5"/>
  <c r="D85" i="5"/>
  <c r="H81" i="5"/>
  <c r="G81" i="5"/>
  <c r="F81" i="5"/>
  <c r="E81" i="5"/>
  <c r="D81" i="5"/>
  <c r="H79" i="5"/>
  <c r="G79" i="5"/>
  <c r="F79" i="5"/>
  <c r="E79" i="5"/>
  <c r="D79" i="5"/>
  <c r="H76" i="5"/>
  <c r="G76" i="5"/>
  <c r="F76" i="5"/>
  <c r="E76" i="5"/>
  <c r="D76" i="5"/>
  <c r="H74" i="5"/>
  <c r="G74" i="5"/>
  <c r="F74" i="5"/>
  <c r="E74" i="5"/>
  <c r="D74" i="5"/>
  <c r="H70" i="5"/>
  <c r="G70" i="5"/>
  <c r="F70" i="5"/>
  <c r="E70" i="5"/>
  <c r="D70" i="5"/>
  <c r="H68" i="5"/>
  <c r="G68" i="5"/>
  <c r="F68" i="5"/>
  <c r="E68" i="5"/>
  <c r="D68" i="5"/>
  <c r="H65" i="5"/>
  <c r="G65" i="5"/>
  <c r="F65" i="5"/>
  <c r="E65" i="5"/>
  <c r="D65" i="5"/>
  <c r="H63" i="5"/>
  <c r="G63" i="5"/>
  <c r="F63" i="5"/>
  <c r="E63" i="5"/>
  <c r="D63" i="5"/>
  <c r="H59" i="5"/>
  <c r="G59" i="5"/>
  <c r="F59" i="5"/>
  <c r="E59" i="5"/>
  <c r="D59" i="5"/>
  <c r="H57" i="5"/>
  <c r="G57" i="5"/>
  <c r="F57" i="5"/>
  <c r="E57" i="5"/>
  <c r="D57" i="5"/>
  <c r="H54" i="5"/>
  <c r="G54" i="5"/>
  <c r="F54" i="5"/>
  <c r="E54" i="5"/>
  <c r="D54" i="5"/>
  <c r="H52" i="5"/>
  <c r="G52" i="5"/>
  <c r="F52" i="5"/>
  <c r="E52" i="5"/>
  <c r="D52" i="5"/>
  <c r="H48" i="5"/>
  <c r="G48" i="5"/>
  <c r="F48" i="5"/>
  <c r="E48" i="5"/>
  <c r="D48" i="5"/>
  <c r="H46" i="5"/>
  <c r="G46" i="5"/>
  <c r="F46" i="5"/>
  <c r="E46" i="5"/>
  <c r="D46" i="5"/>
  <c r="H43" i="5"/>
  <c r="G43" i="5"/>
  <c r="F43" i="5"/>
  <c r="E43" i="5"/>
  <c r="D43" i="5"/>
  <c r="H41" i="5"/>
  <c r="G41" i="5"/>
  <c r="F41" i="5"/>
  <c r="E41" i="5"/>
  <c r="D41" i="5"/>
  <c r="H37" i="5"/>
  <c r="G37" i="5"/>
  <c r="F37" i="5"/>
  <c r="E37" i="5"/>
  <c r="D37" i="5"/>
  <c r="H35" i="5"/>
  <c r="G35" i="5"/>
  <c r="F35" i="5"/>
  <c r="E35" i="5"/>
  <c r="D35" i="5"/>
  <c r="H32" i="5"/>
  <c r="G32" i="5"/>
  <c r="F32" i="5"/>
  <c r="E32" i="5"/>
  <c r="D32" i="5"/>
  <c r="H30" i="5"/>
  <c r="G30" i="5"/>
  <c r="F30" i="5"/>
  <c r="E30" i="5"/>
  <c r="D30" i="5"/>
  <c r="H26" i="5"/>
  <c r="G26" i="5"/>
  <c r="F26" i="5"/>
  <c r="E26" i="5"/>
  <c r="D26" i="5"/>
  <c r="H24" i="5"/>
  <c r="G24" i="5"/>
  <c r="F24" i="5"/>
  <c r="E24" i="5"/>
  <c r="D24" i="5"/>
  <c r="N182" i="2" l="1"/>
  <c r="R182" i="2" s="1"/>
  <c r="N190" i="2"/>
  <c r="R190" i="2" s="1"/>
  <c r="N178" i="2"/>
  <c r="R178" i="2" s="1"/>
  <c r="N174" i="2"/>
  <c r="R174" i="2" s="1"/>
  <c r="N172" i="2"/>
  <c r="R172" i="2" s="1"/>
  <c r="N170" i="2"/>
  <c r="R170" i="2" s="1"/>
  <c r="N168" i="2"/>
  <c r="R168" i="2" s="1"/>
  <c r="H10" i="5"/>
  <c r="F10" i="5"/>
  <c r="E10" i="5"/>
  <c r="D10" i="5"/>
  <c r="H8" i="5"/>
  <c r="G8" i="5"/>
  <c r="F8" i="5"/>
  <c r="E8" i="5"/>
  <c r="D8" i="5"/>
  <c r="H4" i="5"/>
  <c r="G4" i="5"/>
  <c r="F4" i="5"/>
  <c r="E4" i="5"/>
  <c r="D4" i="5"/>
  <c r="H2" i="5"/>
  <c r="G2" i="5"/>
  <c r="F2" i="5"/>
  <c r="E2" i="5"/>
  <c r="D2" i="5"/>
  <c r="X298" i="4"/>
  <c r="W259" i="4"/>
  <c r="AA259" i="4"/>
  <c r="Z259" i="4"/>
  <c r="Y259" i="4"/>
  <c r="X259" i="4"/>
  <c r="AA253" i="4"/>
  <c r="Z253" i="4"/>
  <c r="Y253" i="4"/>
  <c r="X253" i="4"/>
  <c r="W253" i="4"/>
  <c r="X304" i="4"/>
  <c r="AB304" i="4"/>
  <c r="AA304" i="4"/>
  <c r="Z304" i="4"/>
  <c r="Y304" i="4"/>
  <c r="AB302" i="4"/>
  <c r="AA302" i="4"/>
  <c r="Z302" i="4"/>
  <c r="Y302" i="4"/>
  <c r="X302" i="4"/>
  <c r="AB298" i="4"/>
  <c r="AA298" i="4"/>
  <c r="Z298" i="4"/>
  <c r="Y298" i="4"/>
  <c r="AB296" i="4"/>
  <c r="AA296" i="4"/>
  <c r="Z296" i="4"/>
  <c r="Y296" i="4"/>
  <c r="X296" i="4"/>
  <c r="X240" i="4"/>
  <c r="X234" i="4"/>
  <c r="AB240" i="4"/>
  <c r="AA240" i="4"/>
  <c r="Z240" i="4"/>
  <c r="Y240" i="4"/>
  <c r="AB234" i="4"/>
  <c r="AA234" i="4"/>
  <c r="Z234" i="4"/>
  <c r="Y234" i="4"/>
  <c r="X238" i="4"/>
  <c r="X232" i="4"/>
  <c r="W251" i="4"/>
  <c r="AA203" i="4"/>
  <c r="Z203" i="4"/>
  <c r="Y203" i="4"/>
  <c r="X203" i="4"/>
  <c r="W203" i="4"/>
  <c r="AA197" i="4"/>
  <c r="Z197" i="4"/>
  <c r="Y197" i="4"/>
  <c r="X197" i="4"/>
  <c r="W197" i="4"/>
  <c r="AA183" i="4"/>
  <c r="Z183" i="4"/>
  <c r="Y183" i="4"/>
  <c r="X183" i="4"/>
  <c r="W183" i="4"/>
  <c r="AA177" i="4"/>
  <c r="Z177" i="4"/>
  <c r="Y177" i="4"/>
  <c r="X177" i="4"/>
  <c r="W177" i="4"/>
  <c r="AA164" i="4"/>
  <c r="Z164" i="4"/>
  <c r="Y164" i="4"/>
  <c r="X164" i="4"/>
  <c r="W164" i="4"/>
  <c r="AA158" i="4"/>
  <c r="Z158" i="4"/>
  <c r="Y158" i="4"/>
  <c r="X158" i="4"/>
  <c r="W158" i="4"/>
  <c r="AA144" i="4"/>
  <c r="Z144" i="4"/>
  <c r="Y144" i="4"/>
  <c r="X144" i="4"/>
  <c r="W144" i="4"/>
  <c r="AA138" i="4"/>
  <c r="Z138" i="4"/>
  <c r="Y138" i="4"/>
  <c r="X138" i="4"/>
  <c r="W138" i="4"/>
  <c r="AB124" i="4"/>
  <c r="AA124" i="4"/>
  <c r="Z124" i="4"/>
  <c r="Y124" i="4"/>
  <c r="X124" i="4"/>
  <c r="AB122" i="4"/>
  <c r="AA122" i="4"/>
  <c r="Z122" i="4"/>
  <c r="Y122" i="4"/>
  <c r="X122" i="4"/>
  <c r="AB118" i="4"/>
  <c r="AA118" i="4"/>
  <c r="Z118" i="4"/>
  <c r="Y118" i="4"/>
  <c r="X118" i="4"/>
  <c r="AB116" i="4"/>
  <c r="AA116" i="4"/>
  <c r="Z116" i="4"/>
  <c r="Y116" i="4"/>
  <c r="X116" i="4"/>
  <c r="AB94" i="4"/>
  <c r="AA94" i="4"/>
  <c r="Z94" i="4"/>
  <c r="Y94" i="4"/>
  <c r="X94" i="4"/>
  <c r="AB88" i="4"/>
  <c r="AA88" i="4"/>
  <c r="Z88" i="4"/>
  <c r="Y88" i="4"/>
  <c r="X88" i="4"/>
  <c r="AB57" i="4"/>
  <c r="AA57" i="4"/>
  <c r="Z57" i="4"/>
  <c r="Y57" i="4"/>
  <c r="X57" i="4"/>
  <c r="AB51" i="4"/>
  <c r="AA51" i="4"/>
  <c r="Z51" i="4"/>
  <c r="Y51" i="4"/>
  <c r="X51" i="4"/>
  <c r="AA20" i="4"/>
  <c r="Z20" i="4"/>
  <c r="Y20" i="4"/>
  <c r="X20" i="4"/>
  <c r="W20" i="4"/>
  <c r="AA14" i="4"/>
  <c r="Z14" i="4"/>
  <c r="Y14" i="4"/>
  <c r="X14" i="4"/>
  <c r="W14" i="4"/>
  <c r="L432" i="4"/>
  <c r="L427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210" i="4"/>
  <c r="AB288" i="4"/>
  <c r="AA288" i="4"/>
  <c r="Y248" i="4"/>
  <c r="X288" i="4"/>
  <c r="Y288" i="4"/>
  <c r="Z288" i="4"/>
  <c r="X289" i="4"/>
  <c r="Y289" i="4"/>
  <c r="Z289" i="4"/>
  <c r="AA289" i="4"/>
  <c r="AB289" i="4"/>
  <c r="X290" i="4"/>
  <c r="Y290" i="4"/>
  <c r="Z290" i="4"/>
  <c r="AA290" i="4"/>
  <c r="AB290" i="4"/>
  <c r="X291" i="4"/>
  <c r="Y291" i="4"/>
  <c r="Z291" i="4"/>
  <c r="AA291" i="4"/>
  <c r="AB291" i="4"/>
  <c r="X292" i="4"/>
  <c r="Y292" i="4"/>
  <c r="Z292" i="4"/>
  <c r="AA292" i="4"/>
  <c r="AB292" i="4"/>
  <c r="X293" i="4"/>
  <c r="Y293" i="4"/>
  <c r="Z293" i="4"/>
  <c r="AA293" i="4"/>
  <c r="AB293" i="4"/>
  <c r="AB287" i="4"/>
  <c r="AA287" i="4"/>
  <c r="Z287" i="4"/>
  <c r="Y287" i="4"/>
  <c r="X287" i="4"/>
  <c r="AB286" i="4"/>
  <c r="AA286" i="4"/>
  <c r="Z286" i="4"/>
  <c r="Y286" i="4"/>
  <c r="X286" i="4"/>
  <c r="AB285" i="4"/>
  <c r="AA285" i="4"/>
  <c r="Z285" i="4"/>
  <c r="Y285" i="4"/>
  <c r="X285" i="4"/>
  <c r="AB284" i="4"/>
  <c r="AA284" i="4"/>
  <c r="Z284" i="4"/>
  <c r="Y284" i="4"/>
  <c r="X284" i="4"/>
  <c r="AB283" i="4"/>
  <c r="AA283" i="4"/>
  <c r="Z283" i="4"/>
  <c r="Y283" i="4"/>
  <c r="X283" i="4"/>
  <c r="AB282" i="4"/>
  <c r="AA282" i="4"/>
  <c r="Z282" i="4"/>
  <c r="Y282" i="4"/>
  <c r="X282" i="4"/>
  <c r="AB281" i="4"/>
  <c r="AA281" i="4"/>
  <c r="Z281" i="4"/>
  <c r="Y281" i="4"/>
  <c r="X281" i="4"/>
  <c r="AB280" i="4"/>
  <c r="AA280" i="4"/>
  <c r="Z280" i="4"/>
  <c r="Y280" i="4"/>
  <c r="X280" i="4"/>
  <c r="AB279" i="4"/>
  <c r="AA279" i="4"/>
  <c r="Z279" i="4"/>
  <c r="Y279" i="4"/>
  <c r="X279" i="4"/>
  <c r="AB278" i="4"/>
  <c r="AA278" i="4"/>
  <c r="Z278" i="4"/>
  <c r="Y278" i="4"/>
  <c r="X278" i="4"/>
  <c r="AB277" i="4"/>
  <c r="AA277" i="4"/>
  <c r="Z277" i="4"/>
  <c r="Y277" i="4"/>
  <c r="X277" i="4"/>
  <c r="AB276" i="4"/>
  <c r="AA276" i="4"/>
  <c r="Z276" i="4"/>
  <c r="Y276" i="4"/>
  <c r="X276" i="4"/>
  <c r="AB275" i="4"/>
  <c r="AA275" i="4"/>
  <c r="Z275" i="4"/>
  <c r="Y275" i="4"/>
  <c r="X275" i="4"/>
  <c r="AB274" i="4"/>
  <c r="AA274" i="4"/>
  <c r="Z274" i="4"/>
  <c r="Y274" i="4"/>
  <c r="X274" i="4"/>
  <c r="AB273" i="4"/>
  <c r="AA273" i="4"/>
  <c r="Z273" i="4"/>
  <c r="Y273" i="4"/>
  <c r="X273" i="4"/>
  <c r="AB272" i="4"/>
  <c r="AA272" i="4"/>
  <c r="Z272" i="4"/>
  <c r="Y272" i="4"/>
  <c r="X272" i="4"/>
  <c r="AB271" i="4"/>
  <c r="AA271" i="4"/>
  <c r="Z271" i="4"/>
  <c r="Y271" i="4"/>
  <c r="X271" i="4"/>
  <c r="AB270" i="4"/>
  <c r="AA270" i="4"/>
  <c r="Z270" i="4"/>
  <c r="Y270" i="4"/>
  <c r="X270" i="4"/>
  <c r="AA257" i="4"/>
  <c r="Z257" i="4"/>
  <c r="Y257" i="4"/>
  <c r="X257" i="4"/>
  <c r="W257" i="4"/>
  <c r="AA251" i="4"/>
  <c r="Z251" i="4"/>
  <c r="Y251" i="4"/>
  <c r="X251" i="4"/>
  <c r="AA249" i="4"/>
  <c r="Z249" i="4"/>
  <c r="Y249" i="4"/>
  <c r="X249" i="4"/>
  <c r="W249" i="4"/>
  <c r="AA248" i="4"/>
  <c r="Z248" i="4"/>
  <c r="X248" i="4"/>
  <c r="W248" i="4"/>
  <c r="AB238" i="4"/>
  <c r="AA238" i="4"/>
  <c r="Z238" i="4"/>
  <c r="Y238" i="4"/>
  <c r="AB232" i="4"/>
  <c r="AA232" i="4"/>
  <c r="Z232" i="4"/>
  <c r="Y232" i="4"/>
  <c r="X216" i="4"/>
  <c r="Y216" i="4"/>
  <c r="Z216" i="4"/>
  <c r="AA216" i="4"/>
  <c r="AB216" i="4"/>
  <c r="X217" i="4"/>
  <c r="Y217" i="4"/>
  <c r="Z217" i="4"/>
  <c r="AA217" i="4"/>
  <c r="AB217" i="4"/>
  <c r="X218" i="4"/>
  <c r="Y218" i="4"/>
  <c r="Z218" i="4"/>
  <c r="AA218" i="4"/>
  <c r="AB218" i="4"/>
  <c r="X219" i="4"/>
  <c r="Y219" i="4"/>
  <c r="Z219" i="4"/>
  <c r="AA219" i="4"/>
  <c r="AB219" i="4"/>
  <c r="X220" i="4"/>
  <c r="Y220" i="4"/>
  <c r="Z220" i="4"/>
  <c r="AA220" i="4"/>
  <c r="AB220" i="4"/>
  <c r="X221" i="4"/>
  <c r="Y221" i="4"/>
  <c r="Z221" i="4"/>
  <c r="AA221" i="4"/>
  <c r="AB221" i="4"/>
  <c r="X222" i="4"/>
  <c r="Y222" i="4"/>
  <c r="Z222" i="4"/>
  <c r="AA222" i="4"/>
  <c r="AB222" i="4"/>
  <c r="X223" i="4"/>
  <c r="Y223" i="4"/>
  <c r="Z223" i="4"/>
  <c r="AA223" i="4"/>
  <c r="AB223" i="4"/>
  <c r="X224" i="4"/>
  <c r="Y224" i="4"/>
  <c r="Z224" i="4"/>
  <c r="AA224" i="4"/>
  <c r="AB224" i="4"/>
  <c r="X225" i="4"/>
  <c r="Y225" i="4"/>
  <c r="Z225" i="4"/>
  <c r="AA225" i="4"/>
  <c r="AB225" i="4"/>
  <c r="X226" i="4"/>
  <c r="Y226" i="4"/>
  <c r="Z226" i="4"/>
  <c r="AA226" i="4"/>
  <c r="AB226" i="4"/>
  <c r="X227" i="4"/>
  <c r="Y227" i="4"/>
  <c r="Z227" i="4"/>
  <c r="AA227" i="4"/>
  <c r="AB227" i="4"/>
  <c r="X228" i="4"/>
  <c r="Y228" i="4"/>
  <c r="Z228" i="4"/>
  <c r="AA228" i="4"/>
  <c r="AB228" i="4"/>
  <c r="X229" i="4"/>
  <c r="Y229" i="4"/>
  <c r="Z229" i="4"/>
  <c r="AA229" i="4"/>
  <c r="AB229" i="4"/>
  <c r="X230" i="4"/>
  <c r="Y230" i="4"/>
  <c r="Z230" i="4"/>
  <c r="AA230" i="4"/>
  <c r="AB230" i="4"/>
  <c r="AB215" i="4"/>
  <c r="AA215" i="4"/>
  <c r="Z215" i="4"/>
  <c r="Y215" i="4"/>
  <c r="X215" i="4"/>
  <c r="AB214" i="4"/>
  <c r="AA214" i="4"/>
  <c r="Z214" i="4"/>
  <c r="Y214" i="4"/>
  <c r="X214" i="4"/>
  <c r="AB213" i="4"/>
  <c r="AA213" i="4"/>
  <c r="Z213" i="4"/>
  <c r="Y213" i="4"/>
  <c r="X213" i="4"/>
  <c r="Y191" i="4"/>
  <c r="AA172" i="4"/>
  <c r="Y152" i="4"/>
  <c r="Z132" i="4"/>
  <c r="X132" i="4"/>
  <c r="AA103" i="4"/>
  <c r="I568" i="4"/>
  <c r="Z8" i="4"/>
  <c r="I294" i="4"/>
  <c r="I258" i="4"/>
  <c r="G414" i="4"/>
  <c r="G330" i="4"/>
  <c r="E97" i="4"/>
  <c r="E34" i="4"/>
  <c r="AB109" i="4"/>
  <c r="Z103" i="4"/>
  <c r="AB79" i="4"/>
  <c r="Z79" i="4"/>
  <c r="Y79" i="4"/>
  <c r="W193" i="4"/>
  <c r="X193" i="4"/>
  <c r="Y193" i="4"/>
  <c r="Z193" i="4"/>
  <c r="AA193" i="4"/>
  <c r="AA192" i="4"/>
  <c r="Z192" i="4"/>
  <c r="Y192" i="4"/>
  <c r="X192" i="4"/>
  <c r="W192" i="4"/>
  <c r="AA191" i="4"/>
  <c r="Z191" i="4"/>
  <c r="X191" i="4"/>
  <c r="W191" i="4"/>
  <c r="AA173" i="4"/>
  <c r="Z173" i="4"/>
  <c r="Y173" i="4"/>
  <c r="X173" i="4"/>
  <c r="W173" i="4"/>
  <c r="Z172" i="4"/>
  <c r="Y172" i="4"/>
  <c r="X172" i="4"/>
  <c r="W172" i="4"/>
  <c r="AA201" i="4"/>
  <c r="Z201" i="4"/>
  <c r="Y201" i="4"/>
  <c r="X201" i="4"/>
  <c r="W201" i="4"/>
  <c r="AA195" i="4"/>
  <c r="Z195" i="4"/>
  <c r="Y195" i="4"/>
  <c r="X195" i="4"/>
  <c r="W195" i="4"/>
  <c r="AA181" i="4"/>
  <c r="Z181" i="4"/>
  <c r="Y181" i="4"/>
  <c r="X181" i="4"/>
  <c r="W181" i="4"/>
  <c r="AA175" i="4"/>
  <c r="Z175" i="4"/>
  <c r="Y175" i="4"/>
  <c r="X175" i="4"/>
  <c r="W175" i="4"/>
  <c r="AA162" i="4"/>
  <c r="Z162" i="4"/>
  <c r="Y162" i="4"/>
  <c r="X162" i="4"/>
  <c r="W162" i="4"/>
  <c r="AA156" i="4"/>
  <c r="Z156" i="4"/>
  <c r="Y156" i="4"/>
  <c r="X156" i="4"/>
  <c r="W156" i="4"/>
  <c r="AA154" i="4"/>
  <c r="Z154" i="4"/>
  <c r="Y154" i="4"/>
  <c r="X154" i="4"/>
  <c r="W154" i="4"/>
  <c r="AA153" i="4"/>
  <c r="Z153" i="4"/>
  <c r="Y153" i="4"/>
  <c r="X153" i="4"/>
  <c r="W153" i="4"/>
  <c r="AA152" i="4"/>
  <c r="Z152" i="4"/>
  <c r="X152" i="4"/>
  <c r="W152" i="4"/>
  <c r="AA142" i="4"/>
  <c r="Z142" i="4"/>
  <c r="Y142" i="4"/>
  <c r="X142" i="4"/>
  <c r="W142" i="4"/>
  <c r="AA136" i="4"/>
  <c r="Z136" i="4"/>
  <c r="Y136" i="4"/>
  <c r="X136" i="4"/>
  <c r="W136" i="4"/>
  <c r="AA134" i="4"/>
  <c r="Z134" i="4"/>
  <c r="Y134" i="4"/>
  <c r="X134" i="4"/>
  <c r="W134" i="4"/>
  <c r="AA133" i="4"/>
  <c r="Z133" i="4"/>
  <c r="Y133" i="4"/>
  <c r="X133" i="4"/>
  <c r="W133" i="4"/>
  <c r="AA132" i="4"/>
  <c r="Y132" i="4"/>
  <c r="W132" i="4"/>
  <c r="AB114" i="4"/>
  <c r="AA114" i="4"/>
  <c r="Z114" i="4"/>
  <c r="Y114" i="4"/>
  <c r="X114" i="4"/>
  <c r="AB113" i="4"/>
  <c r="AA113" i="4"/>
  <c r="Z113" i="4"/>
  <c r="Y113" i="4"/>
  <c r="X113" i="4"/>
  <c r="AB112" i="4"/>
  <c r="AA112" i="4"/>
  <c r="Z112" i="4"/>
  <c r="Y112" i="4"/>
  <c r="X112" i="4"/>
  <c r="AB111" i="4"/>
  <c r="AA111" i="4"/>
  <c r="Z111" i="4"/>
  <c r="Y111" i="4"/>
  <c r="X111" i="4"/>
  <c r="AB110" i="4"/>
  <c r="AA110" i="4"/>
  <c r="Z110" i="4"/>
  <c r="Y110" i="4"/>
  <c r="X110" i="4"/>
  <c r="AA109" i="4"/>
  <c r="Z109" i="4"/>
  <c r="Y109" i="4"/>
  <c r="X109" i="4"/>
  <c r="AB108" i="4"/>
  <c r="AA108" i="4"/>
  <c r="Z108" i="4"/>
  <c r="Y108" i="4"/>
  <c r="X108" i="4"/>
  <c r="AB107" i="4"/>
  <c r="AA107" i="4"/>
  <c r="Z107" i="4"/>
  <c r="Y107" i="4"/>
  <c r="X107" i="4"/>
  <c r="AB106" i="4"/>
  <c r="AA106" i="4"/>
  <c r="Z106" i="4"/>
  <c r="Y106" i="4"/>
  <c r="X106" i="4"/>
  <c r="AB105" i="4"/>
  <c r="AA105" i="4"/>
  <c r="Z105" i="4"/>
  <c r="Y105" i="4"/>
  <c r="X105" i="4"/>
  <c r="AB104" i="4"/>
  <c r="AA104" i="4"/>
  <c r="Z104" i="4"/>
  <c r="Y104" i="4"/>
  <c r="X104" i="4"/>
  <c r="AB103" i="4"/>
  <c r="Y103" i="4"/>
  <c r="X103" i="4"/>
  <c r="AB92" i="4"/>
  <c r="AA92" i="4"/>
  <c r="Z92" i="4"/>
  <c r="Y92" i="4"/>
  <c r="X92" i="4"/>
  <c r="AB86" i="4"/>
  <c r="AA86" i="4"/>
  <c r="Z86" i="4"/>
  <c r="Y86" i="4"/>
  <c r="X86" i="4"/>
  <c r="X84" i="4"/>
  <c r="Y84" i="4"/>
  <c r="Z84" i="4"/>
  <c r="AA84" i="4"/>
  <c r="AB84" i="4"/>
  <c r="AB83" i="4"/>
  <c r="AA83" i="4"/>
  <c r="Z83" i="4"/>
  <c r="Y83" i="4"/>
  <c r="X83" i="4"/>
  <c r="AB82" i="4"/>
  <c r="AA82" i="4"/>
  <c r="Z82" i="4"/>
  <c r="Y82" i="4"/>
  <c r="X82" i="4"/>
  <c r="AB81" i="4"/>
  <c r="AA81" i="4"/>
  <c r="Z81" i="4"/>
  <c r="Y81" i="4"/>
  <c r="X81" i="4"/>
  <c r="AB80" i="4"/>
  <c r="AA80" i="4"/>
  <c r="Z80" i="4"/>
  <c r="Y80" i="4"/>
  <c r="X80" i="4"/>
  <c r="AA79" i="4"/>
  <c r="X79" i="4"/>
  <c r="AB78" i="4"/>
  <c r="AA78" i="4"/>
  <c r="Z78" i="4"/>
  <c r="Y78" i="4"/>
  <c r="X78" i="4"/>
  <c r="AB77" i="4"/>
  <c r="AA77" i="4"/>
  <c r="Z77" i="4"/>
  <c r="Y77" i="4"/>
  <c r="X77" i="4"/>
  <c r="AB76" i="4"/>
  <c r="AA76" i="4"/>
  <c r="Z76" i="4"/>
  <c r="Y76" i="4"/>
  <c r="X76" i="4"/>
  <c r="AB75" i="4"/>
  <c r="AA75" i="4"/>
  <c r="Z75" i="4"/>
  <c r="Y75" i="4"/>
  <c r="X75" i="4"/>
  <c r="AB74" i="4"/>
  <c r="AA74" i="4"/>
  <c r="Z74" i="4"/>
  <c r="Y74" i="4"/>
  <c r="X74" i="4"/>
  <c r="AB73" i="4"/>
  <c r="AA73" i="4"/>
  <c r="Z73" i="4"/>
  <c r="Y73" i="4"/>
  <c r="X73" i="4"/>
  <c r="AB72" i="4"/>
  <c r="AA72" i="4"/>
  <c r="Z72" i="4"/>
  <c r="Y72" i="4"/>
  <c r="X72" i="4"/>
  <c r="AB71" i="4"/>
  <c r="AA71" i="4"/>
  <c r="Z71" i="4"/>
  <c r="Y71" i="4"/>
  <c r="X71" i="4"/>
  <c r="AB70" i="4"/>
  <c r="AA70" i="4"/>
  <c r="Z70" i="4"/>
  <c r="Y70" i="4"/>
  <c r="X70" i="4"/>
  <c r="AB69" i="4"/>
  <c r="AA69" i="4"/>
  <c r="Z69" i="4"/>
  <c r="Y69" i="4"/>
  <c r="X69" i="4"/>
  <c r="AB68" i="4"/>
  <c r="AA68" i="4"/>
  <c r="Z68" i="4"/>
  <c r="Y68" i="4"/>
  <c r="X68" i="4"/>
  <c r="AB67" i="4"/>
  <c r="AA67" i="4"/>
  <c r="Z67" i="4"/>
  <c r="Y67" i="4"/>
  <c r="X67" i="4"/>
  <c r="X33" i="4"/>
  <c r="Y33" i="4"/>
  <c r="Z33" i="4"/>
  <c r="AA33" i="4"/>
  <c r="AB33" i="4"/>
  <c r="X34" i="4"/>
  <c r="Y34" i="4"/>
  <c r="Z34" i="4"/>
  <c r="AA34" i="4"/>
  <c r="AB34" i="4"/>
  <c r="X35" i="4"/>
  <c r="Y35" i="4"/>
  <c r="Z35" i="4"/>
  <c r="AA35" i="4"/>
  <c r="AB35" i="4"/>
  <c r="X36" i="4"/>
  <c r="Y36" i="4"/>
  <c r="Z36" i="4"/>
  <c r="AA36" i="4"/>
  <c r="AB36" i="4"/>
  <c r="X37" i="4"/>
  <c r="Y37" i="4"/>
  <c r="Z37" i="4"/>
  <c r="AA37" i="4"/>
  <c r="AB37" i="4"/>
  <c r="X38" i="4"/>
  <c r="Y38" i="4"/>
  <c r="Z38" i="4"/>
  <c r="AA38" i="4"/>
  <c r="AB38" i="4"/>
  <c r="X39" i="4"/>
  <c r="Y39" i="4"/>
  <c r="Z39" i="4"/>
  <c r="AA39" i="4"/>
  <c r="AB39" i="4"/>
  <c r="X40" i="4"/>
  <c r="Y40" i="4"/>
  <c r="Z40" i="4"/>
  <c r="AA40" i="4"/>
  <c r="AB40" i="4"/>
  <c r="X41" i="4"/>
  <c r="Y41" i="4"/>
  <c r="Z41" i="4"/>
  <c r="AA41" i="4"/>
  <c r="AB41" i="4"/>
  <c r="X42" i="4"/>
  <c r="Y42" i="4"/>
  <c r="Z42" i="4"/>
  <c r="AA42" i="4"/>
  <c r="AB42" i="4"/>
  <c r="X43" i="4"/>
  <c r="Y43" i="4"/>
  <c r="Z43" i="4"/>
  <c r="AA43" i="4"/>
  <c r="AB43" i="4"/>
  <c r="X44" i="4"/>
  <c r="Y44" i="4"/>
  <c r="Z44" i="4"/>
  <c r="AA44" i="4"/>
  <c r="AB44" i="4"/>
  <c r="X45" i="4"/>
  <c r="Y45" i="4"/>
  <c r="Z45" i="4"/>
  <c r="AA45" i="4"/>
  <c r="AB45" i="4"/>
  <c r="X46" i="4"/>
  <c r="Y46" i="4"/>
  <c r="Z46" i="4"/>
  <c r="AA46" i="4"/>
  <c r="AB46" i="4"/>
  <c r="X47" i="4"/>
  <c r="Y47" i="4"/>
  <c r="Z47" i="4"/>
  <c r="AA47" i="4"/>
  <c r="AB47" i="4"/>
  <c r="AB55" i="4"/>
  <c r="AA55" i="4"/>
  <c r="Z55" i="4"/>
  <c r="Y55" i="4"/>
  <c r="X55" i="4"/>
  <c r="AB49" i="4"/>
  <c r="AA49" i="4"/>
  <c r="Z49" i="4"/>
  <c r="Y49" i="4"/>
  <c r="X49" i="4"/>
  <c r="AB32" i="4"/>
  <c r="AA32" i="4"/>
  <c r="Z32" i="4"/>
  <c r="Y32" i="4"/>
  <c r="X32" i="4"/>
  <c r="AB31" i="4"/>
  <c r="AA31" i="4"/>
  <c r="Z31" i="4"/>
  <c r="Y31" i="4"/>
  <c r="X31" i="4"/>
  <c r="AB30" i="4"/>
  <c r="AA30" i="4"/>
  <c r="Z30" i="4"/>
  <c r="Y30" i="4"/>
  <c r="X30" i="4"/>
  <c r="W12" i="4"/>
  <c r="W10" i="4"/>
  <c r="X10" i="4"/>
  <c r="Y10" i="4"/>
  <c r="Z10" i="4"/>
  <c r="AA10" i="4"/>
  <c r="AA9" i="4"/>
  <c r="Z9" i="4"/>
  <c r="Y9" i="4"/>
  <c r="X9" i="4"/>
  <c r="W9" i="4"/>
  <c r="AA8" i="4"/>
  <c r="Y8" i="4"/>
  <c r="X8" i="4"/>
  <c r="W8" i="4"/>
  <c r="AA18" i="4"/>
  <c r="Z18" i="4"/>
  <c r="Y18" i="4"/>
  <c r="X18" i="4"/>
  <c r="W18" i="4"/>
  <c r="AA12" i="4"/>
  <c r="Z12" i="4"/>
  <c r="Y12" i="4"/>
  <c r="X12" i="4"/>
  <c r="H484" i="4"/>
  <c r="H454" i="4"/>
  <c r="K508" i="4"/>
  <c r="K460" i="4"/>
  <c r="J562" i="4"/>
  <c r="J460" i="4"/>
  <c r="I562" i="4"/>
  <c r="I496" i="4"/>
  <c r="H478" i="4"/>
  <c r="G550" i="4"/>
  <c r="G502" i="4"/>
  <c r="G490" i="4"/>
  <c r="K414" i="4"/>
  <c r="K366" i="4"/>
  <c r="K336" i="4"/>
  <c r="K294" i="4"/>
  <c r="K216" i="4"/>
  <c r="J306" i="4"/>
  <c r="I384" i="4"/>
  <c r="I342" i="4"/>
  <c r="I324" i="4"/>
  <c r="I288" i="4"/>
  <c r="H336" i="4"/>
  <c r="H264" i="4"/>
  <c r="H222" i="4"/>
  <c r="G384" i="4"/>
  <c r="G258" i="4"/>
  <c r="J181" i="4"/>
  <c r="J169" i="4"/>
  <c r="J163" i="4"/>
  <c r="I181" i="4"/>
  <c r="H181" i="4"/>
  <c r="H163" i="4"/>
  <c r="G166" i="4"/>
  <c r="F178" i="4"/>
  <c r="F160" i="4"/>
  <c r="H103" i="4"/>
  <c r="P621" i="1"/>
  <c r="Q621" i="1" s="1"/>
  <c r="M621" i="1"/>
  <c r="N621" i="1" s="1"/>
  <c r="R621" i="1" s="1"/>
  <c r="L621" i="1"/>
  <c r="P620" i="1"/>
  <c r="Q620" i="1" s="1"/>
  <c r="M620" i="1"/>
  <c r="L620" i="1"/>
  <c r="N620" i="1" s="1"/>
  <c r="R620" i="1" s="1"/>
  <c r="P619" i="1"/>
  <c r="Q619" i="1" s="1"/>
  <c r="M619" i="1"/>
  <c r="L619" i="1"/>
  <c r="P618" i="1"/>
  <c r="Q618" i="1" s="1"/>
  <c r="M618" i="1"/>
  <c r="L618" i="1"/>
  <c r="N618" i="1" s="1"/>
  <c r="R618" i="1" s="1"/>
  <c r="P617" i="1"/>
  <c r="Q617" i="1" s="1"/>
  <c r="M617" i="1"/>
  <c r="L617" i="1"/>
  <c r="P616" i="1"/>
  <c r="Q616" i="1" s="1"/>
  <c r="M616" i="1"/>
  <c r="L616" i="1"/>
  <c r="P615" i="1"/>
  <c r="Q615" i="1" s="1"/>
  <c r="M615" i="1"/>
  <c r="L615" i="1"/>
  <c r="P614" i="1"/>
  <c r="Q614" i="1" s="1"/>
  <c r="M614" i="1"/>
  <c r="L614" i="1"/>
  <c r="P613" i="1"/>
  <c r="Q613" i="1" s="1"/>
  <c r="M613" i="1"/>
  <c r="N613" i="1" s="1"/>
  <c r="R613" i="1" s="1"/>
  <c r="L613" i="1"/>
  <c r="P612" i="1"/>
  <c r="Q612" i="1" s="1"/>
  <c r="M612" i="1"/>
  <c r="L612" i="1"/>
  <c r="N612" i="1" s="1"/>
  <c r="R612" i="1" s="1"/>
  <c r="P611" i="1"/>
  <c r="Q611" i="1" s="1"/>
  <c r="M611" i="1"/>
  <c r="L611" i="1"/>
  <c r="N611" i="1" s="1"/>
  <c r="R611" i="1" s="1"/>
  <c r="P610" i="1"/>
  <c r="Q610" i="1" s="1"/>
  <c r="M610" i="1"/>
  <c r="L610" i="1"/>
  <c r="K544" i="4"/>
  <c r="H448" i="4"/>
  <c r="G459" i="4"/>
  <c r="H459" i="4"/>
  <c r="I459" i="4"/>
  <c r="J459" i="4"/>
  <c r="K459" i="4"/>
  <c r="G460" i="4"/>
  <c r="H460" i="4"/>
  <c r="I460" i="4"/>
  <c r="G461" i="4"/>
  <c r="H461" i="4"/>
  <c r="I461" i="4"/>
  <c r="J461" i="4"/>
  <c r="K461" i="4"/>
  <c r="G462" i="4"/>
  <c r="H462" i="4"/>
  <c r="I462" i="4"/>
  <c r="J462" i="4"/>
  <c r="K462" i="4"/>
  <c r="G463" i="4"/>
  <c r="H463" i="4"/>
  <c r="I463" i="4"/>
  <c r="J463" i="4"/>
  <c r="K463" i="4"/>
  <c r="G464" i="4"/>
  <c r="H464" i="4"/>
  <c r="I464" i="4"/>
  <c r="J464" i="4"/>
  <c r="K464" i="4"/>
  <c r="G465" i="4"/>
  <c r="H465" i="4"/>
  <c r="I465" i="4"/>
  <c r="J465" i="4"/>
  <c r="K465" i="4"/>
  <c r="G466" i="4"/>
  <c r="H466" i="4"/>
  <c r="I466" i="4"/>
  <c r="J466" i="4"/>
  <c r="K466" i="4"/>
  <c r="G467" i="4"/>
  <c r="H467" i="4"/>
  <c r="I467" i="4"/>
  <c r="J467" i="4"/>
  <c r="K467" i="4"/>
  <c r="G468" i="4"/>
  <c r="H468" i="4"/>
  <c r="I468" i="4"/>
  <c r="J468" i="4"/>
  <c r="K468" i="4"/>
  <c r="G469" i="4"/>
  <c r="H469" i="4"/>
  <c r="I469" i="4"/>
  <c r="J469" i="4"/>
  <c r="K469" i="4"/>
  <c r="G470" i="4"/>
  <c r="H470" i="4"/>
  <c r="I470" i="4"/>
  <c r="J470" i="4"/>
  <c r="K470" i="4"/>
  <c r="G471" i="4"/>
  <c r="H471" i="4"/>
  <c r="I471" i="4"/>
  <c r="J471" i="4"/>
  <c r="K471" i="4"/>
  <c r="G472" i="4"/>
  <c r="H472" i="4"/>
  <c r="I472" i="4"/>
  <c r="J472" i="4"/>
  <c r="K472" i="4"/>
  <c r="G473" i="4"/>
  <c r="H473" i="4"/>
  <c r="I473" i="4"/>
  <c r="J473" i="4"/>
  <c r="K473" i="4"/>
  <c r="G474" i="4"/>
  <c r="H474" i="4"/>
  <c r="I474" i="4"/>
  <c r="J474" i="4"/>
  <c r="K474" i="4"/>
  <c r="G475" i="4"/>
  <c r="H475" i="4"/>
  <c r="I475" i="4"/>
  <c r="J475" i="4"/>
  <c r="K475" i="4"/>
  <c r="G476" i="4"/>
  <c r="H476" i="4"/>
  <c r="I476" i="4"/>
  <c r="J476" i="4"/>
  <c r="K476" i="4"/>
  <c r="G477" i="4"/>
  <c r="H477" i="4"/>
  <c r="I477" i="4"/>
  <c r="J477" i="4"/>
  <c r="K477" i="4"/>
  <c r="G478" i="4"/>
  <c r="I478" i="4"/>
  <c r="J478" i="4"/>
  <c r="K478" i="4"/>
  <c r="G479" i="4"/>
  <c r="H479" i="4"/>
  <c r="I479" i="4"/>
  <c r="J479" i="4"/>
  <c r="K479" i="4"/>
  <c r="G480" i="4"/>
  <c r="H480" i="4"/>
  <c r="I480" i="4"/>
  <c r="J480" i="4"/>
  <c r="K480" i="4"/>
  <c r="G481" i="4"/>
  <c r="H481" i="4"/>
  <c r="I481" i="4"/>
  <c r="J481" i="4"/>
  <c r="K481" i="4"/>
  <c r="G482" i="4"/>
  <c r="H482" i="4"/>
  <c r="I482" i="4"/>
  <c r="J482" i="4"/>
  <c r="K482" i="4"/>
  <c r="G483" i="4"/>
  <c r="H483" i="4"/>
  <c r="I483" i="4"/>
  <c r="J483" i="4"/>
  <c r="K483" i="4"/>
  <c r="G484" i="4"/>
  <c r="I484" i="4"/>
  <c r="J484" i="4"/>
  <c r="K484" i="4"/>
  <c r="G485" i="4"/>
  <c r="H485" i="4"/>
  <c r="I485" i="4"/>
  <c r="J485" i="4"/>
  <c r="K485" i="4"/>
  <c r="G486" i="4"/>
  <c r="H486" i="4"/>
  <c r="I486" i="4"/>
  <c r="J486" i="4"/>
  <c r="K486" i="4"/>
  <c r="G487" i="4"/>
  <c r="H487" i="4"/>
  <c r="I487" i="4"/>
  <c r="J487" i="4"/>
  <c r="K487" i="4"/>
  <c r="G488" i="4"/>
  <c r="H488" i="4"/>
  <c r="I488" i="4"/>
  <c r="J488" i="4"/>
  <c r="K488" i="4"/>
  <c r="G489" i="4"/>
  <c r="H489" i="4"/>
  <c r="I489" i="4"/>
  <c r="J489" i="4"/>
  <c r="K489" i="4"/>
  <c r="H490" i="4"/>
  <c r="I490" i="4"/>
  <c r="J490" i="4"/>
  <c r="K490" i="4"/>
  <c r="G491" i="4"/>
  <c r="H491" i="4"/>
  <c r="I491" i="4"/>
  <c r="J491" i="4"/>
  <c r="K491" i="4"/>
  <c r="G492" i="4"/>
  <c r="H492" i="4"/>
  <c r="I492" i="4"/>
  <c r="J492" i="4"/>
  <c r="K492" i="4"/>
  <c r="G493" i="4"/>
  <c r="H493" i="4"/>
  <c r="I493" i="4"/>
  <c r="J493" i="4"/>
  <c r="K493" i="4"/>
  <c r="G494" i="4"/>
  <c r="H494" i="4"/>
  <c r="I494" i="4"/>
  <c r="J494" i="4"/>
  <c r="K494" i="4"/>
  <c r="G495" i="4"/>
  <c r="H495" i="4"/>
  <c r="I495" i="4"/>
  <c r="J495" i="4"/>
  <c r="K495" i="4"/>
  <c r="G496" i="4"/>
  <c r="H496" i="4"/>
  <c r="J496" i="4"/>
  <c r="K496" i="4"/>
  <c r="G497" i="4"/>
  <c r="H497" i="4"/>
  <c r="I497" i="4"/>
  <c r="J497" i="4"/>
  <c r="K497" i="4"/>
  <c r="G498" i="4"/>
  <c r="H498" i="4"/>
  <c r="I498" i="4"/>
  <c r="J498" i="4"/>
  <c r="K498" i="4"/>
  <c r="G499" i="4"/>
  <c r="H499" i="4"/>
  <c r="I499" i="4"/>
  <c r="J499" i="4"/>
  <c r="K499" i="4"/>
  <c r="G500" i="4"/>
  <c r="H500" i="4"/>
  <c r="I500" i="4"/>
  <c r="J500" i="4"/>
  <c r="K500" i="4"/>
  <c r="G501" i="4"/>
  <c r="H501" i="4"/>
  <c r="I501" i="4"/>
  <c r="J501" i="4"/>
  <c r="K501" i="4"/>
  <c r="H502" i="4"/>
  <c r="I502" i="4"/>
  <c r="J502" i="4"/>
  <c r="K502" i="4"/>
  <c r="G503" i="4"/>
  <c r="H503" i="4"/>
  <c r="I503" i="4"/>
  <c r="J503" i="4"/>
  <c r="K503" i="4"/>
  <c r="G504" i="4"/>
  <c r="H504" i="4"/>
  <c r="I504" i="4"/>
  <c r="J504" i="4"/>
  <c r="K504" i="4"/>
  <c r="G505" i="4"/>
  <c r="H505" i="4"/>
  <c r="I505" i="4"/>
  <c r="J505" i="4"/>
  <c r="K505" i="4"/>
  <c r="G506" i="4"/>
  <c r="H506" i="4"/>
  <c r="I506" i="4"/>
  <c r="J506" i="4"/>
  <c r="K506" i="4"/>
  <c r="G507" i="4"/>
  <c r="H507" i="4"/>
  <c r="I507" i="4"/>
  <c r="J507" i="4"/>
  <c r="K507" i="4"/>
  <c r="G508" i="4"/>
  <c r="H508" i="4"/>
  <c r="I508" i="4"/>
  <c r="J508" i="4"/>
  <c r="G509" i="4"/>
  <c r="H509" i="4"/>
  <c r="I509" i="4"/>
  <c r="J509" i="4"/>
  <c r="K509" i="4"/>
  <c r="G510" i="4"/>
  <c r="H510" i="4"/>
  <c r="I510" i="4"/>
  <c r="J510" i="4"/>
  <c r="K510" i="4"/>
  <c r="G511" i="4"/>
  <c r="H511" i="4"/>
  <c r="I511" i="4"/>
  <c r="J511" i="4"/>
  <c r="K511" i="4"/>
  <c r="G512" i="4"/>
  <c r="H512" i="4"/>
  <c r="I512" i="4"/>
  <c r="J512" i="4"/>
  <c r="K512" i="4"/>
  <c r="G513" i="4"/>
  <c r="H513" i="4"/>
  <c r="I513" i="4"/>
  <c r="J513" i="4"/>
  <c r="K513" i="4"/>
  <c r="G514" i="4"/>
  <c r="H514" i="4"/>
  <c r="I514" i="4"/>
  <c r="J514" i="4"/>
  <c r="K514" i="4"/>
  <c r="G515" i="4"/>
  <c r="H515" i="4"/>
  <c r="I515" i="4"/>
  <c r="J515" i="4"/>
  <c r="K515" i="4"/>
  <c r="G516" i="4"/>
  <c r="H516" i="4"/>
  <c r="I516" i="4"/>
  <c r="J516" i="4"/>
  <c r="K516" i="4"/>
  <c r="G517" i="4"/>
  <c r="H517" i="4"/>
  <c r="I517" i="4"/>
  <c r="J517" i="4"/>
  <c r="K517" i="4"/>
  <c r="G518" i="4"/>
  <c r="H518" i="4"/>
  <c r="I518" i="4"/>
  <c r="J518" i="4"/>
  <c r="K518" i="4"/>
  <c r="G519" i="4"/>
  <c r="H519" i="4"/>
  <c r="I519" i="4"/>
  <c r="J519" i="4"/>
  <c r="K519" i="4"/>
  <c r="G520" i="4"/>
  <c r="H520" i="4"/>
  <c r="I520" i="4"/>
  <c r="J520" i="4"/>
  <c r="K520" i="4"/>
  <c r="G521" i="4"/>
  <c r="H521" i="4"/>
  <c r="I521" i="4"/>
  <c r="J521" i="4"/>
  <c r="K521" i="4"/>
  <c r="G522" i="4"/>
  <c r="H522" i="4"/>
  <c r="I522" i="4"/>
  <c r="J522" i="4"/>
  <c r="K522" i="4"/>
  <c r="G523" i="4"/>
  <c r="H523" i="4"/>
  <c r="I523" i="4"/>
  <c r="J523" i="4"/>
  <c r="K523" i="4"/>
  <c r="G524" i="4"/>
  <c r="H524" i="4"/>
  <c r="I524" i="4"/>
  <c r="J524" i="4"/>
  <c r="K524" i="4"/>
  <c r="G525" i="4"/>
  <c r="H525" i="4"/>
  <c r="I525" i="4"/>
  <c r="J525" i="4"/>
  <c r="K525" i="4"/>
  <c r="G526" i="4"/>
  <c r="H526" i="4"/>
  <c r="I526" i="4"/>
  <c r="J526" i="4"/>
  <c r="K526" i="4"/>
  <c r="G527" i="4"/>
  <c r="H527" i="4"/>
  <c r="I527" i="4"/>
  <c r="J527" i="4"/>
  <c r="K527" i="4"/>
  <c r="G528" i="4"/>
  <c r="H528" i="4"/>
  <c r="I528" i="4"/>
  <c r="J528" i="4"/>
  <c r="K528" i="4"/>
  <c r="G529" i="4"/>
  <c r="H529" i="4"/>
  <c r="I529" i="4"/>
  <c r="J529" i="4"/>
  <c r="K529" i="4"/>
  <c r="G530" i="4"/>
  <c r="H530" i="4"/>
  <c r="I530" i="4"/>
  <c r="J530" i="4"/>
  <c r="K530" i="4"/>
  <c r="G531" i="4"/>
  <c r="H531" i="4"/>
  <c r="I531" i="4"/>
  <c r="J531" i="4"/>
  <c r="K531" i="4"/>
  <c r="G532" i="4"/>
  <c r="H532" i="4"/>
  <c r="I532" i="4"/>
  <c r="J532" i="4"/>
  <c r="K532" i="4"/>
  <c r="G533" i="4"/>
  <c r="H533" i="4"/>
  <c r="I533" i="4"/>
  <c r="J533" i="4"/>
  <c r="K533" i="4"/>
  <c r="G534" i="4"/>
  <c r="H534" i="4"/>
  <c r="I534" i="4"/>
  <c r="J534" i="4"/>
  <c r="K534" i="4"/>
  <c r="G535" i="4"/>
  <c r="H535" i="4"/>
  <c r="I535" i="4"/>
  <c r="J535" i="4"/>
  <c r="K535" i="4"/>
  <c r="G536" i="4"/>
  <c r="H536" i="4"/>
  <c r="I536" i="4"/>
  <c r="J536" i="4"/>
  <c r="K536" i="4"/>
  <c r="G537" i="4"/>
  <c r="H537" i="4"/>
  <c r="I537" i="4"/>
  <c r="J537" i="4"/>
  <c r="K537" i="4"/>
  <c r="G538" i="4"/>
  <c r="H538" i="4"/>
  <c r="I538" i="4"/>
  <c r="J538" i="4"/>
  <c r="K538" i="4"/>
  <c r="G539" i="4"/>
  <c r="H539" i="4"/>
  <c r="I539" i="4"/>
  <c r="J539" i="4"/>
  <c r="K539" i="4"/>
  <c r="G540" i="4"/>
  <c r="H540" i="4"/>
  <c r="I540" i="4"/>
  <c r="J540" i="4"/>
  <c r="K540" i="4"/>
  <c r="G541" i="4"/>
  <c r="H541" i="4"/>
  <c r="I541" i="4"/>
  <c r="J541" i="4"/>
  <c r="K541" i="4"/>
  <c r="G542" i="4"/>
  <c r="H542" i="4"/>
  <c r="I542" i="4"/>
  <c r="J542" i="4"/>
  <c r="K542" i="4"/>
  <c r="G543" i="4"/>
  <c r="H543" i="4"/>
  <c r="I543" i="4"/>
  <c r="J543" i="4"/>
  <c r="K543" i="4"/>
  <c r="G544" i="4"/>
  <c r="H544" i="4"/>
  <c r="I544" i="4"/>
  <c r="J544" i="4"/>
  <c r="G545" i="4"/>
  <c r="H545" i="4"/>
  <c r="I545" i="4"/>
  <c r="J545" i="4"/>
  <c r="K545" i="4"/>
  <c r="G546" i="4"/>
  <c r="H546" i="4"/>
  <c r="I546" i="4"/>
  <c r="J546" i="4"/>
  <c r="K546" i="4"/>
  <c r="G547" i="4"/>
  <c r="H547" i="4"/>
  <c r="I547" i="4"/>
  <c r="J547" i="4"/>
  <c r="K547" i="4"/>
  <c r="G548" i="4"/>
  <c r="H548" i="4"/>
  <c r="I548" i="4"/>
  <c r="J548" i="4"/>
  <c r="K548" i="4"/>
  <c r="G549" i="4"/>
  <c r="H549" i="4"/>
  <c r="I549" i="4"/>
  <c r="J549" i="4"/>
  <c r="K549" i="4"/>
  <c r="H550" i="4"/>
  <c r="I550" i="4"/>
  <c r="J550" i="4"/>
  <c r="K550" i="4"/>
  <c r="G551" i="4"/>
  <c r="H551" i="4"/>
  <c r="I551" i="4"/>
  <c r="J551" i="4"/>
  <c r="K551" i="4"/>
  <c r="G552" i="4"/>
  <c r="H552" i="4"/>
  <c r="I552" i="4"/>
  <c r="J552" i="4"/>
  <c r="K552" i="4"/>
  <c r="G553" i="4"/>
  <c r="H553" i="4"/>
  <c r="I553" i="4"/>
  <c r="J553" i="4"/>
  <c r="K553" i="4"/>
  <c r="G554" i="4"/>
  <c r="H554" i="4"/>
  <c r="I554" i="4"/>
  <c r="J554" i="4"/>
  <c r="K554" i="4"/>
  <c r="G555" i="4"/>
  <c r="H555" i="4"/>
  <c r="I555" i="4"/>
  <c r="J555" i="4"/>
  <c r="K555" i="4"/>
  <c r="G556" i="4"/>
  <c r="H556" i="4"/>
  <c r="I556" i="4"/>
  <c r="J556" i="4"/>
  <c r="K556" i="4"/>
  <c r="G557" i="4"/>
  <c r="H557" i="4"/>
  <c r="I557" i="4"/>
  <c r="J557" i="4"/>
  <c r="K557" i="4"/>
  <c r="G558" i="4"/>
  <c r="H558" i="4"/>
  <c r="I558" i="4"/>
  <c r="J558" i="4"/>
  <c r="K558" i="4"/>
  <c r="G559" i="4"/>
  <c r="H559" i="4"/>
  <c r="I559" i="4"/>
  <c r="J559" i="4"/>
  <c r="K559" i="4"/>
  <c r="G560" i="4"/>
  <c r="H560" i="4"/>
  <c r="I560" i="4"/>
  <c r="J560" i="4"/>
  <c r="K560" i="4"/>
  <c r="G561" i="4"/>
  <c r="H561" i="4"/>
  <c r="I561" i="4"/>
  <c r="J561" i="4"/>
  <c r="K561" i="4"/>
  <c r="G562" i="4"/>
  <c r="H562" i="4"/>
  <c r="K562" i="4"/>
  <c r="G563" i="4"/>
  <c r="H563" i="4"/>
  <c r="I563" i="4"/>
  <c r="J563" i="4"/>
  <c r="K563" i="4"/>
  <c r="G564" i="4"/>
  <c r="H564" i="4"/>
  <c r="I564" i="4"/>
  <c r="J564" i="4"/>
  <c r="K564" i="4"/>
  <c r="G565" i="4"/>
  <c r="H565" i="4"/>
  <c r="I565" i="4"/>
  <c r="J565" i="4"/>
  <c r="K565" i="4"/>
  <c r="G566" i="4"/>
  <c r="H566" i="4"/>
  <c r="I566" i="4"/>
  <c r="J566" i="4"/>
  <c r="K566" i="4"/>
  <c r="G567" i="4"/>
  <c r="H567" i="4"/>
  <c r="I567" i="4"/>
  <c r="J567" i="4"/>
  <c r="K567" i="4"/>
  <c r="G568" i="4"/>
  <c r="H568" i="4"/>
  <c r="J568" i="4"/>
  <c r="K568" i="4"/>
  <c r="K458" i="4"/>
  <c r="J458" i="4"/>
  <c r="I458" i="4"/>
  <c r="H458" i="4"/>
  <c r="G458" i="4"/>
  <c r="K457" i="4"/>
  <c r="J457" i="4"/>
  <c r="I457" i="4"/>
  <c r="H457" i="4"/>
  <c r="G457" i="4"/>
  <c r="K456" i="4"/>
  <c r="J456" i="4"/>
  <c r="I456" i="4"/>
  <c r="H456" i="4"/>
  <c r="G456" i="4"/>
  <c r="K455" i="4"/>
  <c r="J455" i="4"/>
  <c r="I455" i="4"/>
  <c r="H455" i="4"/>
  <c r="G455" i="4"/>
  <c r="K454" i="4"/>
  <c r="J454" i="4"/>
  <c r="I454" i="4"/>
  <c r="G454" i="4"/>
  <c r="K453" i="4"/>
  <c r="J453" i="4"/>
  <c r="I453" i="4"/>
  <c r="H453" i="4"/>
  <c r="G453" i="4"/>
  <c r="K452" i="4"/>
  <c r="J452" i="4"/>
  <c r="I452" i="4"/>
  <c r="H452" i="4"/>
  <c r="G452" i="4"/>
  <c r="K451" i="4"/>
  <c r="J451" i="4"/>
  <c r="I451" i="4"/>
  <c r="H451" i="4"/>
  <c r="G451" i="4"/>
  <c r="K450" i="4"/>
  <c r="J450" i="4"/>
  <c r="I450" i="4"/>
  <c r="H450" i="4"/>
  <c r="G450" i="4"/>
  <c r="K449" i="4"/>
  <c r="J449" i="4"/>
  <c r="I449" i="4"/>
  <c r="H449" i="4"/>
  <c r="G449" i="4"/>
  <c r="K448" i="4"/>
  <c r="J448" i="4"/>
  <c r="I448" i="4"/>
  <c r="G448" i="4"/>
  <c r="K330" i="4"/>
  <c r="I418" i="4"/>
  <c r="G402" i="4"/>
  <c r="K432" i="4"/>
  <c r="J432" i="4"/>
  <c r="I432" i="4"/>
  <c r="H432" i="4"/>
  <c r="G432" i="4"/>
  <c r="K427" i="4"/>
  <c r="J427" i="4"/>
  <c r="I427" i="4"/>
  <c r="H427" i="4"/>
  <c r="G427" i="4"/>
  <c r="G234" i="4"/>
  <c r="H234" i="4"/>
  <c r="I234" i="4"/>
  <c r="J234" i="4"/>
  <c r="K234" i="4"/>
  <c r="G235" i="4"/>
  <c r="H235" i="4"/>
  <c r="I235" i="4"/>
  <c r="J235" i="4"/>
  <c r="K235" i="4"/>
  <c r="G236" i="4"/>
  <c r="H236" i="4"/>
  <c r="I236" i="4"/>
  <c r="J236" i="4"/>
  <c r="K236" i="4"/>
  <c r="G237" i="4"/>
  <c r="H237" i="4"/>
  <c r="I237" i="4"/>
  <c r="J237" i="4"/>
  <c r="K237" i="4"/>
  <c r="G238" i="4"/>
  <c r="H238" i="4"/>
  <c r="I238" i="4"/>
  <c r="J238" i="4"/>
  <c r="K238" i="4"/>
  <c r="G239" i="4"/>
  <c r="H239" i="4"/>
  <c r="I239" i="4"/>
  <c r="J239" i="4"/>
  <c r="K239" i="4"/>
  <c r="G240" i="4"/>
  <c r="H240" i="4"/>
  <c r="I240" i="4"/>
  <c r="J240" i="4"/>
  <c r="K240" i="4"/>
  <c r="G241" i="4"/>
  <c r="H241" i="4"/>
  <c r="I241" i="4"/>
  <c r="J241" i="4"/>
  <c r="K241" i="4"/>
  <c r="G242" i="4"/>
  <c r="H242" i="4"/>
  <c r="I242" i="4"/>
  <c r="J242" i="4"/>
  <c r="K242" i="4"/>
  <c r="G243" i="4"/>
  <c r="H243" i="4"/>
  <c r="I243" i="4"/>
  <c r="J243" i="4"/>
  <c r="K243" i="4"/>
  <c r="G244" i="4"/>
  <c r="H244" i="4"/>
  <c r="I244" i="4"/>
  <c r="J244" i="4"/>
  <c r="K244" i="4"/>
  <c r="G245" i="4"/>
  <c r="H245" i="4"/>
  <c r="I245" i="4"/>
  <c r="J245" i="4"/>
  <c r="K245" i="4"/>
  <c r="G246" i="4"/>
  <c r="H246" i="4"/>
  <c r="I246" i="4"/>
  <c r="J246" i="4"/>
  <c r="K246" i="4"/>
  <c r="G247" i="4"/>
  <c r="H247" i="4"/>
  <c r="I247" i="4"/>
  <c r="J247" i="4"/>
  <c r="K247" i="4"/>
  <c r="G248" i="4"/>
  <c r="H248" i="4"/>
  <c r="I248" i="4"/>
  <c r="J248" i="4"/>
  <c r="K248" i="4"/>
  <c r="G249" i="4"/>
  <c r="H249" i="4"/>
  <c r="I249" i="4"/>
  <c r="J249" i="4"/>
  <c r="K249" i="4"/>
  <c r="G250" i="4"/>
  <c r="H250" i="4"/>
  <c r="I250" i="4"/>
  <c r="J250" i="4"/>
  <c r="K250" i="4"/>
  <c r="G251" i="4"/>
  <c r="H251" i="4"/>
  <c r="I251" i="4"/>
  <c r="J251" i="4"/>
  <c r="K251" i="4"/>
  <c r="G252" i="4"/>
  <c r="H252" i="4"/>
  <c r="I252" i="4"/>
  <c r="J252" i="4"/>
  <c r="K252" i="4"/>
  <c r="G253" i="4"/>
  <c r="H253" i="4"/>
  <c r="I253" i="4"/>
  <c r="J253" i="4"/>
  <c r="K253" i="4"/>
  <c r="G254" i="4"/>
  <c r="H254" i="4"/>
  <c r="I254" i="4"/>
  <c r="J254" i="4"/>
  <c r="K254" i="4"/>
  <c r="G255" i="4"/>
  <c r="H255" i="4"/>
  <c r="I255" i="4"/>
  <c r="J255" i="4"/>
  <c r="K255" i="4"/>
  <c r="G256" i="4"/>
  <c r="H256" i="4"/>
  <c r="I256" i="4"/>
  <c r="J256" i="4"/>
  <c r="K256" i="4"/>
  <c r="G257" i="4"/>
  <c r="H257" i="4"/>
  <c r="I257" i="4"/>
  <c r="J257" i="4"/>
  <c r="K257" i="4"/>
  <c r="H258" i="4"/>
  <c r="J258" i="4"/>
  <c r="K258" i="4"/>
  <c r="G259" i="4"/>
  <c r="H259" i="4"/>
  <c r="I259" i="4"/>
  <c r="J259" i="4"/>
  <c r="K259" i="4"/>
  <c r="G260" i="4"/>
  <c r="H260" i="4"/>
  <c r="I260" i="4"/>
  <c r="J260" i="4"/>
  <c r="K260" i="4"/>
  <c r="G261" i="4"/>
  <c r="H261" i="4"/>
  <c r="I261" i="4"/>
  <c r="J261" i="4"/>
  <c r="K261" i="4"/>
  <c r="G262" i="4"/>
  <c r="H262" i="4"/>
  <c r="I262" i="4"/>
  <c r="J262" i="4"/>
  <c r="K262" i="4"/>
  <c r="G263" i="4"/>
  <c r="H263" i="4"/>
  <c r="I263" i="4"/>
  <c r="J263" i="4"/>
  <c r="K263" i="4"/>
  <c r="G264" i="4"/>
  <c r="I264" i="4"/>
  <c r="J264" i="4"/>
  <c r="K264" i="4"/>
  <c r="G265" i="4"/>
  <c r="H265" i="4"/>
  <c r="I265" i="4"/>
  <c r="J265" i="4"/>
  <c r="K265" i="4"/>
  <c r="G266" i="4"/>
  <c r="H266" i="4"/>
  <c r="I266" i="4"/>
  <c r="J266" i="4"/>
  <c r="K266" i="4"/>
  <c r="G267" i="4"/>
  <c r="H267" i="4"/>
  <c r="I267" i="4"/>
  <c r="J267" i="4"/>
  <c r="K267" i="4"/>
  <c r="G268" i="4"/>
  <c r="H268" i="4"/>
  <c r="I268" i="4"/>
  <c r="J268" i="4"/>
  <c r="K268" i="4"/>
  <c r="G269" i="4"/>
  <c r="H269" i="4"/>
  <c r="I269" i="4"/>
  <c r="J269" i="4"/>
  <c r="K269" i="4"/>
  <c r="G270" i="4"/>
  <c r="H270" i="4"/>
  <c r="I270" i="4"/>
  <c r="J270" i="4"/>
  <c r="K270" i="4"/>
  <c r="G271" i="4"/>
  <c r="H271" i="4"/>
  <c r="I271" i="4"/>
  <c r="J271" i="4"/>
  <c r="K271" i="4"/>
  <c r="G272" i="4"/>
  <c r="H272" i="4"/>
  <c r="I272" i="4"/>
  <c r="J272" i="4"/>
  <c r="K272" i="4"/>
  <c r="G273" i="4"/>
  <c r="H273" i="4"/>
  <c r="I273" i="4"/>
  <c r="J273" i="4"/>
  <c r="K273" i="4"/>
  <c r="G274" i="4"/>
  <c r="H274" i="4"/>
  <c r="I274" i="4"/>
  <c r="J274" i="4"/>
  <c r="K274" i="4"/>
  <c r="G275" i="4"/>
  <c r="H275" i="4"/>
  <c r="I275" i="4"/>
  <c r="J275" i="4"/>
  <c r="K275" i="4"/>
  <c r="G276" i="4"/>
  <c r="H276" i="4"/>
  <c r="I276" i="4"/>
  <c r="J276" i="4"/>
  <c r="K276" i="4"/>
  <c r="G277" i="4"/>
  <c r="H277" i="4"/>
  <c r="I277" i="4"/>
  <c r="J277" i="4"/>
  <c r="K277" i="4"/>
  <c r="G278" i="4"/>
  <c r="H278" i="4"/>
  <c r="I278" i="4"/>
  <c r="J278" i="4"/>
  <c r="K278" i="4"/>
  <c r="G279" i="4"/>
  <c r="H279" i="4"/>
  <c r="I279" i="4"/>
  <c r="J279" i="4"/>
  <c r="K279" i="4"/>
  <c r="G280" i="4"/>
  <c r="H280" i="4"/>
  <c r="I280" i="4"/>
  <c r="J280" i="4"/>
  <c r="K280" i="4"/>
  <c r="G281" i="4"/>
  <c r="H281" i="4"/>
  <c r="I281" i="4"/>
  <c r="J281" i="4"/>
  <c r="K281" i="4"/>
  <c r="G282" i="4"/>
  <c r="H282" i="4"/>
  <c r="I282" i="4"/>
  <c r="J282" i="4"/>
  <c r="K282" i="4"/>
  <c r="G283" i="4"/>
  <c r="H283" i="4"/>
  <c r="I283" i="4"/>
  <c r="J283" i="4"/>
  <c r="K283" i="4"/>
  <c r="G284" i="4"/>
  <c r="H284" i="4"/>
  <c r="I284" i="4"/>
  <c r="J284" i="4"/>
  <c r="K284" i="4"/>
  <c r="G285" i="4"/>
  <c r="H285" i="4"/>
  <c r="I285" i="4"/>
  <c r="J285" i="4"/>
  <c r="K285" i="4"/>
  <c r="G286" i="4"/>
  <c r="H286" i="4"/>
  <c r="I286" i="4"/>
  <c r="J286" i="4"/>
  <c r="K286" i="4"/>
  <c r="G287" i="4"/>
  <c r="H287" i="4"/>
  <c r="I287" i="4"/>
  <c r="J287" i="4"/>
  <c r="K287" i="4"/>
  <c r="G288" i="4"/>
  <c r="H288" i="4"/>
  <c r="J288" i="4"/>
  <c r="K288" i="4"/>
  <c r="G289" i="4"/>
  <c r="H289" i="4"/>
  <c r="I289" i="4"/>
  <c r="J289" i="4"/>
  <c r="K289" i="4"/>
  <c r="G290" i="4"/>
  <c r="H290" i="4"/>
  <c r="I290" i="4"/>
  <c r="J290" i="4"/>
  <c r="K290" i="4"/>
  <c r="G291" i="4"/>
  <c r="H291" i="4"/>
  <c r="I291" i="4"/>
  <c r="J291" i="4"/>
  <c r="K291" i="4"/>
  <c r="G292" i="4"/>
  <c r="H292" i="4"/>
  <c r="I292" i="4"/>
  <c r="J292" i="4"/>
  <c r="K292" i="4"/>
  <c r="G293" i="4"/>
  <c r="H293" i="4"/>
  <c r="I293" i="4"/>
  <c r="J293" i="4"/>
  <c r="K293" i="4"/>
  <c r="G294" i="4"/>
  <c r="H294" i="4"/>
  <c r="J294" i="4"/>
  <c r="G295" i="4"/>
  <c r="H295" i="4"/>
  <c r="I295" i="4"/>
  <c r="J295" i="4"/>
  <c r="K295" i="4"/>
  <c r="G296" i="4"/>
  <c r="H296" i="4"/>
  <c r="I296" i="4"/>
  <c r="J296" i="4"/>
  <c r="K296" i="4"/>
  <c r="G297" i="4"/>
  <c r="H297" i="4"/>
  <c r="I297" i="4"/>
  <c r="J297" i="4"/>
  <c r="K297" i="4"/>
  <c r="G298" i="4"/>
  <c r="H298" i="4"/>
  <c r="I298" i="4"/>
  <c r="J298" i="4"/>
  <c r="K298" i="4"/>
  <c r="G299" i="4"/>
  <c r="H299" i="4"/>
  <c r="I299" i="4"/>
  <c r="J299" i="4"/>
  <c r="K299" i="4"/>
  <c r="G300" i="4"/>
  <c r="H300" i="4"/>
  <c r="I300" i="4"/>
  <c r="J300" i="4"/>
  <c r="K300" i="4"/>
  <c r="G301" i="4"/>
  <c r="H301" i="4"/>
  <c r="I301" i="4"/>
  <c r="J301" i="4"/>
  <c r="K301" i="4"/>
  <c r="G302" i="4"/>
  <c r="H302" i="4"/>
  <c r="I302" i="4"/>
  <c r="J302" i="4"/>
  <c r="K302" i="4"/>
  <c r="G303" i="4"/>
  <c r="H303" i="4"/>
  <c r="I303" i="4"/>
  <c r="J303" i="4"/>
  <c r="K303" i="4"/>
  <c r="G304" i="4"/>
  <c r="H304" i="4"/>
  <c r="I304" i="4"/>
  <c r="J304" i="4"/>
  <c r="K304" i="4"/>
  <c r="G305" i="4"/>
  <c r="H305" i="4"/>
  <c r="I305" i="4"/>
  <c r="J305" i="4"/>
  <c r="K305" i="4"/>
  <c r="G306" i="4"/>
  <c r="H306" i="4"/>
  <c r="I306" i="4"/>
  <c r="K306" i="4"/>
  <c r="G307" i="4"/>
  <c r="H307" i="4"/>
  <c r="I307" i="4"/>
  <c r="J307" i="4"/>
  <c r="K307" i="4"/>
  <c r="G308" i="4"/>
  <c r="H308" i="4"/>
  <c r="I308" i="4"/>
  <c r="J308" i="4"/>
  <c r="K308" i="4"/>
  <c r="G309" i="4"/>
  <c r="H309" i="4"/>
  <c r="I309" i="4"/>
  <c r="J309" i="4"/>
  <c r="K309" i="4"/>
  <c r="G310" i="4"/>
  <c r="H310" i="4"/>
  <c r="I310" i="4"/>
  <c r="J310" i="4"/>
  <c r="K310" i="4"/>
  <c r="G311" i="4"/>
  <c r="H311" i="4"/>
  <c r="I311" i="4"/>
  <c r="J311" i="4"/>
  <c r="K311" i="4"/>
  <c r="G312" i="4"/>
  <c r="H312" i="4"/>
  <c r="I312" i="4"/>
  <c r="J312" i="4"/>
  <c r="K312" i="4"/>
  <c r="G313" i="4"/>
  <c r="H313" i="4"/>
  <c r="I313" i="4"/>
  <c r="J313" i="4"/>
  <c r="K313" i="4"/>
  <c r="G314" i="4"/>
  <c r="H314" i="4"/>
  <c r="I314" i="4"/>
  <c r="J314" i="4"/>
  <c r="K314" i="4"/>
  <c r="G315" i="4"/>
  <c r="H315" i="4"/>
  <c r="I315" i="4"/>
  <c r="J315" i="4"/>
  <c r="K315" i="4"/>
  <c r="G316" i="4"/>
  <c r="H316" i="4"/>
  <c r="I316" i="4"/>
  <c r="J316" i="4"/>
  <c r="K316" i="4"/>
  <c r="G317" i="4"/>
  <c r="H317" i="4"/>
  <c r="I317" i="4"/>
  <c r="J317" i="4"/>
  <c r="K317" i="4"/>
  <c r="G318" i="4"/>
  <c r="H318" i="4"/>
  <c r="I318" i="4"/>
  <c r="J318" i="4"/>
  <c r="K318" i="4"/>
  <c r="G319" i="4"/>
  <c r="H319" i="4"/>
  <c r="I319" i="4"/>
  <c r="J319" i="4"/>
  <c r="K319" i="4"/>
  <c r="G320" i="4"/>
  <c r="H320" i="4"/>
  <c r="I320" i="4"/>
  <c r="J320" i="4"/>
  <c r="K320" i="4"/>
  <c r="G321" i="4"/>
  <c r="H321" i="4"/>
  <c r="I321" i="4"/>
  <c r="J321" i="4"/>
  <c r="K321" i="4"/>
  <c r="G322" i="4"/>
  <c r="H322" i="4"/>
  <c r="I322" i="4"/>
  <c r="J322" i="4"/>
  <c r="K322" i="4"/>
  <c r="G323" i="4"/>
  <c r="H323" i="4"/>
  <c r="I323" i="4"/>
  <c r="J323" i="4"/>
  <c r="K323" i="4"/>
  <c r="G324" i="4"/>
  <c r="H324" i="4"/>
  <c r="J324" i="4"/>
  <c r="K324" i="4"/>
  <c r="G325" i="4"/>
  <c r="H325" i="4"/>
  <c r="I325" i="4"/>
  <c r="J325" i="4"/>
  <c r="K325" i="4"/>
  <c r="G326" i="4"/>
  <c r="H326" i="4"/>
  <c r="I326" i="4"/>
  <c r="J326" i="4"/>
  <c r="K326" i="4"/>
  <c r="G327" i="4"/>
  <c r="H327" i="4"/>
  <c r="I327" i="4"/>
  <c r="J327" i="4"/>
  <c r="K327" i="4"/>
  <c r="G328" i="4"/>
  <c r="H328" i="4"/>
  <c r="I328" i="4"/>
  <c r="J328" i="4"/>
  <c r="K328" i="4"/>
  <c r="G329" i="4"/>
  <c r="H329" i="4"/>
  <c r="I329" i="4"/>
  <c r="J329" i="4"/>
  <c r="K329" i="4"/>
  <c r="H330" i="4"/>
  <c r="I330" i="4"/>
  <c r="J330" i="4"/>
  <c r="G331" i="4"/>
  <c r="H331" i="4"/>
  <c r="I331" i="4"/>
  <c r="J331" i="4"/>
  <c r="K331" i="4"/>
  <c r="G332" i="4"/>
  <c r="H332" i="4"/>
  <c r="I332" i="4"/>
  <c r="J332" i="4"/>
  <c r="K332" i="4"/>
  <c r="G333" i="4"/>
  <c r="H333" i="4"/>
  <c r="I333" i="4"/>
  <c r="J333" i="4"/>
  <c r="K333" i="4"/>
  <c r="G334" i="4"/>
  <c r="H334" i="4"/>
  <c r="I334" i="4"/>
  <c r="J334" i="4"/>
  <c r="K334" i="4"/>
  <c r="G335" i="4"/>
  <c r="H335" i="4"/>
  <c r="I335" i="4"/>
  <c r="J335" i="4"/>
  <c r="K335" i="4"/>
  <c r="G336" i="4"/>
  <c r="I336" i="4"/>
  <c r="J336" i="4"/>
  <c r="G337" i="4"/>
  <c r="H337" i="4"/>
  <c r="I337" i="4"/>
  <c r="J337" i="4"/>
  <c r="K337" i="4"/>
  <c r="G338" i="4"/>
  <c r="H338" i="4"/>
  <c r="I338" i="4"/>
  <c r="J338" i="4"/>
  <c r="K338" i="4"/>
  <c r="G339" i="4"/>
  <c r="H339" i="4"/>
  <c r="I339" i="4"/>
  <c r="J339" i="4"/>
  <c r="K339" i="4"/>
  <c r="G340" i="4"/>
  <c r="H340" i="4"/>
  <c r="I340" i="4"/>
  <c r="J340" i="4"/>
  <c r="K340" i="4"/>
  <c r="G341" i="4"/>
  <c r="H341" i="4"/>
  <c r="I341" i="4"/>
  <c r="J341" i="4"/>
  <c r="K341" i="4"/>
  <c r="G342" i="4"/>
  <c r="H342" i="4"/>
  <c r="J342" i="4"/>
  <c r="K342" i="4"/>
  <c r="G343" i="4"/>
  <c r="H343" i="4"/>
  <c r="I343" i="4"/>
  <c r="J343" i="4"/>
  <c r="K343" i="4"/>
  <c r="G344" i="4"/>
  <c r="H344" i="4"/>
  <c r="I344" i="4"/>
  <c r="J344" i="4"/>
  <c r="K344" i="4"/>
  <c r="G345" i="4"/>
  <c r="H345" i="4"/>
  <c r="I345" i="4"/>
  <c r="J345" i="4"/>
  <c r="K345" i="4"/>
  <c r="G346" i="4"/>
  <c r="H346" i="4"/>
  <c r="I346" i="4"/>
  <c r="J346" i="4"/>
  <c r="K346" i="4"/>
  <c r="G347" i="4"/>
  <c r="H347" i="4"/>
  <c r="I347" i="4"/>
  <c r="J347" i="4"/>
  <c r="K347" i="4"/>
  <c r="G348" i="4"/>
  <c r="H348" i="4"/>
  <c r="I348" i="4"/>
  <c r="J348" i="4"/>
  <c r="K348" i="4"/>
  <c r="G349" i="4"/>
  <c r="H349" i="4"/>
  <c r="I349" i="4"/>
  <c r="J349" i="4"/>
  <c r="K349" i="4"/>
  <c r="G350" i="4"/>
  <c r="H350" i="4"/>
  <c r="I350" i="4"/>
  <c r="J350" i="4"/>
  <c r="K350" i="4"/>
  <c r="G351" i="4"/>
  <c r="H351" i="4"/>
  <c r="I351" i="4"/>
  <c r="J351" i="4"/>
  <c r="K351" i="4"/>
  <c r="G352" i="4"/>
  <c r="H352" i="4"/>
  <c r="I352" i="4"/>
  <c r="J352" i="4"/>
  <c r="K352" i="4"/>
  <c r="G353" i="4"/>
  <c r="H353" i="4"/>
  <c r="I353" i="4"/>
  <c r="J353" i="4"/>
  <c r="K353" i="4"/>
  <c r="G354" i="4"/>
  <c r="H354" i="4"/>
  <c r="I354" i="4"/>
  <c r="J354" i="4"/>
  <c r="K354" i="4"/>
  <c r="G355" i="4"/>
  <c r="H355" i="4"/>
  <c r="I355" i="4"/>
  <c r="J355" i="4"/>
  <c r="K355" i="4"/>
  <c r="G356" i="4"/>
  <c r="H356" i="4"/>
  <c r="I356" i="4"/>
  <c r="J356" i="4"/>
  <c r="K356" i="4"/>
  <c r="G357" i="4"/>
  <c r="H357" i="4"/>
  <c r="I357" i="4"/>
  <c r="J357" i="4"/>
  <c r="K357" i="4"/>
  <c r="G358" i="4"/>
  <c r="H358" i="4"/>
  <c r="I358" i="4"/>
  <c r="J358" i="4"/>
  <c r="K358" i="4"/>
  <c r="G359" i="4"/>
  <c r="H359" i="4"/>
  <c r="I359" i="4"/>
  <c r="J359" i="4"/>
  <c r="K359" i="4"/>
  <c r="G360" i="4"/>
  <c r="H360" i="4"/>
  <c r="I360" i="4"/>
  <c r="J360" i="4"/>
  <c r="K360" i="4"/>
  <c r="G361" i="4"/>
  <c r="H361" i="4"/>
  <c r="I361" i="4"/>
  <c r="J361" i="4"/>
  <c r="K361" i="4"/>
  <c r="G362" i="4"/>
  <c r="H362" i="4"/>
  <c r="I362" i="4"/>
  <c r="J362" i="4"/>
  <c r="K362" i="4"/>
  <c r="G363" i="4"/>
  <c r="H363" i="4"/>
  <c r="I363" i="4"/>
  <c r="J363" i="4"/>
  <c r="K363" i="4"/>
  <c r="G364" i="4"/>
  <c r="H364" i="4"/>
  <c r="I364" i="4"/>
  <c r="J364" i="4"/>
  <c r="K364" i="4"/>
  <c r="G365" i="4"/>
  <c r="H365" i="4"/>
  <c r="I365" i="4"/>
  <c r="J365" i="4"/>
  <c r="K365" i="4"/>
  <c r="G366" i="4"/>
  <c r="H366" i="4"/>
  <c r="I366" i="4"/>
  <c r="J366" i="4"/>
  <c r="G367" i="4"/>
  <c r="H367" i="4"/>
  <c r="I367" i="4"/>
  <c r="J367" i="4"/>
  <c r="K367" i="4"/>
  <c r="G368" i="4"/>
  <c r="H368" i="4"/>
  <c r="I368" i="4"/>
  <c r="J368" i="4"/>
  <c r="K368" i="4"/>
  <c r="G369" i="4"/>
  <c r="H369" i="4"/>
  <c r="I369" i="4"/>
  <c r="J369" i="4"/>
  <c r="K369" i="4"/>
  <c r="G370" i="4"/>
  <c r="H370" i="4"/>
  <c r="I370" i="4"/>
  <c r="J370" i="4"/>
  <c r="K370" i="4"/>
  <c r="G371" i="4"/>
  <c r="H371" i="4"/>
  <c r="I371" i="4"/>
  <c r="J371" i="4"/>
  <c r="K371" i="4"/>
  <c r="G372" i="4"/>
  <c r="H372" i="4"/>
  <c r="I372" i="4"/>
  <c r="J372" i="4"/>
  <c r="K372" i="4"/>
  <c r="G373" i="4"/>
  <c r="H373" i="4"/>
  <c r="I373" i="4"/>
  <c r="J373" i="4"/>
  <c r="K373" i="4"/>
  <c r="G374" i="4"/>
  <c r="H374" i="4"/>
  <c r="I374" i="4"/>
  <c r="J374" i="4"/>
  <c r="K374" i="4"/>
  <c r="G375" i="4"/>
  <c r="H375" i="4"/>
  <c r="I375" i="4"/>
  <c r="J375" i="4"/>
  <c r="K375" i="4"/>
  <c r="G376" i="4"/>
  <c r="H376" i="4"/>
  <c r="I376" i="4"/>
  <c r="J376" i="4"/>
  <c r="K376" i="4"/>
  <c r="G377" i="4"/>
  <c r="H377" i="4"/>
  <c r="I377" i="4"/>
  <c r="J377" i="4"/>
  <c r="K377" i="4"/>
  <c r="G378" i="4"/>
  <c r="H378" i="4"/>
  <c r="I378" i="4"/>
  <c r="J378" i="4"/>
  <c r="K378" i="4"/>
  <c r="G379" i="4"/>
  <c r="H379" i="4"/>
  <c r="I379" i="4"/>
  <c r="J379" i="4"/>
  <c r="K379" i="4"/>
  <c r="G380" i="4"/>
  <c r="H380" i="4"/>
  <c r="I380" i="4"/>
  <c r="J380" i="4"/>
  <c r="K380" i="4"/>
  <c r="G381" i="4"/>
  <c r="H381" i="4"/>
  <c r="I381" i="4"/>
  <c r="J381" i="4"/>
  <c r="K381" i="4"/>
  <c r="G382" i="4"/>
  <c r="H382" i="4"/>
  <c r="I382" i="4"/>
  <c r="J382" i="4"/>
  <c r="K382" i="4"/>
  <c r="G383" i="4"/>
  <c r="H383" i="4"/>
  <c r="I383" i="4"/>
  <c r="J383" i="4"/>
  <c r="K383" i="4"/>
  <c r="H384" i="4"/>
  <c r="J384" i="4"/>
  <c r="K384" i="4"/>
  <c r="G385" i="4"/>
  <c r="H385" i="4"/>
  <c r="I385" i="4"/>
  <c r="J385" i="4"/>
  <c r="K385" i="4"/>
  <c r="G386" i="4"/>
  <c r="H386" i="4"/>
  <c r="I386" i="4"/>
  <c r="J386" i="4"/>
  <c r="K386" i="4"/>
  <c r="G387" i="4"/>
  <c r="H387" i="4"/>
  <c r="I387" i="4"/>
  <c r="J387" i="4"/>
  <c r="K387" i="4"/>
  <c r="G388" i="4"/>
  <c r="H388" i="4"/>
  <c r="I388" i="4"/>
  <c r="J388" i="4"/>
  <c r="K388" i="4"/>
  <c r="G389" i="4"/>
  <c r="H389" i="4"/>
  <c r="I389" i="4"/>
  <c r="J389" i="4"/>
  <c r="K389" i="4"/>
  <c r="G390" i="4"/>
  <c r="H390" i="4"/>
  <c r="I390" i="4"/>
  <c r="J390" i="4"/>
  <c r="K390" i="4"/>
  <c r="G391" i="4"/>
  <c r="H391" i="4"/>
  <c r="I391" i="4"/>
  <c r="J391" i="4"/>
  <c r="K391" i="4"/>
  <c r="G392" i="4"/>
  <c r="H392" i="4"/>
  <c r="I392" i="4"/>
  <c r="J392" i="4"/>
  <c r="K392" i="4"/>
  <c r="G393" i="4"/>
  <c r="H393" i="4"/>
  <c r="I393" i="4"/>
  <c r="J393" i="4"/>
  <c r="K393" i="4"/>
  <c r="G394" i="4"/>
  <c r="H394" i="4"/>
  <c r="I394" i="4"/>
  <c r="J394" i="4"/>
  <c r="K394" i="4"/>
  <c r="G395" i="4"/>
  <c r="H395" i="4"/>
  <c r="I395" i="4"/>
  <c r="J395" i="4"/>
  <c r="K395" i="4"/>
  <c r="G396" i="4"/>
  <c r="H396" i="4"/>
  <c r="I396" i="4"/>
  <c r="J396" i="4"/>
  <c r="K396" i="4"/>
  <c r="G397" i="4"/>
  <c r="H397" i="4"/>
  <c r="I397" i="4"/>
  <c r="J397" i="4"/>
  <c r="K397" i="4"/>
  <c r="G398" i="4"/>
  <c r="H398" i="4"/>
  <c r="I398" i="4"/>
  <c r="J398" i="4"/>
  <c r="K398" i="4"/>
  <c r="G399" i="4"/>
  <c r="H399" i="4"/>
  <c r="I399" i="4"/>
  <c r="J399" i="4"/>
  <c r="K399" i="4"/>
  <c r="G400" i="4"/>
  <c r="H400" i="4"/>
  <c r="I400" i="4"/>
  <c r="J400" i="4"/>
  <c r="K400" i="4"/>
  <c r="G401" i="4"/>
  <c r="H401" i="4"/>
  <c r="I401" i="4"/>
  <c r="J401" i="4"/>
  <c r="K401" i="4"/>
  <c r="H402" i="4"/>
  <c r="I402" i="4"/>
  <c r="J402" i="4"/>
  <c r="K402" i="4"/>
  <c r="G403" i="4"/>
  <c r="H403" i="4"/>
  <c r="I403" i="4"/>
  <c r="J403" i="4"/>
  <c r="K403" i="4"/>
  <c r="G404" i="4"/>
  <c r="H404" i="4"/>
  <c r="I404" i="4"/>
  <c r="J404" i="4"/>
  <c r="K404" i="4"/>
  <c r="G405" i="4"/>
  <c r="H405" i="4"/>
  <c r="I405" i="4"/>
  <c r="J405" i="4"/>
  <c r="K405" i="4"/>
  <c r="G406" i="4"/>
  <c r="H406" i="4"/>
  <c r="I406" i="4"/>
  <c r="J406" i="4"/>
  <c r="K406" i="4"/>
  <c r="G407" i="4"/>
  <c r="H407" i="4"/>
  <c r="I407" i="4"/>
  <c r="J407" i="4"/>
  <c r="K407" i="4"/>
  <c r="G408" i="4"/>
  <c r="H408" i="4"/>
  <c r="I408" i="4"/>
  <c r="J408" i="4"/>
  <c r="K408" i="4"/>
  <c r="G409" i="4"/>
  <c r="H409" i="4"/>
  <c r="I409" i="4"/>
  <c r="J409" i="4"/>
  <c r="K409" i="4"/>
  <c r="G410" i="4"/>
  <c r="H410" i="4"/>
  <c r="I410" i="4"/>
  <c r="J410" i="4"/>
  <c r="K410" i="4"/>
  <c r="G411" i="4"/>
  <c r="H411" i="4"/>
  <c r="I411" i="4"/>
  <c r="J411" i="4"/>
  <c r="K411" i="4"/>
  <c r="G412" i="4"/>
  <c r="H412" i="4"/>
  <c r="I412" i="4"/>
  <c r="J412" i="4"/>
  <c r="K412" i="4"/>
  <c r="G413" i="4"/>
  <c r="H413" i="4"/>
  <c r="I413" i="4"/>
  <c r="J413" i="4"/>
  <c r="K413" i="4"/>
  <c r="H414" i="4"/>
  <c r="I414" i="4"/>
  <c r="J414" i="4"/>
  <c r="G415" i="4"/>
  <c r="H415" i="4"/>
  <c r="I415" i="4"/>
  <c r="J415" i="4"/>
  <c r="K415" i="4"/>
  <c r="G416" i="4"/>
  <c r="H416" i="4"/>
  <c r="I416" i="4"/>
  <c r="J416" i="4"/>
  <c r="K416" i="4"/>
  <c r="G417" i="4"/>
  <c r="H417" i="4"/>
  <c r="I417" i="4"/>
  <c r="J417" i="4"/>
  <c r="K417" i="4"/>
  <c r="G418" i="4"/>
  <c r="H418" i="4"/>
  <c r="J418" i="4"/>
  <c r="K418" i="4"/>
  <c r="G419" i="4"/>
  <c r="H419" i="4"/>
  <c r="I419" i="4"/>
  <c r="J419" i="4"/>
  <c r="K419" i="4"/>
  <c r="G420" i="4"/>
  <c r="H420" i="4"/>
  <c r="I420" i="4"/>
  <c r="J420" i="4"/>
  <c r="K420" i="4"/>
  <c r="G421" i="4"/>
  <c r="H421" i="4"/>
  <c r="I421" i="4"/>
  <c r="J421" i="4"/>
  <c r="K421" i="4"/>
  <c r="G422" i="4"/>
  <c r="H422" i="4"/>
  <c r="I422" i="4"/>
  <c r="J422" i="4"/>
  <c r="K422" i="4"/>
  <c r="G423" i="4"/>
  <c r="H423" i="4"/>
  <c r="I423" i="4"/>
  <c r="J423" i="4"/>
  <c r="K423" i="4"/>
  <c r="G424" i="4"/>
  <c r="H424" i="4"/>
  <c r="I424" i="4"/>
  <c r="J424" i="4"/>
  <c r="K424" i="4"/>
  <c r="G425" i="4"/>
  <c r="H425" i="4"/>
  <c r="I425" i="4"/>
  <c r="J425" i="4"/>
  <c r="K425" i="4"/>
  <c r="K233" i="4"/>
  <c r="J233" i="4"/>
  <c r="I233" i="4"/>
  <c r="H233" i="4"/>
  <c r="G233" i="4"/>
  <c r="K232" i="4"/>
  <c r="J232" i="4"/>
  <c r="I232" i="4"/>
  <c r="H232" i="4"/>
  <c r="G232" i="4"/>
  <c r="K231" i="4"/>
  <c r="J231" i="4"/>
  <c r="I231" i="4"/>
  <c r="H231" i="4"/>
  <c r="G231" i="4"/>
  <c r="K230" i="4"/>
  <c r="J230" i="4"/>
  <c r="I230" i="4"/>
  <c r="H230" i="4"/>
  <c r="G230" i="4"/>
  <c r="K229" i="4"/>
  <c r="J229" i="4"/>
  <c r="I229" i="4"/>
  <c r="H229" i="4"/>
  <c r="G229" i="4"/>
  <c r="K228" i="4"/>
  <c r="J228" i="4"/>
  <c r="I228" i="4"/>
  <c r="H228" i="4"/>
  <c r="G228" i="4"/>
  <c r="K227" i="4"/>
  <c r="J227" i="4"/>
  <c r="I227" i="4"/>
  <c r="H227" i="4"/>
  <c r="G227" i="4"/>
  <c r="K226" i="4"/>
  <c r="J226" i="4"/>
  <c r="I226" i="4"/>
  <c r="H226" i="4"/>
  <c r="G226" i="4"/>
  <c r="K225" i="4"/>
  <c r="J225" i="4"/>
  <c r="I225" i="4"/>
  <c r="H225" i="4"/>
  <c r="G225" i="4"/>
  <c r="K224" i="4"/>
  <c r="J224" i="4"/>
  <c r="I224" i="4"/>
  <c r="H224" i="4"/>
  <c r="G224" i="4"/>
  <c r="K223" i="4"/>
  <c r="J223" i="4"/>
  <c r="I223" i="4"/>
  <c r="H223" i="4"/>
  <c r="G223" i="4"/>
  <c r="K222" i="4"/>
  <c r="J222" i="4"/>
  <c r="I222" i="4"/>
  <c r="G222" i="4"/>
  <c r="K221" i="4"/>
  <c r="J221" i="4"/>
  <c r="I221" i="4"/>
  <c r="H221" i="4"/>
  <c r="G221" i="4"/>
  <c r="K220" i="4"/>
  <c r="J220" i="4"/>
  <c r="I220" i="4"/>
  <c r="H220" i="4"/>
  <c r="G220" i="4"/>
  <c r="K219" i="4"/>
  <c r="J219" i="4"/>
  <c r="I219" i="4"/>
  <c r="H219" i="4"/>
  <c r="G219" i="4"/>
  <c r="K218" i="4"/>
  <c r="J218" i="4"/>
  <c r="I218" i="4"/>
  <c r="H218" i="4"/>
  <c r="G218" i="4"/>
  <c r="K217" i="4"/>
  <c r="J217" i="4"/>
  <c r="I217" i="4"/>
  <c r="H217" i="4"/>
  <c r="G217" i="4"/>
  <c r="J216" i="4"/>
  <c r="I216" i="4"/>
  <c r="H216" i="4"/>
  <c r="G216" i="4"/>
  <c r="K215" i="4"/>
  <c r="J215" i="4"/>
  <c r="I215" i="4"/>
  <c r="H215" i="4"/>
  <c r="G215" i="4"/>
  <c r="K214" i="4"/>
  <c r="J214" i="4"/>
  <c r="I214" i="4"/>
  <c r="H214" i="4"/>
  <c r="G214" i="4"/>
  <c r="K213" i="4"/>
  <c r="J213" i="4"/>
  <c r="I213" i="4"/>
  <c r="H213" i="4"/>
  <c r="G213" i="4"/>
  <c r="K212" i="4"/>
  <c r="J212" i="4"/>
  <c r="I212" i="4"/>
  <c r="H212" i="4"/>
  <c r="G212" i="4"/>
  <c r="K211" i="4"/>
  <c r="J211" i="4"/>
  <c r="I211" i="4"/>
  <c r="H211" i="4"/>
  <c r="G211" i="4"/>
  <c r="K210" i="4"/>
  <c r="J210" i="4"/>
  <c r="I210" i="4"/>
  <c r="H210" i="4"/>
  <c r="G210" i="4"/>
  <c r="G178" i="4"/>
  <c r="H178" i="4"/>
  <c r="I178" i="4"/>
  <c r="J178" i="4"/>
  <c r="F179" i="4"/>
  <c r="G179" i="4"/>
  <c r="H179" i="4"/>
  <c r="I179" i="4"/>
  <c r="J179" i="4"/>
  <c r="F180" i="4"/>
  <c r="G180" i="4"/>
  <c r="H180" i="4"/>
  <c r="I180" i="4"/>
  <c r="J180" i="4"/>
  <c r="F181" i="4"/>
  <c r="G181" i="4"/>
  <c r="F182" i="4"/>
  <c r="G182" i="4"/>
  <c r="H182" i="4"/>
  <c r="I182" i="4"/>
  <c r="J182" i="4"/>
  <c r="F183" i="4"/>
  <c r="G183" i="4"/>
  <c r="H183" i="4"/>
  <c r="I183" i="4"/>
  <c r="J183" i="4"/>
  <c r="J190" i="4"/>
  <c r="I190" i="4"/>
  <c r="H190" i="4"/>
  <c r="G190" i="4"/>
  <c r="F190" i="4"/>
  <c r="J185" i="4"/>
  <c r="I185" i="4"/>
  <c r="H185" i="4"/>
  <c r="G185" i="4"/>
  <c r="F185" i="4"/>
  <c r="J177" i="4"/>
  <c r="I177" i="4"/>
  <c r="H177" i="4"/>
  <c r="G177" i="4"/>
  <c r="F177" i="4"/>
  <c r="J176" i="4"/>
  <c r="I176" i="4"/>
  <c r="H176" i="4"/>
  <c r="G176" i="4"/>
  <c r="F176" i="4"/>
  <c r="J175" i="4"/>
  <c r="I175" i="4"/>
  <c r="H175" i="4"/>
  <c r="G175" i="4"/>
  <c r="F175" i="4"/>
  <c r="J174" i="4"/>
  <c r="I174" i="4"/>
  <c r="H174" i="4"/>
  <c r="G174" i="4"/>
  <c r="F174" i="4"/>
  <c r="J173" i="4"/>
  <c r="I173" i="4"/>
  <c r="H173" i="4"/>
  <c r="G173" i="4"/>
  <c r="F173" i="4"/>
  <c r="J172" i="4"/>
  <c r="I172" i="4"/>
  <c r="H172" i="4"/>
  <c r="G172" i="4"/>
  <c r="F172" i="4"/>
  <c r="J171" i="4"/>
  <c r="I171" i="4"/>
  <c r="H171" i="4"/>
  <c r="G171" i="4"/>
  <c r="F171" i="4"/>
  <c r="J170" i="4"/>
  <c r="I170" i="4"/>
  <c r="H170" i="4"/>
  <c r="G170" i="4"/>
  <c r="F170" i="4"/>
  <c r="I169" i="4"/>
  <c r="H169" i="4"/>
  <c r="G169" i="4"/>
  <c r="F169" i="4"/>
  <c r="J168" i="4"/>
  <c r="I168" i="4"/>
  <c r="H168" i="4"/>
  <c r="G168" i="4"/>
  <c r="F168" i="4"/>
  <c r="J167" i="4"/>
  <c r="I167" i="4"/>
  <c r="H167" i="4"/>
  <c r="G167" i="4"/>
  <c r="F167" i="4"/>
  <c r="J166" i="4"/>
  <c r="I166" i="4"/>
  <c r="H166" i="4"/>
  <c r="F166" i="4"/>
  <c r="J165" i="4"/>
  <c r="I165" i="4"/>
  <c r="H165" i="4"/>
  <c r="G165" i="4"/>
  <c r="F165" i="4"/>
  <c r="J164" i="4"/>
  <c r="I164" i="4"/>
  <c r="H164" i="4"/>
  <c r="G164" i="4"/>
  <c r="F164" i="4"/>
  <c r="I163" i="4"/>
  <c r="G163" i="4"/>
  <c r="F163" i="4"/>
  <c r="J162" i="4"/>
  <c r="I162" i="4"/>
  <c r="H162" i="4"/>
  <c r="G162" i="4"/>
  <c r="F162" i="4"/>
  <c r="J161" i="4"/>
  <c r="I161" i="4"/>
  <c r="H161" i="4"/>
  <c r="G161" i="4"/>
  <c r="F161" i="4"/>
  <c r="J160" i="4"/>
  <c r="I160" i="4"/>
  <c r="H160" i="4"/>
  <c r="G160" i="4"/>
  <c r="G138" i="4"/>
  <c r="F138" i="4"/>
  <c r="E138" i="4"/>
  <c r="E132" i="4"/>
  <c r="E133" i="4"/>
  <c r="I150" i="4"/>
  <c r="H150" i="4"/>
  <c r="G150" i="4"/>
  <c r="F150" i="4"/>
  <c r="E150" i="4"/>
  <c r="I145" i="4"/>
  <c r="H145" i="4"/>
  <c r="G145" i="4"/>
  <c r="F145" i="4"/>
  <c r="E145" i="4"/>
  <c r="I143" i="4"/>
  <c r="H143" i="4"/>
  <c r="G143" i="4"/>
  <c r="F143" i="4"/>
  <c r="E143" i="4"/>
  <c r="I142" i="4"/>
  <c r="H142" i="4"/>
  <c r="G142" i="4"/>
  <c r="F142" i="4"/>
  <c r="E142" i="4"/>
  <c r="I141" i="4"/>
  <c r="H141" i="4"/>
  <c r="G141" i="4"/>
  <c r="F141" i="4"/>
  <c r="E141" i="4"/>
  <c r="I140" i="4"/>
  <c r="H140" i="4"/>
  <c r="G140" i="4"/>
  <c r="F140" i="4"/>
  <c r="E140" i="4"/>
  <c r="I139" i="4"/>
  <c r="H139" i="4"/>
  <c r="G139" i="4"/>
  <c r="F139" i="4"/>
  <c r="E139" i="4"/>
  <c r="I138" i="4"/>
  <c r="H138" i="4"/>
  <c r="I137" i="4"/>
  <c r="H137" i="4"/>
  <c r="G137" i="4"/>
  <c r="F137" i="4"/>
  <c r="E137" i="4"/>
  <c r="I136" i="4"/>
  <c r="H136" i="4"/>
  <c r="G136" i="4"/>
  <c r="F136" i="4"/>
  <c r="E136" i="4"/>
  <c r="I135" i="4"/>
  <c r="H135" i="4"/>
  <c r="G135" i="4"/>
  <c r="F135" i="4"/>
  <c r="E135" i="4"/>
  <c r="I134" i="4"/>
  <c r="H134" i="4"/>
  <c r="G134" i="4"/>
  <c r="F134" i="4"/>
  <c r="E134" i="4"/>
  <c r="I133" i="4"/>
  <c r="H133" i="4"/>
  <c r="G133" i="4"/>
  <c r="F133" i="4"/>
  <c r="I132" i="4"/>
  <c r="H132" i="4"/>
  <c r="G132" i="4"/>
  <c r="F132" i="4"/>
  <c r="I131" i="4"/>
  <c r="H131" i="4"/>
  <c r="G131" i="4"/>
  <c r="F131" i="4"/>
  <c r="E131" i="4"/>
  <c r="I130" i="4"/>
  <c r="H130" i="4"/>
  <c r="G130" i="4"/>
  <c r="F130" i="4"/>
  <c r="E130" i="4"/>
  <c r="I129" i="4"/>
  <c r="H129" i="4"/>
  <c r="G129" i="4"/>
  <c r="F129" i="4"/>
  <c r="E129" i="4"/>
  <c r="I128" i="4"/>
  <c r="H128" i="4"/>
  <c r="G128" i="4"/>
  <c r="F128" i="4"/>
  <c r="E128" i="4"/>
  <c r="I127" i="4"/>
  <c r="H127" i="4"/>
  <c r="G127" i="4"/>
  <c r="F127" i="4"/>
  <c r="E127" i="4"/>
  <c r="I126" i="4"/>
  <c r="H126" i="4"/>
  <c r="G126" i="4"/>
  <c r="F126" i="4"/>
  <c r="E126" i="4"/>
  <c r="F103" i="4"/>
  <c r="I115" i="4"/>
  <c r="H115" i="4"/>
  <c r="G115" i="4"/>
  <c r="F115" i="4"/>
  <c r="E115" i="4"/>
  <c r="I110" i="4"/>
  <c r="H110" i="4"/>
  <c r="G110" i="4"/>
  <c r="F110" i="4"/>
  <c r="E110" i="4"/>
  <c r="E93" i="4"/>
  <c r="F93" i="4"/>
  <c r="G93" i="4"/>
  <c r="H93" i="4"/>
  <c r="I93" i="4"/>
  <c r="E94" i="4"/>
  <c r="F94" i="4"/>
  <c r="G94" i="4"/>
  <c r="H94" i="4"/>
  <c r="I94" i="4"/>
  <c r="E95" i="4"/>
  <c r="F95" i="4"/>
  <c r="G95" i="4"/>
  <c r="H95" i="4"/>
  <c r="I95" i="4"/>
  <c r="E96" i="4"/>
  <c r="F96" i="4"/>
  <c r="G96" i="4"/>
  <c r="H96" i="4"/>
  <c r="I96" i="4"/>
  <c r="F97" i="4"/>
  <c r="G97" i="4"/>
  <c r="H97" i="4"/>
  <c r="I97" i="4"/>
  <c r="E98" i="4"/>
  <c r="F98" i="4"/>
  <c r="G98" i="4"/>
  <c r="H98" i="4"/>
  <c r="I98" i="4"/>
  <c r="E99" i="4"/>
  <c r="F99" i="4"/>
  <c r="G99" i="4"/>
  <c r="H99" i="4"/>
  <c r="I99" i="4"/>
  <c r="E100" i="4"/>
  <c r="F100" i="4"/>
  <c r="G100" i="4"/>
  <c r="H100" i="4"/>
  <c r="I100" i="4"/>
  <c r="E101" i="4"/>
  <c r="F101" i="4"/>
  <c r="G101" i="4"/>
  <c r="H101" i="4"/>
  <c r="I101" i="4"/>
  <c r="E102" i="4"/>
  <c r="F102" i="4"/>
  <c r="G102" i="4"/>
  <c r="H102" i="4"/>
  <c r="I102" i="4"/>
  <c r="E103" i="4"/>
  <c r="G103" i="4"/>
  <c r="I103" i="4"/>
  <c r="E104" i="4"/>
  <c r="F104" i="4"/>
  <c r="G104" i="4"/>
  <c r="H104" i="4"/>
  <c r="I104" i="4"/>
  <c r="E105" i="4"/>
  <c r="F105" i="4"/>
  <c r="G105" i="4"/>
  <c r="H105" i="4"/>
  <c r="I105" i="4"/>
  <c r="E106" i="4"/>
  <c r="F106" i="4"/>
  <c r="G106" i="4"/>
  <c r="H106" i="4"/>
  <c r="I106" i="4"/>
  <c r="E107" i="4"/>
  <c r="F107" i="4"/>
  <c r="G107" i="4"/>
  <c r="H107" i="4"/>
  <c r="I107" i="4"/>
  <c r="E108" i="4"/>
  <c r="F108" i="4"/>
  <c r="G108" i="4"/>
  <c r="H108" i="4"/>
  <c r="I108" i="4"/>
  <c r="I92" i="4"/>
  <c r="H92" i="4"/>
  <c r="G92" i="4"/>
  <c r="F92" i="4"/>
  <c r="E92" i="4"/>
  <c r="I91" i="4"/>
  <c r="H91" i="4"/>
  <c r="G91" i="4"/>
  <c r="F91" i="4"/>
  <c r="E91" i="4"/>
  <c r="H80" i="4"/>
  <c r="G80" i="4"/>
  <c r="F80" i="4"/>
  <c r="E80" i="4"/>
  <c r="D80" i="4"/>
  <c r="H75" i="4"/>
  <c r="G75" i="4"/>
  <c r="F75" i="4"/>
  <c r="E75" i="4"/>
  <c r="D75" i="4"/>
  <c r="H73" i="4"/>
  <c r="G73" i="4"/>
  <c r="F73" i="4"/>
  <c r="E73" i="4"/>
  <c r="D73" i="4"/>
  <c r="H72" i="4"/>
  <c r="G72" i="4"/>
  <c r="F72" i="4"/>
  <c r="E72" i="4"/>
  <c r="D72" i="4"/>
  <c r="H71" i="4"/>
  <c r="G71" i="4"/>
  <c r="F71" i="4"/>
  <c r="E71" i="4"/>
  <c r="D71" i="4"/>
  <c r="H70" i="4"/>
  <c r="G70" i="4"/>
  <c r="F70" i="4"/>
  <c r="E70" i="4"/>
  <c r="D70" i="4"/>
  <c r="F53" i="4"/>
  <c r="H61" i="4"/>
  <c r="G61" i="4"/>
  <c r="F61" i="4"/>
  <c r="E61" i="4"/>
  <c r="D61" i="4"/>
  <c r="H56" i="4"/>
  <c r="G56" i="4"/>
  <c r="F56" i="4"/>
  <c r="E56" i="4"/>
  <c r="D56" i="4"/>
  <c r="H54" i="4"/>
  <c r="G54" i="4"/>
  <c r="F54" i="4"/>
  <c r="E54" i="4"/>
  <c r="D54" i="4"/>
  <c r="H53" i="4"/>
  <c r="G53" i="4"/>
  <c r="E53" i="4"/>
  <c r="D53" i="4"/>
  <c r="H44" i="4"/>
  <c r="G44" i="4"/>
  <c r="F44" i="4"/>
  <c r="E44" i="4"/>
  <c r="D44" i="4"/>
  <c r="H39" i="4"/>
  <c r="G39" i="4"/>
  <c r="F39" i="4"/>
  <c r="E39" i="4"/>
  <c r="D39" i="4"/>
  <c r="H37" i="4"/>
  <c r="G37" i="4"/>
  <c r="F37" i="4"/>
  <c r="E37" i="4"/>
  <c r="D37" i="4"/>
  <c r="H36" i="4"/>
  <c r="G36" i="4"/>
  <c r="F36" i="4"/>
  <c r="E36" i="4"/>
  <c r="D36" i="4"/>
  <c r="H35" i="4"/>
  <c r="G35" i="4"/>
  <c r="F35" i="4"/>
  <c r="E35" i="4"/>
  <c r="D35" i="4"/>
  <c r="H34" i="4"/>
  <c r="G34" i="4"/>
  <c r="F34" i="4"/>
  <c r="D34" i="4"/>
  <c r="H25" i="4"/>
  <c r="G25" i="4"/>
  <c r="F25" i="4"/>
  <c r="E25" i="4"/>
  <c r="H20" i="4"/>
  <c r="G20" i="4"/>
  <c r="F20" i="4"/>
  <c r="E20" i="4"/>
  <c r="D25" i="4"/>
  <c r="D20" i="4"/>
  <c r="N617" i="1" l="1"/>
  <c r="R617" i="1" s="1"/>
  <c r="N610" i="1"/>
  <c r="R610" i="1" s="1"/>
  <c r="N614" i="1"/>
  <c r="R614" i="1" s="1"/>
  <c r="N615" i="1"/>
  <c r="R615" i="1" s="1"/>
  <c r="N616" i="1"/>
  <c r="R616" i="1" s="1"/>
  <c r="N619" i="1"/>
  <c r="R619" i="1" s="1"/>
  <c r="F16" i="4"/>
  <c r="G16" i="4"/>
  <c r="H16" i="4"/>
  <c r="F17" i="4"/>
  <c r="G17" i="4"/>
  <c r="H17" i="4"/>
  <c r="F18" i="4"/>
  <c r="G18" i="4"/>
  <c r="H18" i="4"/>
  <c r="H15" i="4"/>
  <c r="G15" i="4"/>
  <c r="F15" i="4"/>
  <c r="E16" i="4"/>
  <c r="E17" i="4"/>
  <c r="E18" i="4"/>
  <c r="E15" i="4"/>
  <c r="D16" i="4"/>
  <c r="D17" i="4"/>
  <c r="D18" i="4"/>
  <c r="D15" i="4"/>
  <c r="L164" i="3"/>
  <c r="M164" i="3"/>
  <c r="N164" i="3"/>
  <c r="R164" i="3" s="1"/>
  <c r="L165" i="3"/>
  <c r="M165" i="3"/>
  <c r="N165" i="3"/>
  <c r="L166" i="3"/>
  <c r="N166" i="3" s="1"/>
  <c r="M166" i="3"/>
  <c r="L68" i="3"/>
  <c r="M68" i="3"/>
  <c r="N68" i="3"/>
  <c r="L69" i="3"/>
  <c r="M69" i="3"/>
  <c r="N69" i="3"/>
  <c r="R69" i="3" s="1"/>
  <c r="L70" i="3"/>
  <c r="N70" i="3" s="1"/>
  <c r="R70" i="3" s="1"/>
  <c r="M70" i="3"/>
  <c r="L71" i="3"/>
  <c r="M71" i="3"/>
  <c r="R65" i="3"/>
  <c r="R66" i="3"/>
  <c r="R67" i="3"/>
  <c r="R68" i="3"/>
  <c r="P63" i="3"/>
  <c r="Q63" i="3" s="1"/>
  <c r="P64" i="3"/>
  <c r="Q64" i="3"/>
  <c r="P65" i="3"/>
  <c r="Q65" i="3"/>
  <c r="L63" i="3"/>
  <c r="M63" i="3"/>
  <c r="N227" i="3"/>
  <c r="O227" i="3" s="1"/>
  <c r="K227" i="3"/>
  <c r="J227" i="3"/>
  <c r="L227" i="3" s="1"/>
  <c r="P227" i="3" s="1"/>
  <c r="L162" i="3"/>
  <c r="M162" i="3"/>
  <c r="N162" i="3"/>
  <c r="R162" i="3" s="1"/>
  <c r="P162" i="3"/>
  <c r="Q162" i="3"/>
  <c r="L163" i="3"/>
  <c r="M163" i="3"/>
  <c r="P163" i="3"/>
  <c r="Q163" i="3" s="1"/>
  <c r="P164" i="3"/>
  <c r="Q164" i="3" s="1"/>
  <c r="P165" i="3"/>
  <c r="Q165" i="3"/>
  <c r="R165" i="3"/>
  <c r="P166" i="3"/>
  <c r="Q166" i="3"/>
  <c r="L167" i="3"/>
  <c r="M167" i="3"/>
  <c r="P167" i="3"/>
  <c r="Q167" i="3" s="1"/>
  <c r="L168" i="3"/>
  <c r="M168" i="3"/>
  <c r="P168" i="3"/>
  <c r="Q168" i="3" s="1"/>
  <c r="L169" i="3"/>
  <c r="M169" i="3"/>
  <c r="N169" i="3"/>
  <c r="R169" i="3" s="1"/>
  <c r="P169" i="3"/>
  <c r="Q169" i="3" s="1"/>
  <c r="L170" i="3"/>
  <c r="M170" i="3"/>
  <c r="N170" i="3"/>
  <c r="P170" i="3"/>
  <c r="Q170" i="3"/>
  <c r="R170" i="3"/>
  <c r="L171" i="3"/>
  <c r="M171" i="3"/>
  <c r="P171" i="3"/>
  <c r="Q171" i="3" s="1"/>
  <c r="L172" i="3"/>
  <c r="M172" i="3"/>
  <c r="P172" i="3"/>
  <c r="Q172" i="3" s="1"/>
  <c r="L183" i="3"/>
  <c r="M183" i="3"/>
  <c r="N183" i="3"/>
  <c r="R183" i="3" s="1"/>
  <c r="P183" i="3"/>
  <c r="Q183" i="3"/>
  <c r="L184" i="3"/>
  <c r="M184" i="3"/>
  <c r="P184" i="3"/>
  <c r="Q184" i="3"/>
  <c r="L185" i="3"/>
  <c r="M185" i="3"/>
  <c r="N185" i="3"/>
  <c r="R185" i="3" s="1"/>
  <c r="P185" i="3"/>
  <c r="Q185" i="3" s="1"/>
  <c r="L186" i="3"/>
  <c r="M186" i="3"/>
  <c r="P186" i="3"/>
  <c r="Q186" i="3"/>
  <c r="L187" i="3"/>
  <c r="M187" i="3"/>
  <c r="N187" i="3"/>
  <c r="R187" i="3" s="1"/>
  <c r="P187" i="3"/>
  <c r="Q187" i="3"/>
  <c r="L188" i="3"/>
  <c r="M188" i="3"/>
  <c r="P188" i="3"/>
  <c r="Q188" i="3"/>
  <c r="L189" i="3"/>
  <c r="N189" i="3" s="1"/>
  <c r="R189" i="3" s="1"/>
  <c r="M189" i="3"/>
  <c r="P189" i="3"/>
  <c r="Q189" i="3" s="1"/>
  <c r="L190" i="3"/>
  <c r="M190" i="3"/>
  <c r="N190" i="3"/>
  <c r="P190" i="3"/>
  <c r="Q190" i="3"/>
  <c r="R190" i="3"/>
  <c r="L191" i="3"/>
  <c r="N191" i="3" s="1"/>
  <c r="R191" i="3" s="1"/>
  <c r="M191" i="3"/>
  <c r="P191" i="3"/>
  <c r="Q191" i="3"/>
  <c r="L192" i="3"/>
  <c r="M192" i="3"/>
  <c r="P192" i="3"/>
  <c r="Q192" i="3"/>
  <c r="L193" i="3"/>
  <c r="M193" i="3"/>
  <c r="N193" i="3"/>
  <c r="R193" i="3" s="1"/>
  <c r="P193" i="3"/>
  <c r="Q193" i="3" s="1"/>
  <c r="L194" i="3"/>
  <c r="M194" i="3"/>
  <c r="N194" i="3"/>
  <c r="R194" i="3" s="1"/>
  <c r="P194" i="3"/>
  <c r="Q194" i="3"/>
  <c r="L195" i="3"/>
  <c r="M195" i="3"/>
  <c r="N195" i="3"/>
  <c r="R195" i="3" s="1"/>
  <c r="P195" i="3"/>
  <c r="Q195" i="3" s="1"/>
  <c r="L196" i="3"/>
  <c r="M196" i="3"/>
  <c r="P196" i="3"/>
  <c r="Q196" i="3"/>
  <c r="L197" i="3"/>
  <c r="M197" i="3"/>
  <c r="N197" i="3"/>
  <c r="R197" i="3" s="1"/>
  <c r="P197" i="3"/>
  <c r="Q197" i="3" s="1"/>
  <c r="L198" i="3"/>
  <c r="M198" i="3"/>
  <c r="N198" i="3"/>
  <c r="P198" i="3"/>
  <c r="Q198" i="3"/>
  <c r="R198" i="3"/>
  <c r="L199" i="3"/>
  <c r="N199" i="3" s="1"/>
  <c r="R199" i="3" s="1"/>
  <c r="M199" i="3"/>
  <c r="P199" i="3"/>
  <c r="Q199" i="3"/>
  <c r="L209" i="3"/>
  <c r="N209" i="3" s="1"/>
  <c r="R209" i="3" s="1"/>
  <c r="M209" i="3"/>
  <c r="P209" i="3"/>
  <c r="Q209" i="3"/>
  <c r="L210" i="3"/>
  <c r="M210" i="3"/>
  <c r="P210" i="3"/>
  <c r="Q210" i="3"/>
  <c r="L211" i="3"/>
  <c r="N211" i="3" s="1"/>
  <c r="R211" i="3" s="1"/>
  <c r="M211" i="3"/>
  <c r="P211" i="3"/>
  <c r="Q211" i="3" s="1"/>
  <c r="L212" i="3"/>
  <c r="N212" i="3" s="1"/>
  <c r="R212" i="3" s="1"/>
  <c r="M212" i="3"/>
  <c r="P212" i="3"/>
  <c r="Q212" i="3"/>
  <c r="L213" i="3"/>
  <c r="N213" i="3" s="1"/>
  <c r="R213" i="3" s="1"/>
  <c r="M213" i="3"/>
  <c r="P213" i="3"/>
  <c r="Q213" i="3"/>
  <c r="L214" i="3"/>
  <c r="M214" i="3"/>
  <c r="P214" i="3"/>
  <c r="Q214" i="3"/>
  <c r="L215" i="3"/>
  <c r="N215" i="3" s="1"/>
  <c r="R215" i="3" s="1"/>
  <c r="M215" i="3"/>
  <c r="P215" i="3"/>
  <c r="Q215" i="3" s="1"/>
  <c r="L216" i="3"/>
  <c r="M216" i="3"/>
  <c r="P216" i="3"/>
  <c r="Q216" i="3"/>
  <c r="L217" i="3"/>
  <c r="N217" i="3" s="1"/>
  <c r="R217" i="3" s="1"/>
  <c r="M217" i="3"/>
  <c r="P217" i="3"/>
  <c r="Q217" i="3" s="1"/>
  <c r="L218" i="3"/>
  <c r="N218" i="3" s="1"/>
  <c r="R218" i="3" s="1"/>
  <c r="M218" i="3"/>
  <c r="P218" i="3"/>
  <c r="Q218" i="3"/>
  <c r="L219" i="3"/>
  <c r="N219" i="3" s="1"/>
  <c r="R219" i="3" s="1"/>
  <c r="M219" i="3"/>
  <c r="P219" i="3"/>
  <c r="Q219" i="3" s="1"/>
  <c r="Q208" i="3"/>
  <c r="P208" i="3"/>
  <c r="M208" i="3"/>
  <c r="L208" i="3"/>
  <c r="P182" i="3"/>
  <c r="Q182" i="3" s="1"/>
  <c r="M182" i="3"/>
  <c r="L182" i="3"/>
  <c r="N182" i="3" s="1"/>
  <c r="R182" i="3" s="1"/>
  <c r="P161" i="3"/>
  <c r="Q161" i="3" s="1"/>
  <c r="M161" i="3"/>
  <c r="L161" i="3"/>
  <c r="N161" i="3" s="1"/>
  <c r="R161" i="3" s="1"/>
  <c r="P152" i="3"/>
  <c r="Q152" i="3" s="1"/>
  <c r="M152" i="3"/>
  <c r="L152" i="3"/>
  <c r="N152" i="3" s="1"/>
  <c r="R152" i="3" s="1"/>
  <c r="P151" i="3"/>
  <c r="Q151" i="3" s="1"/>
  <c r="M151" i="3"/>
  <c r="L151" i="3"/>
  <c r="N151" i="3" s="1"/>
  <c r="R151" i="3" s="1"/>
  <c r="P150" i="3"/>
  <c r="Q150" i="3" s="1"/>
  <c r="N150" i="3"/>
  <c r="R150" i="3" s="1"/>
  <c r="M150" i="3"/>
  <c r="L150" i="3"/>
  <c r="P149" i="3"/>
  <c r="Q149" i="3" s="1"/>
  <c r="M149" i="3"/>
  <c r="L149" i="3"/>
  <c r="N149" i="3" s="1"/>
  <c r="R149" i="3" s="1"/>
  <c r="P148" i="3"/>
  <c r="Q148" i="3" s="1"/>
  <c r="M148" i="3"/>
  <c r="L148" i="3"/>
  <c r="P147" i="3"/>
  <c r="Q147" i="3" s="1"/>
  <c r="M147" i="3"/>
  <c r="L147" i="3"/>
  <c r="N147" i="3" s="1"/>
  <c r="R147" i="3" s="1"/>
  <c r="P146" i="3"/>
  <c r="Q146" i="3" s="1"/>
  <c r="M146" i="3"/>
  <c r="N146" i="3" s="1"/>
  <c r="R146" i="3" s="1"/>
  <c r="L146" i="3"/>
  <c r="P145" i="3"/>
  <c r="Q145" i="3" s="1"/>
  <c r="M145" i="3"/>
  <c r="L145" i="3"/>
  <c r="N145" i="3" s="1"/>
  <c r="R145" i="3" s="1"/>
  <c r="P144" i="3"/>
  <c r="Q144" i="3" s="1"/>
  <c r="M144" i="3"/>
  <c r="L144" i="3"/>
  <c r="N144" i="3" s="1"/>
  <c r="R144" i="3" s="1"/>
  <c r="P143" i="3"/>
  <c r="Q143" i="3" s="1"/>
  <c r="M143" i="3"/>
  <c r="L143" i="3"/>
  <c r="P142" i="3"/>
  <c r="Q142" i="3" s="1"/>
  <c r="M142" i="3"/>
  <c r="L142" i="3"/>
  <c r="N142" i="3" s="1"/>
  <c r="R142" i="3" s="1"/>
  <c r="P141" i="3"/>
  <c r="Q141" i="3" s="1"/>
  <c r="M141" i="3"/>
  <c r="L141" i="3"/>
  <c r="N141" i="3" s="1"/>
  <c r="R141" i="3" s="1"/>
  <c r="P140" i="3"/>
  <c r="Q140" i="3" s="1"/>
  <c r="M140" i="3"/>
  <c r="L140" i="3"/>
  <c r="N140" i="3" s="1"/>
  <c r="R140" i="3" s="1"/>
  <c r="P139" i="3"/>
  <c r="Q139" i="3" s="1"/>
  <c r="M139" i="3"/>
  <c r="L139" i="3"/>
  <c r="P138" i="3"/>
  <c r="Q138" i="3" s="1"/>
  <c r="M138" i="3"/>
  <c r="L138" i="3"/>
  <c r="P137" i="3"/>
  <c r="Q137" i="3" s="1"/>
  <c r="M137" i="3"/>
  <c r="L137" i="3"/>
  <c r="N137" i="3" s="1"/>
  <c r="R137" i="3" s="1"/>
  <c r="P136" i="3"/>
  <c r="Q136" i="3" s="1"/>
  <c r="M136" i="3"/>
  <c r="L136" i="3"/>
  <c r="N136" i="3" s="1"/>
  <c r="R136" i="3" s="1"/>
  <c r="Q135" i="3"/>
  <c r="P135" i="3"/>
  <c r="M135" i="3"/>
  <c r="L135" i="3"/>
  <c r="N135" i="3" s="1"/>
  <c r="R135" i="3" s="1"/>
  <c r="P125" i="3"/>
  <c r="Q125" i="3" s="1"/>
  <c r="M125" i="3"/>
  <c r="L125" i="3"/>
  <c r="N125" i="3" s="1"/>
  <c r="R125" i="3" s="1"/>
  <c r="P124" i="3"/>
  <c r="Q124" i="3" s="1"/>
  <c r="M124" i="3"/>
  <c r="L124" i="3"/>
  <c r="N124" i="3" s="1"/>
  <c r="R124" i="3" s="1"/>
  <c r="P123" i="3"/>
  <c r="Q123" i="3" s="1"/>
  <c r="M123" i="3"/>
  <c r="L123" i="3"/>
  <c r="P122" i="3"/>
  <c r="Q122" i="3" s="1"/>
  <c r="M122" i="3"/>
  <c r="L122" i="3"/>
  <c r="N122" i="3" s="1"/>
  <c r="R122" i="3" s="1"/>
  <c r="P121" i="3"/>
  <c r="Q121" i="3" s="1"/>
  <c r="M121" i="3"/>
  <c r="L121" i="3"/>
  <c r="N121" i="3" s="1"/>
  <c r="R121" i="3" s="1"/>
  <c r="Q120" i="3"/>
  <c r="P120" i="3"/>
  <c r="M120" i="3"/>
  <c r="L120" i="3"/>
  <c r="N120" i="3" s="1"/>
  <c r="R120" i="3" s="1"/>
  <c r="P119" i="3"/>
  <c r="Q119" i="3" s="1"/>
  <c r="M119" i="3"/>
  <c r="L119" i="3"/>
  <c r="N119" i="3" s="1"/>
  <c r="R119" i="3" s="1"/>
  <c r="P118" i="3"/>
  <c r="Q118" i="3" s="1"/>
  <c r="M118" i="3"/>
  <c r="L118" i="3"/>
  <c r="P117" i="3"/>
  <c r="Q117" i="3" s="1"/>
  <c r="M117" i="3"/>
  <c r="L117" i="3"/>
  <c r="N117" i="3" s="1"/>
  <c r="R117" i="3" s="1"/>
  <c r="P116" i="3"/>
  <c r="Q116" i="3" s="1"/>
  <c r="M116" i="3"/>
  <c r="L116" i="3"/>
  <c r="N116" i="3" s="1"/>
  <c r="R116" i="3" s="1"/>
  <c r="P115" i="3"/>
  <c r="Q115" i="3" s="1"/>
  <c r="M115" i="3"/>
  <c r="L115" i="3"/>
  <c r="N115" i="3" s="1"/>
  <c r="R115" i="3" s="1"/>
  <c r="P114" i="3"/>
  <c r="Q114" i="3" s="1"/>
  <c r="M114" i="3"/>
  <c r="L114" i="3"/>
  <c r="P113" i="3"/>
  <c r="Q113" i="3" s="1"/>
  <c r="M113" i="3"/>
  <c r="L113" i="3"/>
  <c r="P112" i="3"/>
  <c r="Q112" i="3" s="1"/>
  <c r="M112" i="3"/>
  <c r="L112" i="3"/>
  <c r="N112" i="3" s="1"/>
  <c r="R112" i="3" s="1"/>
  <c r="P111" i="3"/>
  <c r="Q111" i="3" s="1"/>
  <c r="M111" i="3"/>
  <c r="L111" i="3"/>
  <c r="P110" i="3"/>
  <c r="Q110" i="3" s="1"/>
  <c r="M110" i="3"/>
  <c r="L110" i="3"/>
  <c r="N110" i="3" s="1"/>
  <c r="R110" i="3" s="1"/>
  <c r="P109" i="3"/>
  <c r="Q109" i="3" s="1"/>
  <c r="M109" i="3"/>
  <c r="L109" i="3"/>
  <c r="N109" i="3" s="1"/>
  <c r="R109" i="3" s="1"/>
  <c r="P108" i="3"/>
  <c r="Q108" i="3" s="1"/>
  <c r="M108" i="3"/>
  <c r="L108" i="3"/>
  <c r="P98" i="3"/>
  <c r="Q98" i="3" s="1"/>
  <c r="M98" i="3"/>
  <c r="L98" i="3"/>
  <c r="N98" i="3" s="1"/>
  <c r="R98" i="3" s="1"/>
  <c r="P97" i="3"/>
  <c r="Q97" i="3" s="1"/>
  <c r="M97" i="3"/>
  <c r="L97" i="3"/>
  <c r="N97" i="3" s="1"/>
  <c r="R97" i="3" s="1"/>
  <c r="P96" i="3"/>
  <c r="Q96" i="3" s="1"/>
  <c r="M96" i="3"/>
  <c r="L96" i="3"/>
  <c r="N96" i="3" s="1"/>
  <c r="R96" i="3" s="1"/>
  <c r="P95" i="3"/>
  <c r="Q95" i="3" s="1"/>
  <c r="M95" i="3"/>
  <c r="L95" i="3"/>
  <c r="N95" i="3" s="1"/>
  <c r="R95" i="3" s="1"/>
  <c r="P94" i="3"/>
  <c r="Q94" i="3" s="1"/>
  <c r="M94" i="3"/>
  <c r="L94" i="3"/>
  <c r="N94" i="3" s="1"/>
  <c r="R94" i="3" s="1"/>
  <c r="P93" i="3"/>
  <c r="Q93" i="3" s="1"/>
  <c r="M93" i="3"/>
  <c r="L93" i="3"/>
  <c r="N93" i="3" s="1"/>
  <c r="R93" i="3" s="1"/>
  <c r="P92" i="3"/>
  <c r="Q92" i="3" s="1"/>
  <c r="M92" i="3"/>
  <c r="L92" i="3"/>
  <c r="P91" i="3"/>
  <c r="Q91" i="3" s="1"/>
  <c r="M91" i="3"/>
  <c r="L91" i="3"/>
  <c r="N91" i="3" s="1"/>
  <c r="R91" i="3" s="1"/>
  <c r="P90" i="3"/>
  <c r="Q90" i="3" s="1"/>
  <c r="M90" i="3"/>
  <c r="L90" i="3"/>
  <c r="N90" i="3" s="1"/>
  <c r="R90" i="3" s="1"/>
  <c r="Q89" i="3"/>
  <c r="P89" i="3"/>
  <c r="M89" i="3"/>
  <c r="L89" i="3"/>
  <c r="P88" i="3"/>
  <c r="Q88" i="3" s="1"/>
  <c r="M88" i="3"/>
  <c r="L88" i="3"/>
  <c r="N88" i="3" s="1"/>
  <c r="R88" i="3" s="1"/>
  <c r="P87" i="3"/>
  <c r="Q87" i="3" s="1"/>
  <c r="M87" i="3"/>
  <c r="L87" i="3"/>
  <c r="P86" i="3"/>
  <c r="Q86" i="3" s="1"/>
  <c r="M86" i="3"/>
  <c r="L86" i="3"/>
  <c r="P85" i="3"/>
  <c r="Q85" i="3" s="1"/>
  <c r="M85" i="3"/>
  <c r="L85" i="3"/>
  <c r="N85" i="3" s="1"/>
  <c r="R85" i="3" s="1"/>
  <c r="P84" i="3"/>
  <c r="Q84" i="3" s="1"/>
  <c r="M84" i="3"/>
  <c r="L84" i="3"/>
  <c r="N84" i="3" s="1"/>
  <c r="R84" i="3" s="1"/>
  <c r="P83" i="3"/>
  <c r="Q83" i="3" s="1"/>
  <c r="M83" i="3"/>
  <c r="L83" i="3"/>
  <c r="N83" i="3" s="1"/>
  <c r="R83" i="3" s="1"/>
  <c r="P82" i="3"/>
  <c r="Q82" i="3" s="1"/>
  <c r="M82" i="3"/>
  <c r="L82" i="3"/>
  <c r="P81" i="3"/>
  <c r="Q81" i="3" s="1"/>
  <c r="M81" i="3"/>
  <c r="L81" i="3"/>
  <c r="N81" i="3" s="1"/>
  <c r="R81" i="3" s="1"/>
  <c r="L51" i="3"/>
  <c r="M51" i="3"/>
  <c r="P51" i="3"/>
  <c r="Q51" i="3"/>
  <c r="L52" i="3"/>
  <c r="M52" i="3"/>
  <c r="P52" i="3"/>
  <c r="Q52" i="3"/>
  <c r="L53" i="3"/>
  <c r="M53" i="3"/>
  <c r="N53" i="3"/>
  <c r="R53" i="3" s="1"/>
  <c r="P53" i="3"/>
  <c r="Q53" i="3" s="1"/>
  <c r="L54" i="3"/>
  <c r="M54" i="3"/>
  <c r="P54" i="3"/>
  <c r="Q54" i="3"/>
  <c r="L55" i="3"/>
  <c r="M55" i="3"/>
  <c r="P55" i="3"/>
  <c r="Q55" i="3"/>
  <c r="L56" i="3"/>
  <c r="M56" i="3"/>
  <c r="P56" i="3"/>
  <c r="Q56" i="3"/>
  <c r="L57" i="3"/>
  <c r="M57" i="3"/>
  <c r="P57" i="3"/>
  <c r="Q57" i="3" s="1"/>
  <c r="L58" i="3"/>
  <c r="M58" i="3"/>
  <c r="N58" i="3"/>
  <c r="R58" i="3" s="1"/>
  <c r="P58" i="3"/>
  <c r="Q58" i="3"/>
  <c r="L59" i="3"/>
  <c r="M59" i="3"/>
  <c r="P59" i="3"/>
  <c r="Q59" i="3"/>
  <c r="L60" i="3"/>
  <c r="M60" i="3"/>
  <c r="P60" i="3"/>
  <c r="Q60" i="3"/>
  <c r="L61" i="3"/>
  <c r="M61" i="3"/>
  <c r="P61" i="3"/>
  <c r="Q61" i="3" s="1"/>
  <c r="L62" i="3"/>
  <c r="M62" i="3"/>
  <c r="N62" i="3" s="1"/>
  <c r="R62" i="3" s="1"/>
  <c r="P62" i="3"/>
  <c r="Q62" i="3"/>
  <c r="L64" i="3"/>
  <c r="M64" i="3"/>
  <c r="L65" i="3"/>
  <c r="M65" i="3"/>
  <c r="N65" i="3"/>
  <c r="L66" i="3"/>
  <c r="M66" i="3"/>
  <c r="P66" i="3"/>
  <c r="Q66" i="3" s="1"/>
  <c r="L67" i="3"/>
  <c r="M67" i="3"/>
  <c r="N67" i="3"/>
  <c r="P67" i="3"/>
  <c r="Q67" i="3" s="1"/>
  <c r="P68" i="3"/>
  <c r="Q68" i="3" s="1"/>
  <c r="P69" i="3"/>
  <c r="Q69" i="3" s="1"/>
  <c r="P70" i="3"/>
  <c r="Q70" i="3" s="1"/>
  <c r="P71" i="3"/>
  <c r="Q71" i="3"/>
  <c r="P50" i="3"/>
  <c r="Q50" i="3" s="1"/>
  <c r="M50" i="3"/>
  <c r="L50" i="3"/>
  <c r="P49" i="3"/>
  <c r="Q49" i="3" s="1"/>
  <c r="M49" i="3"/>
  <c r="L49" i="3"/>
  <c r="P48" i="3"/>
  <c r="Q48" i="3" s="1"/>
  <c r="M48" i="3"/>
  <c r="L48" i="3"/>
  <c r="N48" i="3" s="1"/>
  <c r="R48" i="3" s="1"/>
  <c r="O37" i="3"/>
  <c r="P37" i="3" s="1"/>
  <c r="L37" i="3"/>
  <c r="K37" i="3"/>
  <c r="M37" i="3" s="1"/>
  <c r="Q37" i="3" s="1"/>
  <c r="O36" i="3"/>
  <c r="P36" i="3" s="1"/>
  <c r="L36" i="3"/>
  <c r="K36" i="3"/>
  <c r="O35" i="3"/>
  <c r="P35" i="3" s="1"/>
  <c r="L35" i="3"/>
  <c r="K35" i="3"/>
  <c r="M35" i="3" s="1"/>
  <c r="Q35" i="3" s="1"/>
  <c r="K26" i="3"/>
  <c r="L26" i="3"/>
  <c r="O26" i="3"/>
  <c r="P26" i="3" s="1"/>
  <c r="K27" i="3"/>
  <c r="L27" i="3"/>
  <c r="O27" i="3"/>
  <c r="P27" i="3"/>
  <c r="K15" i="3"/>
  <c r="L15" i="3"/>
  <c r="O15" i="3"/>
  <c r="P15" i="3"/>
  <c r="K16" i="3"/>
  <c r="L16" i="3"/>
  <c r="O16" i="3"/>
  <c r="P16" i="3"/>
  <c r="K17" i="3"/>
  <c r="L17" i="3"/>
  <c r="O17" i="3"/>
  <c r="P17" i="3" s="1"/>
  <c r="O25" i="3"/>
  <c r="P25" i="3" s="1"/>
  <c r="L25" i="3"/>
  <c r="K25" i="3"/>
  <c r="M25" i="3" s="1"/>
  <c r="Q25" i="3" s="1"/>
  <c r="O14" i="3"/>
  <c r="P14" i="3" s="1"/>
  <c r="L14" i="3"/>
  <c r="K14" i="3"/>
  <c r="M14" i="3" s="1"/>
  <c r="Q14" i="3" s="1"/>
  <c r="O6" i="3"/>
  <c r="P6" i="3" s="1"/>
  <c r="L6" i="3"/>
  <c r="K6" i="3"/>
  <c r="O5" i="3"/>
  <c r="P5" i="3" s="1"/>
  <c r="L5" i="3"/>
  <c r="K5" i="3"/>
  <c r="M5" i="3" s="1"/>
  <c r="Q5" i="3" s="1"/>
  <c r="L131" i="2"/>
  <c r="M131" i="2"/>
  <c r="N131" i="2"/>
  <c r="P131" i="2"/>
  <c r="Q131" i="2"/>
  <c r="R131" i="2"/>
  <c r="L132" i="2"/>
  <c r="M132" i="2"/>
  <c r="P132" i="2"/>
  <c r="Q132" i="2"/>
  <c r="L133" i="2"/>
  <c r="M133" i="2"/>
  <c r="N133" i="2"/>
  <c r="R133" i="2" s="1"/>
  <c r="P133" i="2"/>
  <c r="Q133" i="2" s="1"/>
  <c r="L134" i="2"/>
  <c r="M134" i="2"/>
  <c r="P134" i="2"/>
  <c r="Q134" i="2" s="1"/>
  <c r="L135" i="2"/>
  <c r="M135" i="2"/>
  <c r="N135" i="2"/>
  <c r="P135" i="2"/>
  <c r="Q135" i="2"/>
  <c r="R135" i="2"/>
  <c r="L136" i="2"/>
  <c r="N136" i="2" s="1"/>
  <c r="R136" i="2" s="1"/>
  <c r="M136" i="2"/>
  <c r="P136" i="2"/>
  <c r="Q136" i="2"/>
  <c r="L137" i="2"/>
  <c r="M137" i="2"/>
  <c r="N137" i="2"/>
  <c r="R137" i="2" s="1"/>
  <c r="P137" i="2"/>
  <c r="Q137" i="2" s="1"/>
  <c r="L138" i="2"/>
  <c r="M138" i="2"/>
  <c r="P138" i="2"/>
  <c r="Q138" i="2"/>
  <c r="L139" i="2"/>
  <c r="M139" i="2"/>
  <c r="N139" i="2"/>
  <c r="R139" i="2" s="1"/>
  <c r="P139" i="2"/>
  <c r="Q139" i="2"/>
  <c r="L140" i="2"/>
  <c r="M140" i="2"/>
  <c r="P140" i="2"/>
  <c r="Q140" i="2"/>
  <c r="L141" i="2"/>
  <c r="N141" i="2" s="1"/>
  <c r="R141" i="2" s="1"/>
  <c r="M141" i="2"/>
  <c r="P141" i="2"/>
  <c r="Q141" i="2" s="1"/>
  <c r="L142" i="2"/>
  <c r="N142" i="2" s="1"/>
  <c r="R142" i="2" s="1"/>
  <c r="M142" i="2"/>
  <c r="P142" i="2"/>
  <c r="Q142" i="2"/>
  <c r="L143" i="2"/>
  <c r="N143" i="2" s="1"/>
  <c r="R143" i="2" s="1"/>
  <c r="M143" i="2"/>
  <c r="P143" i="2"/>
  <c r="Q143" i="2"/>
  <c r="L144" i="2"/>
  <c r="N144" i="2" s="1"/>
  <c r="R144" i="2" s="1"/>
  <c r="M144" i="2"/>
  <c r="P144" i="2"/>
  <c r="Q144" i="2"/>
  <c r="L145" i="2"/>
  <c r="M145" i="2"/>
  <c r="N145" i="2"/>
  <c r="R145" i="2" s="1"/>
  <c r="P145" i="2"/>
  <c r="Q145" i="2" s="1"/>
  <c r="L146" i="2"/>
  <c r="M146" i="2"/>
  <c r="P146" i="2"/>
  <c r="Q146" i="2"/>
  <c r="L147" i="2"/>
  <c r="M147" i="2"/>
  <c r="N147" i="2"/>
  <c r="P147" i="2"/>
  <c r="Q147" i="2"/>
  <c r="R147" i="2"/>
  <c r="K119" i="2"/>
  <c r="L119" i="2"/>
  <c r="M119" i="2"/>
  <c r="O119" i="2"/>
  <c r="P119" i="2"/>
  <c r="Q119" i="2"/>
  <c r="K120" i="2"/>
  <c r="L120" i="2"/>
  <c r="O120" i="2"/>
  <c r="P120" i="2" s="1"/>
  <c r="K110" i="2"/>
  <c r="L110" i="2"/>
  <c r="M110" i="2" s="1"/>
  <c r="Q110" i="2" s="1"/>
  <c r="O110" i="2"/>
  <c r="P110" i="2"/>
  <c r="K100" i="2"/>
  <c r="M100" i="2" s="1"/>
  <c r="Q100" i="2" s="1"/>
  <c r="L100" i="2"/>
  <c r="O100" i="2"/>
  <c r="P100" i="2" s="1"/>
  <c r="K101" i="2"/>
  <c r="M101" i="2" s="1"/>
  <c r="Q101" i="2" s="1"/>
  <c r="L101" i="2"/>
  <c r="O101" i="2"/>
  <c r="P101" i="2"/>
  <c r="K90" i="2"/>
  <c r="M90" i="2" s="1"/>
  <c r="Q90" i="2" s="1"/>
  <c r="L90" i="2"/>
  <c r="O90" i="2"/>
  <c r="P90" i="2"/>
  <c r="K91" i="2"/>
  <c r="L91" i="2"/>
  <c r="O91" i="2"/>
  <c r="P91" i="2"/>
  <c r="L71" i="2"/>
  <c r="M71" i="2"/>
  <c r="P71" i="2"/>
  <c r="Q71" i="2" s="1"/>
  <c r="L72" i="2"/>
  <c r="M72" i="2"/>
  <c r="P72" i="2"/>
  <c r="Q72" i="2" s="1"/>
  <c r="L73" i="2"/>
  <c r="M73" i="2"/>
  <c r="P73" i="2"/>
  <c r="Q73" i="2" s="1"/>
  <c r="L74" i="2"/>
  <c r="M74" i="2"/>
  <c r="N74" i="2" s="1"/>
  <c r="R74" i="2" s="1"/>
  <c r="P74" i="2"/>
  <c r="Q74" i="2" s="1"/>
  <c r="L75" i="2"/>
  <c r="M75" i="2"/>
  <c r="P75" i="2"/>
  <c r="Q75" i="2"/>
  <c r="L76" i="2"/>
  <c r="M76" i="2"/>
  <c r="P76" i="2"/>
  <c r="Q76" i="2" s="1"/>
  <c r="L77" i="2"/>
  <c r="M77" i="2"/>
  <c r="P77" i="2"/>
  <c r="Q77" i="2" s="1"/>
  <c r="L78" i="2"/>
  <c r="M78" i="2"/>
  <c r="P78" i="2"/>
  <c r="Q78" i="2"/>
  <c r="L79" i="2"/>
  <c r="M79" i="2"/>
  <c r="P79" i="2"/>
  <c r="Q79" i="2" s="1"/>
  <c r="L80" i="2"/>
  <c r="M80" i="2"/>
  <c r="P80" i="2"/>
  <c r="Q80" i="2" s="1"/>
  <c r="L81" i="2"/>
  <c r="M81" i="2"/>
  <c r="N81" i="2"/>
  <c r="R81" i="2" s="1"/>
  <c r="P81" i="2"/>
  <c r="Q81" i="2" s="1"/>
  <c r="L61" i="2"/>
  <c r="M61" i="2"/>
  <c r="N61" i="2" s="1"/>
  <c r="R61" i="2" s="1"/>
  <c r="P61" i="2"/>
  <c r="Q61" i="2"/>
  <c r="L45" i="2"/>
  <c r="M45" i="2"/>
  <c r="P45" i="2"/>
  <c r="Q45" i="2"/>
  <c r="L46" i="2"/>
  <c r="M46" i="2"/>
  <c r="P46" i="2"/>
  <c r="Q46" i="2"/>
  <c r="L47" i="2"/>
  <c r="N47" i="2" s="1"/>
  <c r="R47" i="2" s="1"/>
  <c r="M47" i="2"/>
  <c r="P47" i="2"/>
  <c r="Q47" i="2" s="1"/>
  <c r="L48" i="2"/>
  <c r="M48" i="2"/>
  <c r="P48" i="2"/>
  <c r="Q48" i="2"/>
  <c r="L49" i="2"/>
  <c r="N49" i="2" s="1"/>
  <c r="R49" i="2" s="1"/>
  <c r="M49" i="2"/>
  <c r="P49" i="2"/>
  <c r="Q49" i="2"/>
  <c r="L50" i="2"/>
  <c r="M50" i="2"/>
  <c r="P50" i="2"/>
  <c r="Q50" i="2"/>
  <c r="L51" i="2"/>
  <c r="N51" i="2" s="1"/>
  <c r="R51" i="2" s="1"/>
  <c r="M51" i="2"/>
  <c r="P51" i="2"/>
  <c r="Q51" i="2" s="1"/>
  <c r="L52" i="2"/>
  <c r="M52" i="2"/>
  <c r="N52" i="2"/>
  <c r="P52" i="2"/>
  <c r="Q52" i="2"/>
  <c r="R52" i="2"/>
  <c r="L53" i="2"/>
  <c r="M53" i="2"/>
  <c r="N53" i="2"/>
  <c r="P53" i="2"/>
  <c r="Q53" i="2"/>
  <c r="R53" i="2"/>
  <c r="L54" i="2"/>
  <c r="M54" i="2"/>
  <c r="P54" i="2"/>
  <c r="Q54" i="2" s="1"/>
  <c r="L55" i="2"/>
  <c r="M55" i="2"/>
  <c r="N55" i="2"/>
  <c r="R55" i="2" s="1"/>
  <c r="P55" i="2"/>
  <c r="Q55" i="2" s="1"/>
  <c r="L56" i="2"/>
  <c r="M56" i="2"/>
  <c r="N56" i="2"/>
  <c r="R56" i="2" s="1"/>
  <c r="P56" i="2"/>
  <c r="Q56" i="2"/>
  <c r="L57" i="2"/>
  <c r="M57" i="2"/>
  <c r="N57" i="2"/>
  <c r="P57" i="2"/>
  <c r="Q57" i="2"/>
  <c r="R57" i="2"/>
  <c r="L58" i="2"/>
  <c r="M58" i="2"/>
  <c r="P58" i="2"/>
  <c r="Q58" i="2"/>
  <c r="L59" i="2"/>
  <c r="M59" i="2"/>
  <c r="N59" i="2"/>
  <c r="R59" i="2" s="1"/>
  <c r="P59" i="2"/>
  <c r="Q59" i="2" s="1"/>
  <c r="L60" i="2"/>
  <c r="M60" i="2"/>
  <c r="N60" i="2"/>
  <c r="P60" i="2"/>
  <c r="Q60" i="2"/>
  <c r="R60" i="2"/>
  <c r="L18" i="2"/>
  <c r="M18" i="2"/>
  <c r="N18" i="2" s="1"/>
  <c r="R18" i="2" s="1"/>
  <c r="P18" i="2"/>
  <c r="Q18" i="2"/>
  <c r="L19" i="2"/>
  <c r="M19" i="2"/>
  <c r="P19" i="2"/>
  <c r="Q19" i="2"/>
  <c r="L20" i="2"/>
  <c r="N20" i="2" s="1"/>
  <c r="R20" i="2" s="1"/>
  <c r="M20" i="2"/>
  <c r="P20" i="2"/>
  <c r="Q20" i="2" s="1"/>
  <c r="L21" i="2"/>
  <c r="M21" i="2"/>
  <c r="N21" i="2"/>
  <c r="R21" i="2" s="1"/>
  <c r="P21" i="2"/>
  <c r="Q21" i="2"/>
  <c r="L22" i="2"/>
  <c r="N22" i="2" s="1"/>
  <c r="R22" i="2" s="1"/>
  <c r="M22" i="2"/>
  <c r="P22" i="2"/>
  <c r="Q22" i="2"/>
  <c r="L23" i="2"/>
  <c r="M23" i="2"/>
  <c r="P23" i="2"/>
  <c r="Q23" i="2"/>
  <c r="L24" i="2"/>
  <c r="M24" i="2"/>
  <c r="N24" i="2" s="1"/>
  <c r="R24" i="2" s="1"/>
  <c r="P24" i="2"/>
  <c r="Q24" i="2" s="1"/>
  <c r="L25" i="2"/>
  <c r="M25" i="2"/>
  <c r="N25" i="2"/>
  <c r="R25" i="2" s="1"/>
  <c r="P25" i="2"/>
  <c r="Q25" i="2"/>
  <c r="L26" i="2"/>
  <c r="M26" i="2"/>
  <c r="N26" i="2"/>
  <c r="R26" i="2" s="1"/>
  <c r="P26" i="2"/>
  <c r="Q26" i="2"/>
  <c r="L27" i="2"/>
  <c r="M27" i="2"/>
  <c r="P27" i="2"/>
  <c r="Q27" i="2" s="1"/>
  <c r="L28" i="2"/>
  <c r="M28" i="2"/>
  <c r="N28" i="2"/>
  <c r="R28" i="2" s="1"/>
  <c r="P28" i="2"/>
  <c r="Q28" i="2" s="1"/>
  <c r="L29" i="2"/>
  <c r="M29" i="2"/>
  <c r="N29" i="2"/>
  <c r="R29" i="2" s="1"/>
  <c r="P29" i="2"/>
  <c r="Q29" i="2" s="1"/>
  <c r="L30" i="2"/>
  <c r="M30" i="2"/>
  <c r="N30" i="2"/>
  <c r="P30" i="2"/>
  <c r="Q30" i="2"/>
  <c r="R30" i="2"/>
  <c r="L31" i="2"/>
  <c r="M31" i="2"/>
  <c r="P31" i="2"/>
  <c r="Q31" i="2"/>
  <c r="L32" i="2"/>
  <c r="M32" i="2"/>
  <c r="N32" i="2"/>
  <c r="R32" i="2" s="1"/>
  <c r="P32" i="2"/>
  <c r="Q32" i="2" s="1"/>
  <c r="L33" i="2"/>
  <c r="M33" i="2"/>
  <c r="P33" i="2"/>
  <c r="Q33" i="2" s="1"/>
  <c r="L34" i="2"/>
  <c r="M34" i="2"/>
  <c r="N34" i="2"/>
  <c r="P34" i="2"/>
  <c r="Q34" i="2"/>
  <c r="R34" i="2"/>
  <c r="P130" i="2"/>
  <c r="Q130" i="2" s="1"/>
  <c r="M130" i="2"/>
  <c r="L130" i="2"/>
  <c r="N130" i="2" s="1"/>
  <c r="R130" i="2" s="1"/>
  <c r="O99" i="2"/>
  <c r="P99" i="2" s="1"/>
  <c r="L99" i="2"/>
  <c r="K99" i="2"/>
  <c r="M99" i="2" s="1"/>
  <c r="Q99" i="2" s="1"/>
  <c r="O118" i="2"/>
  <c r="P118" i="2" s="1"/>
  <c r="L118" i="2"/>
  <c r="K118" i="2"/>
  <c r="O109" i="2"/>
  <c r="P109" i="2" s="1"/>
  <c r="L109" i="2"/>
  <c r="K109" i="2"/>
  <c r="M109" i="2" s="1"/>
  <c r="Q109" i="2" s="1"/>
  <c r="O89" i="2"/>
  <c r="P89" i="2" s="1"/>
  <c r="L89" i="2"/>
  <c r="K89" i="2"/>
  <c r="M89" i="2" s="1"/>
  <c r="Q89" i="2" s="1"/>
  <c r="P70" i="2"/>
  <c r="Q70" i="2" s="1"/>
  <c r="M70" i="2"/>
  <c r="L70" i="2"/>
  <c r="N70" i="2" s="1"/>
  <c r="R70" i="2" s="1"/>
  <c r="P44" i="2"/>
  <c r="Q44" i="2" s="1"/>
  <c r="M44" i="2"/>
  <c r="L44" i="2"/>
  <c r="P17" i="2"/>
  <c r="Q17" i="2" s="1"/>
  <c r="M17" i="2"/>
  <c r="L17" i="2"/>
  <c r="O6" i="2"/>
  <c r="P6" i="2"/>
  <c r="O7" i="2"/>
  <c r="P7" i="2" s="1"/>
  <c r="K6" i="2"/>
  <c r="L6" i="2"/>
  <c r="K7" i="2"/>
  <c r="L7" i="2"/>
  <c r="M7" i="2"/>
  <c r="Q7" i="2" s="1"/>
  <c r="O5" i="2"/>
  <c r="P5" i="2" s="1"/>
  <c r="L5" i="2"/>
  <c r="K5" i="2"/>
  <c r="N251" i="1"/>
  <c r="N221" i="1"/>
  <c r="N568" i="1"/>
  <c r="O568" i="1"/>
  <c r="P568" i="1" s="1"/>
  <c r="T568" i="1" s="1"/>
  <c r="R568" i="1"/>
  <c r="S568" i="1"/>
  <c r="N569" i="1"/>
  <c r="O569" i="1"/>
  <c r="R569" i="1"/>
  <c r="S569" i="1"/>
  <c r="N570" i="1"/>
  <c r="O570" i="1"/>
  <c r="R570" i="1"/>
  <c r="S570" i="1" s="1"/>
  <c r="N571" i="1"/>
  <c r="O571" i="1"/>
  <c r="P571" i="1"/>
  <c r="T571" i="1" s="1"/>
  <c r="R571" i="1"/>
  <c r="S571" i="1"/>
  <c r="N572" i="1"/>
  <c r="O572" i="1"/>
  <c r="R572" i="1"/>
  <c r="S572" i="1"/>
  <c r="N573" i="1"/>
  <c r="O573" i="1"/>
  <c r="R573" i="1"/>
  <c r="S573" i="1"/>
  <c r="N574" i="1"/>
  <c r="O574" i="1"/>
  <c r="P574" i="1" s="1"/>
  <c r="T574" i="1" s="1"/>
  <c r="R574" i="1"/>
  <c r="S574" i="1" s="1"/>
  <c r="N575" i="1"/>
  <c r="O575" i="1"/>
  <c r="P575" i="1"/>
  <c r="T575" i="1" s="1"/>
  <c r="R575" i="1"/>
  <c r="S575" i="1"/>
  <c r="N576" i="1"/>
  <c r="O576" i="1"/>
  <c r="R576" i="1"/>
  <c r="S576" i="1"/>
  <c r="N577" i="1"/>
  <c r="O577" i="1"/>
  <c r="R577" i="1"/>
  <c r="S577" i="1"/>
  <c r="N578" i="1"/>
  <c r="O578" i="1"/>
  <c r="R578" i="1"/>
  <c r="S578" i="1" s="1"/>
  <c r="N579" i="1"/>
  <c r="O579" i="1"/>
  <c r="R579" i="1"/>
  <c r="S579" i="1" s="1"/>
  <c r="N580" i="1"/>
  <c r="O580" i="1"/>
  <c r="R580" i="1"/>
  <c r="S580" i="1" s="1"/>
  <c r="N581" i="1"/>
  <c r="O581" i="1"/>
  <c r="R581" i="1"/>
  <c r="S581" i="1"/>
  <c r="N582" i="1"/>
  <c r="O582" i="1"/>
  <c r="P582" i="1"/>
  <c r="T582" i="1" s="1"/>
  <c r="R582" i="1"/>
  <c r="S582" i="1" s="1"/>
  <c r="N583" i="1"/>
  <c r="O583" i="1"/>
  <c r="P583" i="1"/>
  <c r="R583" i="1"/>
  <c r="S583" i="1"/>
  <c r="T583" i="1"/>
  <c r="N584" i="1"/>
  <c r="P584" i="1" s="1"/>
  <c r="T584" i="1" s="1"/>
  <c r="O584" i="1"/>
  <c r="R584" i="1"/>
  <c r="S584" i="1" s="1"/>
  <c r="N585" i="1"/>
  <c r="O585" i="1"/>
  <c r="R585" i="1"/>
  <c r="S585" i="1"/>
  <c r="N586" i="1"/>
  <c r="O586" i="1"/>
  <c r="R586" i="1"/>
  <c r="S586" i="1" s="1"/>
  <c r="N587" i="1"/>
  <c r="O587" i="1"/>
  <c r="R587" i="1"/>
  <c r="S587" i="1"/>
  <c r="N588" i="1"/>
  <c r="O588" i="1"/>
  <c r="P588" i="1"/>
  <c r="T588" i="1" s="1"/>
  <c r="R588" i="1"/>
  <c r="S588" i="1"/>
  <c r="N589" i="1"/>
  <c r="O589" i="1"/>
  <c r="R589" i="1"/>
  <c r="S589" i="1"/>
  <c r="N590" i="1"/>
  <c r="O590" i="1"/>
  <c r="R590" i="1"/>
  <c r="S590" i="1" s="1"/>
  <c r="N591" i="1"/>
  <c r="O591" i="1"/>
  <c r="R591" i="1"/>
  <c r="S591" i="1"/>
  <c r="N592" i="1"/>
  <c r="O592" i="1"/>
  <c r="R592" i="1"/>
  <c r="S592" i="1" s="1"/>
  <c r="N593" i="1"/>
  <c r="O593" i="1"/>
  <c r="R593" i="1"/>
  <c r="S593" i="1" s="1"/>
  <c r="N594" i="1"/>
  <c r="O594" i="1"/>
  <c r="R594" i="1"/>
  <c r="S594" i="1" s="1"/>
  <c r="N595" i="1"/>
  <c r="O595" i="1"/>
  <c r="R595" i="1"/>
  <c r="S595" i="1" s="1"/>
  <c r="N596" i="1"/>
  <c r="O596" i="1"/>
  <c r="P596" i="1"/>
  <c r="R596" i="1"/>
  <c r="S596" i="1"/>
  <c r="T596" i="1"/>
  <c r="N597" i="1"/>
  <c r="O597" i="1"/>
  <c r="R597" i="1"/>
  <c r="S597" i="1"/>
  <c r="N598" i="1"/>
  <c r="O598" i="1"/>
  <c r="P598" i="1"/>
  <c r="T598" i="1" s="1"/>
  <c r="R598" i="1"/>
  <c r="S598" i="1" s="1"/>
  <c r="N599" i="1"/>
  <c r="P599" i="1" s="1"/>
  <c r="T599" i="1" s="1"/>
  <c r="O599" i="1"/>
  <c r="R599" i="1"/>
  <c r="S599" i="1"/>
  <c r="N600" i="1"/>
  <c r="O600" i="1"/>
  <c r="P600" i="1"/>
  <c r="T600" i="1" s="1"/>
  <c r="R600" i="1"/>
  <c r="S600" i="1"/>
  <c r="N601" i="1"/>
  <c r="O601" i="1"/>
  <c r="R601" i="1"/>
  <c r="S601" i="1" s="1"/>
  <c r="N546" i="1"/>
  <c r="O546" i="1"/>
  <c r="P546" i="1"/>
  <c r="T546" i="1" s="1"/>
  <c r="R546" i="1"/>
  <c r="S546" i="1" s="1"/>
  <c r="N547" i="1"/>
  <c r="O547" i="1"/>
  <c r="R547" i="1"/>
  <c r="S547" i="1"/>
  <c r="N548" i="1"/>
  <c r="O548" i="1"/>
  <c r="R548" i="1"/>
  <c r="S548" i="1" s="1"/>
  <c r="N549" i="1"/>
  <c r="O549" i="1"/>
  <c r="P549" i="1" s="1"/>
  <c r="T549" i="1" s="1"/>
  <c r="R549" i="1"/>
  <c r="S549" i="1"/>
  <c r="N550" i="1"/>
  <c r="O550" i="1"/>
  <c r="R550" i="1"/>
  <c r="S550" i="1" s="1"/>
  <c r="N551" i="1"/>
  <c r="O551" i="1"/>
  <c r="R551" i="1"/>
  <c r="S551" i="1" s="1"/>
  <c r="N552" i="1"/>
  <c r="O552" i="1"/>
  <c r="R552" i="1"/>
  <c r="S552" i="1" s="1"/>
  <c r="N553" i="1"/>
  <c r="O553" i="1"/>
  <c r="P553" i="1"/>
  <c r="T553" i="1" s="1"/>
  <c r="R553" i="1"/>
  <c r="S553" i="1" s="1"/>
  <c r="N554" i="1"/>
  <c r="O554" i="1"/>
  <c r="R554" i="1"/>
  <c r="S554" i="1" s="1"/>
  <c r="N555" i="1"/>
  <c r="O555" i="1"/>
  <c r="R555" i="1"/>
  <c r="S555" i="1" s="1"/>
  <c r="N556" i="1"/>
  <c r="P556" i="1" s="1"/>
  <c r="T556" i="1" s="1"/>
  <c r="O556" i="1"/>
  <c r="R556" i="1"/>
  <c r="S556" i="1" s="1"/>
  <c r="N557" i="1"/>
  <c r="O557" i="1"/>
  <c r="R557" i="1"/>
  <c r="S557" i="1" s="1"/>
  <c r="N558" i="1"/>
  <c r="P558" i="1" s="1"/>
  <c r="T558" i="1" s="1"/>
  <c r="O558" i="1"/>
  <c r="R558" i="1"/>
  <c r="S558" i="1"/>
  <c r="N559" i="1"/>
  <c r="O559" i="1"/>
  <c r="R559" i="1"/>
  <c r="S559" i="1" s="1"/>
  <c r="N560" i="1"/>
  <c r="O560" i="1"/>
  <c r="R560" i="1"/>
  <c r="S560" i="1" s="1"/>
  <c r="N561" i="1"/>
  <c r="O561" i="1"/>
  <c r="P561" i="1"/>
  <c r="T561" i="1" s="1"/>
  <c r="R561" i="1"/>
  <c r="S561" i="1" s="1"/>
  <c r="N562" i="1"/>
  <c r="O562" i="1"/>
  <c r="R562" i="1"/>
  <c r="S562" i="1" s="1"/>
  <c r="N563" i="1"/>
  <c r="O563" i="1"/>
  <c r="R563" i="1"/>
  <c r="S563" i="1"/>
  <c r="N564" i="1"/>
  <c r="P564" i="1" s="1"/>
  <c r="T564" i="1" s="1"/>
  <c r="O564" i="1"/>
  <c r="R564" i="1"/>
  <c r="S564" i="1" s="1"/>
  <c r="N565" i="1"/>
  <c r="O565" i="1"/>
  <c r="P565" i="1"/>
  <c r="T565" i="1" s="1"/>
  <c r="R565" i="1"/>
  <c r="S565" i="1"/>
  <c r="N566" i="1"/>
  <c r="O566" i="1"/>
  <c r="R566" i="1"/>
  <c r="S566" i="1"/>
  <c r="N567" i="1"/>
  <c r="O567" i="1"/>
  <c r="R567" i="1"/>
  <c r="S567" i="1" s="1"/>
  <c r="N531" i="1"/>
  <c r="O531" i="1"/>
  <c r="R531" i="1"/>
  <c r="S531" i="1"/>
  <c r="N532" i="1"/>
  <c r="O532" i="1"/>
  <c r="R532" i="1"/>
  <c r="S532" i="1" s="1"/>
  <c r="N533" i="1"/>
  <c r="O533" i="1"/>
  <c r="R533" i="1"/>
  <c r="S533" i="1" s="1"/>
  <c r="N534" i="1"/>
  <c r="O534" i="1"/>
  <c r="P534" i="1"/>
  <c r="T534" i="1" s="1"/>
  <c r="R534" i="1"/>
  <c r="S534" i="1" s="1"/>
  <c r="N535" i="1"/>
  <c r="O535" i="1"/>
  <c r="R535" i="1"/>
  <c r="S535" i="1" s="1"/>
  <c r="N536" i="1"/>
  <c r="O536" i="1"/>
  <c r="R536" i="1"/>
  <c r="S536" i="1"/>
  <c r="N537" i="1"/>
  <c r="O537" i="1"/>
  <c r="R537" i="1"/>
  <c r="S537" i="1" s="1"/>
  <c r="N538" i="1"/>
  <c r="O538" i="1"/>
  <c r="R538" i="1"/>
  <c r="S538" i="1"/>
  <c r="N539" i="1"/>
  <c r="O539" i="1"/>
  <c r="R539" i="1"/>
  <c r="S539" i="1" s="1"/>
  <c r="N540" i="1"/>
  <c r="O540" i="1"/>
  <c r="R540" i="1"/>
  <c r="S540" i="1" s="1"/>
  <c r="N541" i="1"/>
  <c r="O541" i="1"/>
  <c r="R541" i="1"/>
  <c r="S541" i="1" s="1"/>
  <c r="N542" i="1"/>
  <c r="O542" i="1"/>
  <c r="P542" i="1"/>
  <c r="T542" i="1" s="1"/>
  <c r="R542" i="1"/>
  <c r="S542" i="1" s="1"/>
  <c r="N543" i="1"/>
  <c r="O543" i="1"/>
  <c r="R543" i="1"/>
  <c r="S543" i="1" s="1"/>
  <c r="N544" i="1"/>
  <c r="O544" i="1"/>
  <c r="R544" i="1"/>
  <c r="S544" i="1" s="1"/>
  <c r="N545" i="1"/>
  <c r="O545" i="1"/>
  <c r="R545" i="1"/>
  <c r="S545" i="1" s="1"/>
  <c r="R530" i="1"/>
  <c r="S530" i="1" s="1"/>
  <c r="O530" i="1"/>
  <c r="N530" i="1"/>
  <c r="P530" i="1" s="1"/>
  <c r="T530" i="1" s="1"/>
  <c r="N507" i="1"/>
  <c r="O507" i="1"/>
  <c r="P507" i="1"/>
  <c r="T507" i="1" s="1"/>
  <c r="R507" i="1"/>
  <c r="S507" i="1" s="1"/>
  <c r="N508" i="1"/>
  <c r="O508" i="1"/>
  <c r="R508" i="1"/>
  <c r="S508" i="1" s="1"/>
  <c r="N509" i="1"/>
  <c r="O509" i="1"/>
  <c r="R509" i="1"/>
  <c r="S509" i="1" s="1"/>
  <c r="N510" i="1"/>
  <c r="P510" i="1" s="1"/>
  <c r="T510" i="1" s="1"/>
  <c r="O510" i="1"/>
  <c r="R510" i="1"/>
  <c r="S510" i="1" s="1"/>
  <c r="N511" i="1"/>
  <c r="O511" i="1"/>
  <c r="P511" i="1"/>
  <c r="R511" i="1"/>
  <c r="S511" i="1"/>
  <c r="T511" i="1"/>
  <c r="N512" i="1"/>
  <c r="O512" i="1"/>
  <c r="R512" i="1"/>
  <c r="S512" i="1"/>
  <c r="N513" i="1"/>
  <c r="O513" i="1"/>
  <c r="P513" i="1"/>
  <c r="T513" i="1" s="1"/>
  <c r="R513" i="1"/>
  <c r="S513" i="1" s="1"/>
  <c r="N514" i="1"/>
  <c r="P514" i="1" s="1"/>
  <c r="T514" i="1" s="1"/>
  <c r="O514" i="1"/>
  <c r="R514" i="1"/>
  <c r="S514" i="1"/>
  <c r="N515" i="1"/>
  <c r="O515" i="1"/>
  <c r="R515" i="1"/>
  <c r="S515" i="1" s="1"/>
  <c r="N516" i="1"/>
  <c r="O516" i="1"/>
  <c r="R516" i="1"/>
  <c r="S516" i="1"/>
  <c r="N517" i="1"/>
  <c r="O517" i="1"/>
  <c r="R517" i="1"/>
  <c r="S517" i="1" s="1"/>
  <c r="N485" i="1"/>
  <c r="O485" i="1"/>
  <c r="R485" i="1"/>
  <c r="S485" i="1" s="1"/>
  <c r="N486" i="1"/>
  <c r="O486" i="1"/>
  <c r="R486" i="1"/>
  <c r="S486" i="1" s="1"/>
  <c r="N487" i="1"/>
  <c r="P487" i="1" s="1"/>
  <c r="T487" i="1" s="1"/>
  <c r="O487" i="1"/>
  <c r="R487" i="1"/>
  <c r="S487" i="1" s="1"/>
  <c r="N488" i="1"/>
  <c r="O488" i="1"/>
  <c r="P488" i="1"/>
  <c r="T488" i="1" s="1"/>
  <c r="R488" i="1"/>
  <c r="S488" i="1" s="1"/>
  <c r="N489" i="1"/>
  <c r="O489" i="1"/>
  <c r="R489" i="1"/>
  <c r="S489" i="1"/>
  <c r="N490" i="1"/>
  <c r="O490" i="1"/>
  <c r="R490" i="1"/>
  <c r="S490" i="1" s="1"/>
  <c r="N491" i="1"/>
  <c r="O491" i="1"/>
  <c r="R491" i="1"/>
  <c r="S491" i="1" s="1"/>
  <c r="N492" i="1"/>
  <c r="O492" i="1"/>
  <c r="R492" i="1"/>
  <c r="S492" i="1"/>
  <c r="N493" i="1"/>
  <c r="P493" i="1" s="1"/>
  <c r="T493" i="1" s="1"/>
  <c r="O493" i="1"/>
  <c r="R493" i="1"/>
  <c r="S493" i="1" s="1"/>
  <c r="N494" i="1"/>
  <c r="O494" i="1"/>
  <c r="R494" i="1"/>
  <c r="S494" i="1" s="1"/>
  <c r="N495" i="1"/>
  <c r="P495" i="1" s="1"/>
  <c r="T495" i="1" s="1"/>
  <c r="O495" i="1"/>
  <c r="R495" i="1"/>
  <c r="S495" i="1" s="1"/>
  <c r="N496" i="1"/>
  <c r="O496" i="1"/>
  <c r="P496" i="1"/>
  <c r="T496" i="1" s="1"/>
  <c r="R496" i="1"/>
  <c r="S496" i="1" s="1"/>
  <c r="N497" i="1"/>
  <c r="O497" i="1"/>
  <c r="R497" i="1"/>
  <c r="S497" i="1"/>
  <c r="N498" i="1"/>
  <c r="O498" i="1"/>
  <c r="R498" i="1"/>
  <c r="S498" i="1" s="1"/>
  <c r="N499" i="1"/>
  <c r="P499" i="1" s="1"/>
  <c r="T499" i="1" s="1"/>
  <c r="O499" i="1"/>
  <c r="R499" i="1"/>
  <c r="S499" i="1" s="1"/>
  <c r="N500" i="1"/>
  <c r="O500" i="1"/>
  <c r="P500" i="1"/>
  <c r="T500" i="1" s="1"/>
  <c r="R500" i="1"/>
  <c r="S500" i="1"/>
  <c r="N501" i="1"/>
  <c r="O501" i="1"/>
  <c r="R501" i="1"/>
  <c r="S501" i="1"/>
  <c r="N502" i="1"/>
  <c r="O502" i="1"/>
  <c r="R502" i="1"/>
  <c r="S502" i="1" s="1"/>
  <c r="N503" i="1"/>
  <c r="O503" i="1"/>
  <c r="R503" i="1"/>
  <c r="S503" i="1" s="1"/>
  <c r="N504" i="1"/>
  <c r="P504" i="1" s="1"/>
  <c r="T504" i="1" s="1"/>
  <c r="O504" i="1"/>
  <c r="R504" i="1"/>
  <c r="S504" i="1" s="1"/>
  <c r="N505" i="1"/>
  <c r="O505" i="1"/>
  <c r="R505" i="1"/>
  <c r="S505" i="1"/>
  <c r="N506" i="1"/>
  <c r="O506" i="1"/>
  <c r="R506" i="1"/>
  <c r="S506" i="1"/>
  <c r="N464" i="1"/>
  <c r="O464" i="1"/>
  <c r="P464" i="1"/>
  <c r="R464" i="1"/>
  <c r="S464" i="1"/>
  <c r="T464" i="1"/>
  <c r="N465" i="1"/>
  <c r="O465" i="1"/>
  <c r="R465" i="1"/>
  <c r="S465" i="1"/>
  <c r="N466" i="1"/>
  <c r="O466" i="1"/>
  <c r="R466" i="1"/>
  <c r="S466" i="1" s="1"/>
  <c r="N467" i="1"/>
  <c r="O467" i="1"/>
  <c r="R467" i="1"/>
  <c r="S467" i="1"/>
  <c r="N468" i="1"/>
  <c r="O468" i="1"/>
  <c r="R468" i="1"/>
  <c r="S468" i="1" s="1"/>
  <c r="N469" i="1"/>
  <c r="O469" i="1"/>
  <c r="R469" i="1"/>
  <c r="S469" i="1"/>
  <c r="N470" i="1"/>
  <c r="O470" i="1"/>
  <c r="R470" i="1"/>
  <c r="S470" i="1" s="1"/>
  <c r="N471" i="1"/>
  <c r="O471" i="1"/>
  <c r="P471" i="1"/>
  <c r="T471" i="1" s="1"/>
  <c r="R471" i="1"/>
  <c r="S471" i="1"/>
  <c r="N472" i="1"/>
  <c r="O472" i="1"/>
  <c r="P472" i="1"/>
  <c r="T472" i="1" s="1"/>
  <c r="R472" i="1"/>
  <c r="S472" i="1"/>
  <c r="N473" i="1"/>
  <c r="O473" i="1"/>
  <c r="R473" i="1"/>
  <c r="S473" i="1"/>
  <c r="N474" i="1"/>
  <c r="P474" i="1" s="1"/>
  <c r="T474" i="1" s="1"/>
  <c r="O474" i="1"/>
  <c r="R474" i="1"/>
  <c r="S474" i="1" s="1"/>
  <c r="N475" i="1"/>
  <c r="O475" i="1"/>
  <c r="R475" i="1"/>
  <c r="S475" i="1"/>
  <c r="N476" i="1"/>
  <c r="O476" i="1"/>
  <c r="P476" i="1"/>
  <c r="T476" i="1" s="1"/>
  <c r="R476" i="1"/>
  <c r="S476" i="1" s="1"/>
  <c r="N477" i="1"/>
  <c r="O477" i="1"/>
  <c r="R477" i="1"/>
  <c r="S477" i="1" s="1"/>
  <c r="N478" i="1"/>
  <c r="O478" i="1"/>
  <c r="R478" i="1"/>
  <c r="S478" i="1" s="1"/>
  <c r="N479" i="1"/>
  <c r="P479" i="1" s="1"/>
  <c r="T479" i="1" s="1"/>
  <c r="O479" i="1"/>
  <c r="R479" i="1"/>
  <c r="S479" i="1" s="1"/>
  <c r="N480" i="1"/>
  <c r="O480" i="1"/>
  <c r="P480" i="1"/>
  <c r="R480" i="1"/>
  <c r="S480" i="1"/>
  <c r="T480" i="1"/>
  <c r="N481" i="1"/>
  <c r="O481" i="1"/>
  <c r="R481" i="1"/>
  <c r="S481" i="1"/>
  <c r="N482" i="1"/>
  <c r="P482" i="1" s="1"/>
  <c r="T482" i="1" s="1"/>
  <c r="O482" i="1"/>
  <c r="R482" i="1"/>
  <c r="S482" i="1" s="1"/>
  <c r="N483" i="1"/>
  <c r="O483" i="1"/>
  <c r="R483" i="1"/>
  <c r="S483" i="1" s="1"/>
  <c r="N484" i="1"/>
  <c r="O484" i="1"/>
  <c r="R484" i="1"/>
  <c r="S484" i="1" s="1"/>
  <c r="N375" i="1"/>
  <c r="O375" i="1"/>
  <c r="R375" i="1"/>
  <c r="S375" i="1"/>
  <c r="N376" i="1"/>
  <c r="O376" i="1"/>
  <c r="R376" i="1"/>
  <c r="S376" i="1" s="1"/>
  <c r="N377" i="1"/>
  <c r="O377" i="1"/>
  <c r="R377" i="1"/>
  <c r="S377" i="1" s="1"/>
  <c r="N378" i="1"/>
  <c r="P378" i="1" s="1"/>
  <c r="T378" i="1" s="1"/>
  <c r="O378" i="1"/>
  <c r="R378" i="1"/>
  <c r="S378" i="1" s="1"/>
  <c r="N379" i="1"/>
  <c r="P379" i="1" s="1"/>
  <c r="T379" i="1" s="1"/>
  <c r="O379" i="1"/>
  <c r="R379" i="1"/>
  <c r="S379" i="1"/>
  <c r="N380" i="1"/>
  <c r="O380" i="1"/>
  <c r="P380" i="1"/>
  <c r="T380" i="1" s="1"/>
  <c r="R380" i="1"/>
  <c r="S380" i="1" s="1"/>
  <c r="N381" i="1"/>
  <c r="O381" i="1"/>
  <c r="R381" i="1"/>
  <c r="S381" i="1" s="1"/>
  <c r="N382" i="1"/>
  <c r="O382" i="1"/>
  <c r="R382" i="1"/>
  <c r="S382" i="1" s="1"/>
  <c r="N383" i="1"/>
  <c r="O383" i="1"/>
  <c r="R383" i="1"/>
  <c r="S383" i="1" s="1"/>
  <c r="N384" i="1"/>
  <c r="O384" i="1"/>
  <c r="R384" i="1"/>
  <c r="S384" i="1" s="1"/>
  <c r="N385" i="1"/>
  <c r="O385" i="1"/>
  <c r="R385" i="1"/>
  <c r="S385" i="1" s="1"/>
  <c r="N386" i="1"/>
  <c r="O386" i="1"/>
  <c r="R386" i="1"/>
  <c r="S386" i="1"/>
  <c r="N387" i="1"/>
  <c r="O387" i="1"/>
  <c r="R387" i="1"/>
  <c r="S387" i="1" s="1"/>
  <c r="N388" i="1"/>
  <c r="O388" i="1"/>
  <c r="P388" i="1"/>
  <c r="T388" i="1" s="1"/>
  <c r="R388" i="1"/>
  <c r="S388" i="1" s="1"/>
  <c r="N389" i="1"/>
  <c r="O389" i="1"/>
  <c r="R389" i="1"/>
  <c r="S389" i="1" s="1"/>
  <c r="N390" i="1"/>
  <c r="O390" i="1"/>
  <c r="P390" i="1"/>
  <c r="T390" i="1" s="1"/>
  <c r="R390" i="1"/>
  <c r="S390" i="1" s="1"/>
  <c r="N391" i="1"/>
  <c r="O391" i="1"/>
  <c r="R391" i="1"/>
  <c r="S391" i="1" s="1"/>
  <c r="N392" i="1"/>
  <c r="O392" i="1"/>
  <c r="P392" i="1"/>
  <c r="T392" i="1" s="1"/>
  <c r="R392" i="1"/>
  <c r="S392" i="1" s="1"/>
  <c r="N393" i="1"/>
  <c r="P393" i="1" s="1"/>
  <c r="T393" i="1" s="1"/>
  <c r="O393" i="1"/>
  <c r="R393" i="1"/>
  <c r="S393" i="1" s="1"/>
  <c r="N394" i="1"/>
  <c r="O394" i="1"/>
  <c r="R394" i="1"/>
  <c r="S394" i="1"/>
  <c r="N395" i="1"/>
  <c r="O395" i="1"/>
  <c r="R395" i="1"/>
  <c r="S395" i="1"/>
  <c r="N396" i="1"/>
  <c r="P396" i="1" s="1"/>
  <c r="T396" i="1" s="1"/>
  <c r="O396" i="1"/>
  <c r="R396" i="1"/>
  <c r="S396" i="1" s="1"/>
  <c r="N397" i="1"/>
  <c r="O397" i="1"/>
  <c r="R397" i="1"/>
  <c r="S397" i="1" s="1"/>
  <c r="N398" i="1"/>
  <c r="O398" i="1"/>
  <c r="P398" i="1"/>
  <c r="R398" i="1"/>
  <c r="S398" i="1"/>
  <c r="T398" i="1"/>
  <c r="N399" i="1"/>
  <c r="O399" i="1"/>
  <c r="R399" i="1"/>
  <c r="S399" i="1" s="1"/>
  <c r="N400" i="1"/>
  <c r="O400" i="1"/>
  <c r="R400" i="1"/>
  <c r="S400" i="1" s="1"/>
  <c r="N401" i="1"/>
  <c r="O401" i="1"/>
  <c r="R401" i="1"/>
  <c r="S401" i="1" s="1"/>
  <c r="N402" i="1"/>
  <c r="O402" i="1"/>
  <c r="R402" i="1"/>
  <c r="S402" i="1"/>
  <c r="N403" i="1"/>
  <c r="O403" i="1"/>
  <c r="R403" i="1"/>
  <c r="S403" i="1" s="1"/>
  <c r="N404" i="1"/>
  <c r="O404" i="1"/>
  <c r="R404" i="1"/>
  <c r="S404" i="1" s="1"/>
  <c r="N405" i="1"/>
  <c r="O405" i="1"/>
  <c r="R405" i="1"/>
  <c r="S405" i="1" s="1"/>
  <c r="N406" i="1"/>
  <c r="O406" i="1"/>
  <c r="R406" i="1"/>
  <c r="S406" i="1"/>
  <c r="N407" i="1"/>
  <c r="O407" i="1"/>
  <c r="R407" i="1"/>
  <c r="S407" i="1" s="1"/>
  <c r="N408" i="1"/>
  <c r="O408" i="1"/>
  <c r="R408" i="1"/>
  <c r="S408" i="1" s="1"/>
  <c r="N409" i="1"/>
  <c r="O409" i="1"/>
  <c r="R409" i="1"/>
  <c r="S409" i="1" s="1"/>
  <c r="N410" i="1"/>
  <c r="O410" i="1"/>
  <c r="P410" i="1"/>
  <c r="T410" i="1" s="1"/>
  <c r="R410" i="1"/>
  <c r="S410" i="1" s="1"/>
  <c r="N411" i="1"/>
  <c r="P411" i="1" s="1"/>
  <c r="T411" i="1" s="1"/>
  <c r="O411" i="1"/>
  <c r="R411" i="1"/>
  <c r="S411" i="1"/>
  <c r="N412" i="1"/>
  <c r="O412" i="1"/>
  <c r="R412" i="1"/>
  <c r="S412" i="1" s="1"/>
  <c r="N413" i="1"/>
  <c r="O413" i="1"/>
  <c r="R413" i="1"/>
  <c r="S413" i="1" s="1"/>
  <c r="N414" i="1"/>
  <c r="O414" i="1"/>
  <c r="R414" i="1"/>
  <c r="S414" i="1" s="1"/>
  <c r="N415" i="1"/>
  <c r="O415" i="1"/>
  <c r="R415" i="1"/>
  <c r="S415" i="1"/>
  <c r="N416" i="1"/>
  <c r="O416" i="1"/>
  <c r="R416" i="1"/>
  <c r="S416" i="1" s="1"/>
  <c r="N417" i="1"/>
  <c r="O417" i="1"/>
  <c r="P417" i="1"/>
  <c r="T417" i="1" s="1"/>
  <c r="R417" i="1"/>
  <c r="S417" i="1"/>
  <c r="N418" i="1"/>
  <c r="O418" i="1"/>
  <c r="R418" i="1"/>
  <c r="S418" i="1"/>
  <c r="N419" i="1"/>
  <c r="O419" i="1"/>
  <c r="R419" i="1"/>
  <c r="S419" i="1" s="1"/>
  <c r="N420" i="1"/>
  <c r="P420" i="1" s="1"/>
  <c r="T420" i="1" s="1"/>
  <c r="O420" i="1"/>
  <c r="R420" i="1"/>
  <c r="S420" i="1" s="1"/>
  <c r="N421" i="1"/>
  <c r="O421" i="1"/>
  <c r="P421" i="1"/>
  <c r="T421" i="1" s="1"/>
  <c r="R421" i="1"/>
  <c r="S421" i="1"/>
  <c r="N422" i="1"/>
  <c r="O422" i="1"/>
  <c r="P422" i="1" s="1"/>
  <c r="T422" i="1" s="1"/>
  <c r="R422" i="1"/>
  <c r="S422" i="1"/>
  <c r="N423" i="1"/>
  <c r="O423" i="1"/>
  <c r="R423" i="1"/>
  <c r="S423" i="1" s="1"/>
  <c r="N424" i="1"/>
  <c r="O424" i="1"/>
  <c r="P424" i="1"/>
  <c r="T424" i="1" s="1"/>
  <c r="R424" i="1"/>
  <c r="S424" i="1" s="1"/>
  <c r="N425" i="1"/>
  <c r="O425" i="1"/>
  <c r="P425" i="1"/>
  <c r="T425" i="1" s="1"/>
  <c r="R425" i="1"/>
  <c r="S425" i="1" s="1"/>
  <c r="N426" i="1"/>
  <c r="O426" i="1"/>
  <c r="P426" i="1"/>
  <c r="T426" i="1" s="1"/>
  <c r="R426" i="1"/>
  <c r="S426" i="1"/>
  <c r="N427" i="1"/>
  <c r="O427" i="1"/>
  <c r="R427" i="1"/>
  <c r="S427" i="1"/>
  <c r="N428" i="1"/>
  <c r="O428" i="1"/>
  <c r="R428" i="1"/>
  <c r="S428" i="1" s="1"/>
  <c r="N429" i="1"/>
  <c r="O429" i="1"/>
  <c r="R429" i="1"/>
  <c r="S429" i="1" s="1"/>
  <c r="N430" i="1"/>
  <c r="O430" i="1"/>
  <c r="R430" i="1"/>
  <c r="S430" i="1"/>
  <c r="N431" i="1"/>
  <c r="O431" i="1"/>
  <c r="R431" i="1"/>
  <c r="S431" i="1"/>
  <c r="N432" i="1"/>
  <c r="O432" i="1"/>
  <c r="P432" i="1"/>
  <c r="T432" i="1" s="1"/>
  <c r="R432" i="1"/>
  <c r="S432" i="1" s="1"/>
  <c r="N433" i="1"/>
  <c r="O433" i="1"/>
  <c r="R433" i="1"/>
  <c r="S433" i="1" s="1"/>
  <c r="N434" i="1"/>
  <c r="O434" i="1"/>
  <c r="P434" i="1"/>
  <c r="T434" i="1" s="1"/>
  <c r="R434" i="1"/>
  <c r="S434" i="1" s="1"/>
  <c r="N435" i="1"/>
  <c r="O435" i="1"/>
  <c r="R435" i="1"/>
  <c r="S435" i="1" s="1"/>
  <c r="N436" i="1"/>
  <c r="O436" i="1"/>
  <c r="R436" i="1"/>
  <c r="S436" i="1" s="1"/>
  <c r="N437" i="1"/>
  <c r="O437" i="1"/>
  <c r="R437" i="1"/>
  <c r="S437" i="1" s="1"/>
  <c r="N438" i="1"/>
  <c r="O438" i="1"/>
  <c r="R438" i="1"/>
  <c r="S438" i="1"/>
  <c r="N439" i="1"/>
  <c r="O439" i="1"/>
  <c r="R439" i="1"/>
  <c r="S439" i="1" s="1"/>
  <c r="N440" i="1"/>
  <c r="O440" i="1"/>
  <c r="R440" i="1"/>
  <c r="S440" i="1" s="1"/>
  <c r="N441" i="1"/>
  <c r="O441" i="1"/>
  <c r="P441" i="1"/>
  <c r="T441" i="1" s="1"/>
  <c r="R441" i="1"/>
  <c r="S441" i="1"/>
  <c r="N442" i="1"/>
  <c r="O442" i="1"/>
  <c r="R442" i="1"/>
  <c r="S442" i="1"/>
  <c r="N443" i="1"/>
  <c r="O443" i="1"/>
  <c r="R443" i="1"/>
  <c r="S443" i="1"/>
  <c r="N444" i="1"/>
  <c r="P444" i="1" s="1"/>
  <c r="T444" i="1" s="1"/>
  <c r="O444" i="1"/>
  <c r="R444" i="1"/>
  <c r="S444" i="1" s="1"/>
  <c r="N445" i="1"/>
  <c r="O445" i="1"/>
  <c r="R445" i="1"/>
  <c r="S445" i="1"/>
  <c r="N446" i="1"/>
  <c r="P446" i="1" s="1"/>
  <c r="T446" i="1" s="1"/>
  <c r="O446" i="1"/>
  <c r="R446" i="1"/>
  <c r="S446" i="1" s="1"/>
  <c r="N447" i="1"/>
  <c r="O447" i="1"/>
  <c r="R447" i="1"/>
  <c r="S447" i="1"/>
  <c r="N448" i="1"/>
  <c r="O448" i="1"/>
  <c r="R448" i="1"/>
  <c r="S448" i="1" s="1"/>
  <c r="N449" i="1"/>
  <c r="O449" i="1"/>
  <c r="P449" i="1"/>
  <c r="T449" i="1" s="1"/>
  <c r="R449" i="1"/>
  <c r="S449" i="1"/>
  <c r="N450" i="1"/>
  <c r="O450" i="1"/>
  <c r="R450" i="1"/>
  <c r="S450" i="1"/>
  <c r="N451" i="1"/>
  <c r="O451" i="1"/>
  <c r="R451" i="1"/>
  <c r="S451" i="1"/>
  <c r="N452" i="1"/>
  <c r="O452" i="1"/>
  <c r="R452" i="1"/>
  <c r="S452" i="1" s="1"/>
  <c r="N453" i="1"/>
  <c r="O453" i="1"/>
  <c r="P453" i="1" s="1"/>
  <c r="T453" i="1" s="1"/>
  <c r="R453" i="1"/>
  <c r="S453" i="1" s="1"/>
  <c r="N454" i="1"/>
  <c r="O454" i="1"/>
  <c r="P454" i="1"/>
  <c r="T454" i="1" s="1"/>
  <c r="R454" i="1"/>
  <c r="S454" i="1" s="1"/>
  <c r="N455" i="1"/>
  <c r="P455" i="1" s="1"/>
  <c r="T455" i="1" s="1"/>
  <c r="O455" i="1"/>
  <c r="R455" i="1"/>
  <c r="S455" i="1"/>
  <c r="N456" i="1"/>
  <c r="O456" i="1"/>
  <c r="R456" i="1"/>
  <c r="S456" i="1" s="1"/>
  <c r="N457" i="1"/>
  <c r="P457" i="1" s="1"/>
  <c r="T457" i="1" s="1"/>
  <c r="O457" i="1"/>
  <c r="R457" i="1"/>
  <c r="S457" i="1"/>
  <c r="N458" i="1"/>
  <c r="O458" i="1"/>
  <c r="R458" i="1"/>
  <c r="S458" i="1" s="1"/>
  <c r="N459" i="1"/>
  <c r="O459" i="1"/>
  <c r="R459" i="1"/>
  <c r="S459" i="1" s="1"/>
  <c r="N460" i="1"/>
  <c r="O460" i="1"/>
  <c r="R460" i="1"/>
  <c r="S460" i="1" s="1"/>
  <c r="N461" i="1"/>
  <c r="P461" i="1" s="1"/>
  <c r="T461" i="1" s="1"/>
  <c r="O461" i="1"/>
  <c r="R461" i="1"/>
  <c r="S461" i="1" s="1"/>
  <c r="N462" i="1"/>
  <c r="P462" i="1" s="1"/>
  <c r="T462" i="1" s="1"/>
  <c r="O462" i="1"/>
  <c r="R462" i="1"/>
  <c r="S462" i="1"/>
  <c r="N463" i="1"/>
  <c r="O463" i="1"/>
  <c r="R463" i="1"/>
  <c r="S463" i="1" s="1"/>
  <c r="R374" i="1"/>
  <c r="S374" i="1" s="1"/>
  <c r="O374" i="1"/>
  <c r="N374" i="1"/>
  <c r="N179" i="1"/>
  <c r="O179" i="1"/>
  <c r="R179" i="1"/>
  <c r="S179" i="1" s="1"/>
  <c r="N180" i="1"/>
  <c r="O180" i="1"/>
  <c r="R180" i="1"/>
  <c r="S180" i="1"/>
  <c r="N181" i="1"/>
  <c r="O181" i="1"/>
  <c r="P181" i="1"/>
  <c r="T181" i="1" s="1"/>
  <c r="R181" i="1"/>
  <c r="S181" i="1" s="1"/>
  <c r="N182" i="1"/>
  <c r="O182" i="1"/>
  <c r="R182" i="1"/>
  <c r="S182" i="1"/>
  <c r="N183" i="1"/>
  <c r="O183" i="1"/>
  <c r="P183" i="1"/>
  <c r="T183" i="1" s="1"/>
  <c r="R183" i="1"/>
  <c r="S183" i="1" s="1"/>
  <c r="N184" i="1"/>
  <c r="O184" i="1"/>
  <c r="R184" i="1"/>
  <c r="S184" i="1"/>
  <c r="N185" i="1"/>
  <c r="O185" i="1"/>
  <c r="P185" i="1"/>
  <c r="T185" i="1" s="1"/>
  <c r="R185" i="1"/>
  <c r="S185" i="1" s="1"/>
  <c r="N186" i="1"/>
  <c r="P186" i="1" s="1"/>
  <c r="T186" i="1" s="1"/>
  <c r="O186" i="1"/>
  <c r="R186" i="1"/>
  <c r="S186" i="1" s="1"/>
  <c r="N187" i="1"/>
  <c r="O187" i="1"/>
  <c r="P187" i="1" s="1"/>
  <c r="T187" i="1" s="1"/>
  <c r="R187" i="1"/>
  <c r="S187" i="1" s="1"/>
  <c r="N188" i="1"/>
  <c r="O188" i="1"/>
  <c r="R188" i="1"/>
  <c r="S188" i="1" s="1"/>
  <c r="N189" i="1"/>
  <c r="O189" i="1"/>
  <c r="P189" i="1"/>
  <c r="T189" i="1" s="1"/>
  <c r="R189" i="1"/>
  <c r="S189" i="1" s="1"/>
  <c r="N190" i="1"/>
  <c r="O190" i="1"/>
  <c r="R190" i="1"/>
  <c r="S190" i="1" s="1"/>
  <c r="N191" i="1"/>
  <c r="P191" i="1" s="1"/>
  <c r="T191" i="1" s="1"/>
  <c r="O191" i="1"/>
  <c r="R191" i="1"/>
  <c r="S191" i="1" s="1"/>
  <c r="N192" i="1"/>
  <c r="O192" i="1"/>
  <c r="R192" i="1"/>
  <c r="S192" i="1" s="1"/>
  <c r="N193" i="1"/>
  <c r="O193" i="1"/>
  <c r="P193" i="1"/>
  <c r="T193" i="1" s="1"/>
  <c r="R193" i="1"/>
  <c r="S193" i="1" s="1"/>
  <c r="N194" i="1"/>
  <c r="O194" i="1"/>
  <c r="P194" i="1" s="1"/>
  <c r="T194" i="1" s="1"/>
  <c r="R194" i="1"/>
  <c r="S194" i="1" s="1"/>
  <c r="N195" i="1"/>
  <c r="P195" i="1" s="1"/>
  <c r="T195" i="1" s="1"/>
  <c r="O195" i="1"/>
  <c r="R195" i="1"/>
  <c r="S195" i="1" s="1"/>
  <c r="N196" i="1"/>
  <c r="O196" i="1"/>
  <c r="R196" i="1"/>
  <c r="S196" i="1"/>
  <c r="N197" i="1"/>
  <c r="O197" i="1"/>
  <c r="R197" i="1"/>
  <c r="S197" i="1" s="1"/>
  <c r="N198" i="1"/>
  <c r="O198" i="1"/>
  <c r="P198" i="1" s="1"/>
  <c r="T198" i="1" s="1"/>
  <c r="R198" i="1"/>
  <c r="S198" i="1"/>
  <c r="N199" i="1"/>
  <c r="O199" i="1"/>
  <c r="R199" i="1"/>
  <c r="S199" i="1"/>
  <c r="N200" i="1"/>
  <c r="O200" i="1"/>
  <c r="R200" i="1"/>
  <c r="S200" i="1"/>
  <c r="N201" i="1"/>
  <c r="O201" i="1"/>
  <c r="R201" i="1"/>
  <c r="S201" i="1" s="1"/>
  <c r="N202" i="1"/>
  <c r="O202" i="1"/>
  <c r="P202" i="1" s="1"/>
  <c r="T202" i="1" s="1"/>
  <c r="R202" i="1"/>
  <c r="S202" i="1"/>
  <c r="N203" i="1"/>
  <c r="O203" i="1"/>
  <c r="R203" i="1"/>
  <c r="S203" i="1"/>
  <c r="N204" i="1"/>
  <c r="O204" i="1"/>
  <c r="R204" i="1"/>
  <c r="S204" i="1"/>
  <c r="N205" i="1"/>
  <c r="O205" i="1"/>
  <c r="R205" i="1"/>
  <c r="S205" i="1" s="1"/>
  <c r="N206" i="1"/>
  <c r="O206" i="1"/>
  <c r="R206" i="1"/>
  <c r="S206" i="1" s="1"/>
  <c r="N207" i="1"/>
  <c r="O207" i="1"/>
  <c r="R207" i="1"/>
  <c r="S207" i="1"/>
  <c r="N208" i="1"/>
  <c r="O208" i="1"/>
  <c r="R208" i="1"/>
  <c r="S208" i="1" s="1"/>
  <c r="N209" i="1"/>
  <c r="O209" i="1"/>
  <c r="R209" i="1"/>
  <c r="S209" i="1" s="1"/>
  <c r="N210" i="1"/>
  <c r="O210" i="1"/>
  <c r="R210" i="1"/>
  <c r="S210" i="1" s="1"/>
  <c r="N211" i="1"/>
  <c r="O211" i="1"/>
  <c r="R211" i="1"/>
  <c r="S211" i="1" s="1"/>
  <c r="N212" i="1"/>
  <c r="O212" i="1"/>
  <c r="R212" i="1"/>
  <c r="S212" i="1"/>
  <c r="N213" i="1"/>
  <c r="O213" i="1"/>
  <c r="R213" i="1"/>
  <c r="S213" i="1" s="1"/>
  <c r="N214" i="1"/>
  <c r="O214" i="1"/>
  <c r="R214" i="1"/>
  <c r="S214" i="1"/>
  <c r="N215" i="1"/>
  <c r="P215" i="1" s="1"/>
  <c r="T215" i="1" s="1"/>
  <c r="O215" i="1"/>
  <c r="R215" i="1"/>
  <c r="S215" i="1" s="1"/>
  <c r="N216" i="1"/>
  <c r="O216" i="1"/>
  <c r="R216" i="1"/>
  <c r="S216" i="1"/>
  <c r="N217" i="1"/>
  <c r="O217" i="1"/>
  <c r="R217" i="1"/>
  <c r="S217" i="1" s="1"/>
  <c r="N218" i="1"/>
  <c r="P218" i="1" s="1"/>
  <c r="T218" i="1" s="1"/>
  <c r="O218" i="1"/>
  <c r="R218" i="1"/>
  <c r="S218" i="1" s="1"/>
  <c r="N219" i="1"/>
  <c r="O219" i="1"/>
  <c r="R219" i="1"/>
  <c r="S219" i="1"/>
  <c r="N220" i="1"/>
  <c r="O220" i="1"/>
  <c r="R220" i="1"/>
  <c r="S220" i="1" s="1"/>
  <c r="O221" i="1"/>
  <c r="R221" i="1"/>
  <c r="S221" i="1" s="1"/>
  <c r="N222" i="1"/>
  <c r="O222" i="1"/>
  <c r="R222" i="1"/>
  <c r="S222" i="1" s="1"/>
  <c r="N223" i="1"/>
  <c r="O223" i="1"/>
  <c r="P223" i="1"/>
  <c r="R223" i="1"/>
  <c r="S223" i="1"/>
  <c r="T223" i="1"/>
  <c r="N224" i="1"/>
  <c r="O224" i="1"/>
  <c r="R224" i="1"/>
  <c r="S224" i="1" s="1"/>
  <c r="N225" i="1"/>
  <c r="P225" i="1" s="1"/>
  <c r="T225" i="1" s="1"/>
  <c r="O225" i="1"/>
  <c r="R225" i="1"/>
  <c r="S225" i="1" s="1"/>
  <c r="N226" i="1"/>
  <c r="O226" i="1"/>
  <c r="R226" i="1"/>
  <c r="S226" i="1"/>
  <c r="N227" i="1"/>
  <c r="P227" i="1" s="1"/>
  <c r="T227" i="1" s="1"/>
  <c r="O227" i="1"/>
  <c r="R227" i="1"/>
  <c r="S227" i="1" s="1"/>
  <c r="N228" i="1"/>
  <c r="O228" i="1"/>
  <c r="R228" i="1"/>
  <c r="S228" i="1" s="1"/>
  <c r="N229" i="1"/>
  <c r="O229" i="1"/>
  <c r="R229" i="1"/>
  <c r="S229" i="1" s="1"/>
  <c r="N230" i="1"/>
  <c r="O230" i="1"/>
  <c r="R230" i="1"/>
  <c r="S230" i="1" s="1"/>
  <c r="N231" i="1"/>
  <c r="O231" i="1"/>
  <c r="P231" i="1"/>
  <c r="T231" i="1" s="1"/>
  <c r="R231" i="1"/>
  <c r="S231" i="1" s="1"/>
  <c r="N232" i="1"/>
  <c r="O232" i="1"/>
  <c r="R232" i="1"/>
  <c r="S232" i="1"/>
  <c r="N233" i="1"/>
  <c r="O233" i="1"/>
  <c r="P233" i="1"/>
  <c r="T233" i="1" s="1"/>
  <c r="R233" i="1"/>
  <c r="S233" i="1" s="1"/>
  <c r="N234" i="1"/>
  <c r="O234" i="1"/>
  <c r="R234" i="1"/>
  <c r="S234" i="1"/>
  <c r="N235" i="1"/>
  <c r="O235" i="1"/>
  <c r="P235" i="1"/>
  <c r="T235" i="1" s="1"/>
  <c r="R235" i="1"/>
  <c r="S235" i="1"/>
  <c r="N236" i="1"/>
  <c r="O236" i="1"/>
  <c r="R236" i="1"/>
  <c r="S236" i="1" s="1"/>
  <c r="N237" i="1"/>
  <c r="O237" i="1"/>
  <c r="R237" i="1"/>
  <c r="S237" i="1" s="1"/>
  <c r="N238" i="1"/>
  <c r="O238" i="1"/>
  <c r="P238" i="1"/>
  <c r="T238" i="1" s="1"/>
  <c r="R238" i="1"/>
  <c r="S238" i="1" s="1"/>
  <c r="N239" i="1"/>
  <c r="O239" i="1"/>
  <c r="R239" i="1"/>
  <c r="S239" i="1" s="1"/>
  <c r="N240" i="1"/>
  <c r="O240" i="1"/>
  <c r="R240" i="1"/>
  <c r="S240" i="1"/>
  <c r="N241" i="1"/>
  <c r="O241" i="1"/>
  <c r="R241" i="1"/>
  <c r="S241" i="1" s="1"/>
  <c r="N242" i="1"/>
  <c r="O242" i="1"/>
  <c r="P242" i="1"/>
  <c r="R242" i="1"/>
  <c r="S242" i="1" s="1"/>
  <c r="T242" i="1"/>
  <c r="N243" i="1"/>
  <c r="O243" i="1"/>
  <c r="P243" i="1"/>
  <c r="R243" i="1"/>
  <c r="S243" i="1"/>
  <c r="T243" i="1"/>
  <c r="N244" i="1"/>
  <c r="O244" i="1"/>
  <c r="R244" i="1"/>
  <c r="S244" i="1"/>
  <c r="N245" i="1"/>
  <c r="O245" i="1"/>
  <c r="P245" i="1"/>
  <c r="T245" i="1" s="1"/>
  <c r="R245" i="1"/>
  <c r="S245" i="1" s="1"/>
  <c r="N246" i="1"/>
  <c r="O246" i="1"/>
  <c r="R246" i="1"/>
  <c r="S246" i="1" s="1"/>
  <c r="N247" i="1"/>
  <c r="O247" i="1"/>
  <c r="P247" i="1"/>
  <c r="T247" i="1" s="1"/>
  <c r="R247" i="1"/>
  <c r="S247" i="1" s="1"/>
  <c r="N248" i="1"/>
  <c r="O248" i="1"/>
  <c r="R248" i="1"/>
  <c r="S248" i="1"/>
  <c r="N249" i="1"/>
  <c r="O249" i="1"/>
  <c r="P249" i="1"/>
  <c r="T249" i="1" s="1"/>
  <c r="R249" i="1"/>
  <c r="S249" i="1" s="1"/>
  <c r="N250" i="1"/>
  <c r="O250" i="1"/>
  <c r="R250" i="1"/>
  <c r="S250" i="1" s="1"/>
  <c r="O251" i="1"/>
  <c r="P251" i="1" s="1"/>
  <c r="T251" i="1" s="1"/>
  <c r="R251" i="1"/>
  <c r="S251" i="1"/>
  <c r="N252" i="1"/>
  <c r="O252" i="1"/>
  <c r="R252" i="1"/>
  <c r="S252" i="1" s="1"/>
  <c r="N253" i="1"/>
  <c r="O253" i="1"/>
  <c r="R253" i="1"/>
  <c r="S253" i="1" s="1"/>
  <c r="N254" i="1"/>
  <c r="O254" i="1"/>
  <c r="R254" i="1"/>
  <c r="S254" i="1"/>
  <c r="N255" i="1"/>
  <c r="P255" i="1" s="1"/>
  <c r="T255" i="1" s="1"/>
  <c r="O255" i="1"/>
  <c r="R255" i="1"/>
  <c r="S255" i="1"/>
  <c r="N256" i="1"/>
  <c r="O256" i="1"/>
  <c r="R256" i="1"/>
  <c r="S256" i="1" s="1"/>
  <c r="N257" i="1"/>
  <c r="P257" i="1" s="1"/>
  <c r="T257" i="1" s="1"/>
  <c r="O257" i="1"/>
  <c r="R257" i="1"/>
  <c r="S257" i="1" s="1"/>
  <c r="N258" i="1"/>
  <c r="O258" i="1"/>
  <c r="R258" i="1"/>
  <c r="S258" i="1" s="1"/>
  <c r="N259" i="1"/>
  <c r="O259" i="1"/>
  <c r="R259" i="1"/>
  <c r="S259" i="1" s="1"/>
  <c r="N260" i="1"/>
  <c r="O260" i="1"/>
  <c r="R260" i="1"/>
  <c r="S260" i="1" s="1"/>
  <c r="N261" i="1"/>
  <c r="O261" i="1"/>
  <c r="R261" i="1"/>
  <c r="S261" i="1" s="1"/>
  <c r="N262" i="1"/>
  <c r="P262" i="1" s="1"/>
  <c r="T262" i="1" s="1"/>
  <c r="O262" i="1"/>
  <c r="R262" i="1"/>
  <c r="S262" i="1" s="1"/>
  <c r="N263" i="1"/>
  <c r="O263" i="1"/>
  <c r="P263" i="1"/>
  <c r="T263" i="1" s="1"/>
  <c r="R263" i="1"/>
  <c r="S263" i="1" s="1"/>
  <c r="N264" i="1"/>
  <c r="O264" i="1"/>
  <c r="R264" i="1"/>
  <c r="S264" i="1"/>
  <c r="N265" i="1"/>
  <c r="O265" i="1"/>
  <c r="P265" i="1"/>
  <c r="T265" i="1" s="1"/>
  <c r="R265" i="1"/>
  <c r="S265" i="1" s="1"/>
  <c r="N266" i="1"/>
  <c r="O266" i="1"/>
  <c r="R266" i="1"/>
  <c r="S266" i="1" s="1"/>
  <c r="N267" i="1"/>
  <c r="O267" i="1"/>
  <c r="P267" i="1"/>
  <c r="T267" i="1" s="1"/>
  <c r="R267" i="1"/>
  <c r="S267" i="1"/>
  <c r="N268" i="1"/>
  <c r="O268" i="1"/>
  <c r="R268" i="1"/>
  <c r="S268" i="1" s="1"/>
  <c r="N269" i="1"/>
  <c r="O269" i="1"/>
  <c r="R269" i="1"/>
  <c r="S269" i="1" s="1"/>
  <c r="N270" i="1"/>
  <c r="O270" i="1"/>
  <c r="R270" i="1"/>
  <c r="S270" i="1" s="1"/>
  <c r="N271" i="1"/>
  <c r="O271" i="1"/>
  <c r="R271" i="1"/>
  <c r="S271" i="1"/>
  <c r="N272" i="1"/>
  <c r="O272" i="1"/>
  <c r="R272" i="1"/>
  <c r="S272" i="1"/>
  <c r="N273" i="1"/>
  <c r="O273" i="1"/>
  <c r="R273" i="1"/>
  <c r="S273" i="1" s="1"/>
  <c r="N274" i="1"/>
  <c r="O274" i="1"/>
  <c r="R274" i="1"/>
  <c r="S274" i="1"/>
  <c r="N275" i="1"/>
  <c r="O275" i="1"/>
  <c r="P275" i="1"/>
  <c r="T275" i="1" s="1"/>
  <c r="R275" i="1"/>
  <c r="S275" i="1" s="1"/>
  <c r="N276" i="1"/>
  <c r="O276" i="1"/>
  <c r="R276" i="1"/>
  <c r="S276" i="1" s="1"/>
  <c r="N277" i="1"/>
  <c r="O277" i="1"/>
  <c r="R277" i="1"/>
  <c r="S277" i="1" s="1"/>
  <c r="N278" i="1"/>
  <c r="O278" i="1"/>
  <c r="R278" i="1"/>
  <c r="S278" i="1"/>
  <c r="N279" i="1"/>
  <c r="O279" i="1"/>
  <c r="R279" i="1"/>
  <c r="S279" i="1" s="1"/>
  <c r="N280" i="1"/>
  <c r="O280" i="1"/>
  <c r="R280" i="1"/>
  <c r="S280" i="1"/>
  <c r="N281" i="1"/>
  <c r="O281" i="1"/>
  <c r="R281" i="1"/>
  <c r="S281" i="1" s="1"/>
  <c r="N282" i="1"/>
  <c r="O282" i="1"/>
  <c r="R282" i="1"/>
  <c r="S282" i="1" s="1"/>
  <c r="N283" i="1"/>
  <c r="O283" i="1"/>
  <c r="R283" i="1"/>
  <c r="S283" i="1" s="1"/>
  <c r="N284" i="1"/>
  <c r="O284" i="1"/>
  <c r="R284" i="1"/>
  <c r="S284" i="1"/>
  <c r="N285" i="1"/>
  <c r="O285" i="1"/>
  <c r="P285" i="1"/>
  <c r="T285" i="1" s="1"/>
  <c r="R285" i="1"/>
  <c r="S285" i="1" s="1"/>
  <c r="N286" i="1"/>
  <c r="O286" i="1"/>
  <c r="R286" i="1"/>
  <c r="S286" i="1" s="1"/>
  <c r="N287" i="1"/>
  <c r="O287" i="1"/>
  <c r="R287" i="1"/>
  <c r="S287" i="1" s="1"/>
  <c r="N288" i="1"/>
  <c r="O288" i="1"/>
  <c r="R288" i="1"/>
  <c r="S288" i="1" s="1"/>
  <c r="N289" i="1"/>
  <c r="O289" i="1"/>
  <c r="P289" i="1"/>
  <c r="T289" i="1" s="1"/>
  <c r="R289" i="1"/>
  <c r="S289" i="1" s="1"/>
  <c r="N290" i="1"/>
  <c r="O290" i="1"/>
  <c r="R290" i="1"/>
  <c r="S290" i="1" s="1"/>
  <c r="N291" i="1"/>
  <c r="O291" i="1"/>
  <c r="P291" i="1"/>
  <c r="T291" i="1" s="1"/>
  <c r="R291" i="1"/>
  <c r="S291" i="1" s="1"/>
  <c r="N292" i="1"/>
  <c r="O292" i="1"/>
  <c r="R292" i="1"/>
  <c r="S292" i="1" s="1"/>
  <c r="N293" i="1"/>
  <c r="O293" i="1"/>
  <c r="R293" i="1"/>
  <c r="S293" i="1" s="1"/>
  <c r="N294" i="1"/>
  <c r="O294" i="1"/>
  <c r="R294" i="1"/>
  <c r="S294" i="1" s="1"/>
  <c r="N295" i="1"/>
  <c r="O295" i="1"/>
  <c r="P295" i="1"/>
  <c r="R295" i="1"/>
  <c r="S295" i="1"/>
  <c r="T295" i="1"/>
  <c r="N296" i="1"/>
  <c r="O296" i="1"/>
  <c r="R296" i="1"/>
  <c r="S296" i="1"/>
  <c r="N297" i="1"/>
  <c r="O297" i="1"/>
  <c r="P297" i="1"/>
  <c r="T297" i="1" s="1"/>
  <c r="R297" i="1"/>
  <c r="S297" i="1" s="1"/>
  <c r="N298" i="1"/>
  <c r="O298" i="1"/>
  <c r="R298" i="1"/>
  <c r="S298" i="1"/>
  <c r="N299" i="1"/>
  <c r="O299" i="1"/>
  <c r="P299" i="1" s="1"/>
  <c r="T299" i="1" s="1"/>
  <c r="R299" i="1"/>
  <c r="S299" i="1" s="1"/>
  <c r="N300" i="1"/>
  <c r="O300" i="1"/>
  <c r="R300" i="1"/>
  <c r="S300" i="1"/>
  <c r="N301" i="1"/>
  <c r="O301" i="1"/>
  <c r="R301" i="1"/>
  <c r="S301" i="1" s="1"/>
  <c r="N302" i="1"/>
  <c r="O302" i="1"/>
  <c r="R302" i="1"/>
  <c r="S302" i="1" s="1"/>
  <c r="N303" i="1"/>
  <c r="O303" i="1"/>
  <c r="R303" i="1"/>
  <c r="S303" i="1"/>
  <c r="N304" i="1"/>
  <c r="O304" i="1"/>
  <c r="R304" i="1"/>
  <c r="S304" i="1" s="1"/>
  <c r="N305" i="1"/>
  <c r="O305" i="1"/>
  <c r="R305" i="1"/>
  <c r="S305" i="1" s="1"/>
  <c r="N306" i="1"/>
  <c r="O306" i="1"/>
  <c r="R306" i="1"/>
  <c r="S306" i="1" s="1"/>
  <c r="N307" i="1"/>
  <c r="O307" i="1"/>
  <c r="R307" i="1"/>
  <c r="S307" i="1"/>
  <c r="N308" i="1"/>
  <c r="O308" i="1"/>
  <c r="R308" i="1"/>
  <c r="S308" i="1" s="1"/>
  <c r="N309" i="1"/>
  <c r="O309" i="1"/>
  <c r="P309" i="1"/>
  <c r="T309" i="1" s="1"/>
  <c r="R309" i="1"/>
  <c r="S309" i="1" s="1"/>
  <c r="N310" i="1"/>
  <c r="O310" i="1"/>
  <c r="R310" i="1"/>
  <c r="S310" i="1" s="1"/>
  <c r="N311" i="1"/>
  <c r="O311" i="1"/>
  <c r="P311" i="1"/>
  <c r="T311" i="1" s="1"/>
  <c r="R311" i="1"/>
  <c r="S311" i="1" s="1"/>
  <c r="N312" i="1"/>
  <c r="O312" i="1"/>
  <c r="R312" i="1"/>
  <c r="S312" i="1" s="1"/>
  <c r="N313" i="1"/>
  <c r="O313" i="1"/>
  <c r="P313" i="1"/>
  <c r="T313" i="1" s="1"/>
  <c r="R313" i="1"/>
  <c r="S313" i="1" s="1"/>
  <c r="N314" i="1"/>
  <c r="O314" i="1"/>
  <c r="P314" i="1"/>
  <c r="T314" i="1" s="1"/>
  <c r="R314" i="1"/>
  <c r="S314" i="1" s="1"/>
  <c r="N315" i="1"/>
  <c r="O315" i="1"/>
  <c r="R315" i="1"/>
  <c r="S315" i="1"/>
  <c r="N316" i="1"/>
  <c r="O316" i="1"/>
  <c r="R316" i="1"/>
  <c r="S316" i="1"/>
  <c r="N317" i="1"/>
  <c r="P317" i="1" s="1"/>
  <c r="T317" i="1" s="1"/>
  <c r="O317" i="1"/>
  <c r="R317" i="1"/>
  <c r="S317" i="1" s="1"/>
  <c r="N318" i="1"/>
  <c r="P318" i="1" s="1"/>
  <c r="T318" i="1" s="1"/>
  <c r="O318" i="1"/>
  <c r="R318" i="1"/>
  <c r="S318" i="1"/>
  <c r="N319" i="1"/>
  <c r="O319" i="1"/>
  <c r="R319" i="1"/>
  <c r="S319" i="1"/>
  <c r="N320" i="1"/>
  <c r="O320" i="1"/>
  <c r="R320" i="1"/>
  <c r="S320" i="1" s="1"/>
  <c r="N321" i="1"/>
  <c r="O321" i="1"/>
  <c r="R321" i="1"/>
  <c r="S321" i="1" s="1"/>
  <c r="N322" i="1"/>
  <c r="O322" i="1"/>
  <c r="R322" i="1"/>
  <c r="S322" i="1"/>
  <c r="N323" i="1"/>
  <c r="O323" i="1"/>
  <c r="R323" i="1"/>
  <c r="S323" i="1" s="1"/>
  <c r="N324" i="1"/>
  <c r="O324" i="1"/>
  <c r="R324" i="1"/>
  <c r="S324" i="1"/>
  <c r="N325" i="1"/>
  <c r="O325" i="1"/>
  <c r="R325" i="1"/>
  <c r="S325" i="1" s="1"/>
  <c r="N326" i="1"/>
  <c r="P326" i="1" s="1"/>
  <c r="T326" i="1" s="1"/>
  <c r="O326" i="1"/>
  <c r="R326" i="1"/>
  <c r="S326" i="1"/>
  <c r="N327" i="1"/>
  <c r="O327" i="1"/>
  <c r="P327" i="1"/>
  <c r="T327" i="1" s="1"/>
  <c r="R327" i="1"/>
  <c r="S327" i="1"/>
  <c r="N328" i="1"/>
  <c r="O328" i="1"/>
  <c r="R328" i="1"/>
  <c r="S328" i="1"/>
  <c r="N329" i="1"/>
  <c r="O329" i="1"/>
  <c r="R329" i="1"/>
  <c r="S329" i="1" s="1"/>
  <c r="N330" i="1"/>
  <c r="O330" i="1"/>
  <c r="P330" i="1"/>
  <c r="T330" i="1" s="1"/>
  <c r="R330" i="1"/>
  <c r="S330" i="1"/>
  <c r="N331" i="1"/>
  <c r="O331" i="1"/>
  <c r="P331" i="1"/>
  <c r="T331" i="1" s="1"/>
  <c r="R331" i="1"/>
  <c r="S331" i="1" s="1"/>
  <c r="N332" i="1"/>
  <c r="O332" i="1"/>
  <c r="R332" i="1"/>
  <c r="S332" i="1" s="1"/>
  <c r="N333" i="1"/>
  <c r="O333" i="1"/>
  <c r="P333" i="1"/>
  <c r="T333" i="1" s="1"/>
  <c r="R333" i="1"/>
  <c r="S333" i="1" s="1"/>
  <c r="N334" i="1"/>
  <c r="O334" i="1"/>
  <c r="R334" i="1"/>
  <c r="S334" i="1" s="1"/>
  <c r="N335" i="1"/>
  <c r="O335" i="1"/>
  <c r="R335" i="1"/>
  <c r="S335" i="1" s="1"/>
  <c r="N336" i="1"/>
  <c r="O336" i="1"/>
  <c r="R336" i="1"/>
  <c r="S336" i="1" s="1"/>
  <c r="N337" i="1"/>
  <c r="O337" i="1"/>
  <c r="R337" i="1"/>
  <c r="S337" i="1" s="1"/>
  <c r="N338" i="1"/>
  <c r="P338" i="1" s="1"/>
  <c r="T338" i="1" s="1"/>
  <c r="O338" i="1"/>
  <c r="R338" i="1"/>
  <c r="S338" i="1" s="1"/>
  <c r="N339" i="1"/>
  <c r="O339" i="1"/>
  <c r="R339" i="1"/>
  <c r="S339" i="1" s="1"/>
  <c r="N340" i="1"/>
  <c r="O340" i="1"/>
  <c r="R340" i="1"/>
  <c r="S340" i="1"/>
  <c r="N341" i="1"/>
  <c r="O341" i="1"/>
  <c r="P341" i="1"/>
  <c r="T341" i="1" s="1"/>
  <c r="R341" i="1"/>
  <c r="S341" i="1" s="1"/>
  <c r="N342" i="1"/>
  <c r="O342" i="1"/>
  <c r="R342" i="1"/>
  <c r="S342" i="1" s="1"/>
  <c r="N343" i="1"/>
  <c r="O343" i="1"/>
  <c r="P343" i="1" s="1"/>
  <c r="T343" i="1" s="1"/>
  <c r="R343" i="1"/>
  <c r="S343" i="1" s="1"/>
  <c r="N344" i="1"/>
  <c r="O344" i="1"/>
  <c r="R344" i="1"/>
  <c r="S344" i="1" s="1"/>
  <c r="N345" i="1"/>
  <c r="O345" i="1"/>
  <c r="P345" i="1"/>
  <c r="T345" i="1" s="1"/>
  <c r="R345" i="1"/>
  <c r="S345" i="1" s="1"/>
  <c r="N346" i="1"/>
  <c r="O346" i="1"/>
  <c r="R346" i="1"/>
  <c r="S346" i="1" s="1"/>
  <c r="N347" i="1"/>
  <c r="O347" i="1"/>
  <c r="P347" i="1"/>
  <c r="T347" i="1" s="1"/>
  <c r="R347" i="1"/>
  <c r="S347" i="1" s="1"/>
  <c r="N348" i="1"/>
  <c r="O348" i="1"/>
  <c r="R348" i="1"/>
  <c r="S348" i="1"/>
  <c r="N349" i="1"/>
  <c r="O349" i="1"/>
  <c r="R349" i="1"/>
  <c r="S349" i="1" s="1"/>
  <c r="N350" i="1"/>
  <c r="O350" i="1"/>
  <c r="R350" i="1"/>
  <c r="S350" i="1"/>
  <c r="N351" i="1"/>
  <c r="O351" i="1"/>
  <c r="R351" i="1"/>
  <c r="S351" i="1"/>
  <c r="N352" i="1"/>
  <c r="O352" i="1"/>
  <c r="R352" i="1"/>
  <c r="S352" i="1" s="1"/>
  <c r="N353" i="1"/>
  <c r="P353" i="1" s="1"/>
  <c r="T353" i="1" s="1"/>
  <c r="O353" i="1"/>
  <c r="R353" i="1"/>
  <c r="S353" i="1" s="1"/>
  <c r="N354" i="1"/>
  <c r="O354" i="1"/>
  <c r="R354" i="1"/>
  <c r="S354" i="1" s="1"/>
  <c r="N355" i="1"/>
  <c r="O355" i="1"/>
  <c r="R355" i="1"/>
  <c r="S355" i="1" s="1"/>
  <c r="N356" i="1"/>
  <c r="O356" i="1"/>
  <c r="R356" i="1"/>
  <c r="S356" i="1" s="1"/>
  <c r="N357" i="1"/>
  <c r="O357" i="1"/>
  <c r="P357" i="1"/>
  <c r="T357" i="1" s="1"/>
  <c r="R357" i="1"/>
  <c r="S357" i="1"/>
  <c r="N358" i="1"/>
  <c r="O358" i="1"/>
  <c r="R358" i="1"/>
  <c r="S358" i="1"/>
  <c r="N359" i="1"/>
  <c r="O359" i="1"/>
  <c r="R359" i="1"/>
  <c r="S359" i="1"/>
  <c r="N161" i="1"/>
  <c r="O161" i="1"/>
  <c r="R161" i="1"/>
  <c r="S161" i="1" s="1"/>
  <c r="N162" i="1"/>
  <c r="O162" i="1"/>
  <c r="R162" i="1"/>
  <c r="S162" i="1" s="1"/>
  <c r="N163" i="1"/>
  <c r="O163" i="1"/>
  <c r="R163" i="1"/>
  <c r="S163" i="1" s="1"/>
  <c r="N164" i="1"/>
  <c r="O164" i="1"/>
  <c r="P164" i="1" s="1"/>
  <c r="T164" i="1" s="1"/>
  <c r="R164" i="1"/>
  <c r="S164" i="1" s="1"/>
  <c r="N165" i="1"/>
  <c r="O165" i="1"/>
  <c r="P165" i="1"/>
  <c r="T165" i="1" s="1"/>
  <c r="R165" i="1"/>
  <c r="S165" i="1"/>
  <c r="N166" i="1"/>
  <c r="O166" i="1"/>
  <c r="R166" i="1"/>
  <c r="S166" i="1" s="1"/>
  <c r="N167" i="1"/>
  <c r="O167" i="1"/>
  <c r="R167" i="1"/>
  <c r="S167" i="1" s="1"/>
  <c r="N168" i="1"/>
  <c r="P168" i="1" s="1"/>
  <c r="T168" i="1" s="1"/>
  <c r="O168" i="1"/>
  <c r="R168" i="1"/>
  <c r="S168" i="1"/>
  <c r="N169" i="1"/>
  <c r="O169" i="1"/>
  <c r="R169" i="1"/>
  <c r="S169" i="1"/>
  <c r="N170" i="1"/>
  <c r="O170" i="1"/>
  <c r="R170" i="1"/>
  <c r="S170" i="1"/>
  <c r="N171" i="1"/>
  <c r="O171" i="1"/>
  <c r="P171" i="1"/>
  <c r="T171" i="1" s="1"/>
  <c r="R171" i="1"/>
  <c r="S171" i="1" s="1"/>
  <c r="N172" i="1"/>
  <c r="O172" i="1"/>
  <c r="R172" i="1"/>
  <c r="S172" i="1" s="1"/>
  <c r="N173" i="1"/>
  <c r="P173" i="1" s="1"/>
  <c r="T173" i="1" s="1"/>
  <c r="O173" i="1"/>
  <c r="R173" i="1"/>
  <c r="S173" i="1"/>
  <c r="N174" i="1"/>
  <c r="O174" i="1"/>
  <c r="R174" i="1"/>
  <c r="S174" i="1" s="1"/>
  <c r="N175" i="1"/>
  <c r="O175" i="1"/>
  <c r="R175" i="1"/>
  <c r="S175" i="1" s="1"/>
  <c r="N176" i="1"/>
  <c r="O176" i="1"/>
  <c r="P176" i="1" s="1"/>
  <c r="T176" i="1" s="1"/>
  <c r="R176" i="1"/>
  <c r="S176" i="1" s="1"/>
  <c r="N177" i="1"/>
  <c r="O177" i="1"/>
  <c r="R177" i="1"/>
  <c r="S177" i="1" s="1"/>
  <c r="N178" i="1"/>
  <c r="O178" i="1"/>
  <c r="R178" i="1"/>
  <c r="S178" i="1" s="1"/>
  <c r="N146" i="1"/>
  <c r="O146" i="1"/>
  <c r="P146" i="1"/>
  <c r="T146" i="1" s="1"/>
  <c r="R146" i="1"/>
  <c r="S146" i="1"/>
  <c r="N147" i="1"/>
  <c r="O147" i="1"/>
  <c r="R147" i="1"/>
  <c r="S147" i="1" s="1"/>
  <c r="N148" i="1"/>
  <c r="O148" i="1"/>
  <c r="R148" i="1"/>
  <c r="S148" i="1" s="1"/>
  <c r="N149" i="1"/>
  <c r="O149" i="1"/>
  <c r="R149" i="1"/>
  <c r="S149" i="1" s="1"/>
  <c r="N150" i="1"/>
  <c r="O150" i="1"/>
  <c r="R150" i="1"/>
  <c r="S150" i="1" s="1"/>
  <c r="N151" i="1"/>
  <c r="O151" i="1"/>
  <c r="R151" i="1"/>
  <c r="S151" i="1"/>
  <c r="N152" i="1"/>
  <c r="O152" i="1"/>
  <c r="P152" i="1"/>
  <c r="T152" i="1" s="1"/>
  <c r="R152" i="1"/>
  <c r="S152" i="1" s="1"/>
  <c r="N153" i="1"/>
  <c r="O153" i="1"/>
  <c r="R153" i="1"/>
  <c r="S153" i="1"/>
  <c r="N154" i="1"/>
  <c r="O154" i="1"/>
  <c r="P154" i="1"/>
  <c r="T154" i="1" s="1"/>
  <c r="R154" i="1"/>
  <c r="S154" i="1" s="1"/>
  <c r="N155" i="1"/>
  <c r="O155" i="1"/>
  <c r="R155" i="1"/>
  <c r="S155" i="1"/>
  <c r="N156" i="1"/>
  <c r="O156" i="1"/>
  <c r="R156" i="1"/>
  <c r="S156" i="1" s="1"/>
  <c r="N157" i="1"/>
  <c r="O157" i="1"/>
  <c r="R157" i="1"/>
  <c r="S157" i="1" s="1"/>
  <c r="N158" i="1"/>
  <c r="O158" i="1"/>
  <c r="R158" i="1"/>
  <c r="S158" i="1"/>
  <c r="N159" i="1"/>
  <c r="O159" i="1"/>
  <c r="R159" i="1"/>
  <c r="S159" i="1" s="1"/>
  <c r="N160" i="1"/>
  <c r="O160" i="1"/>
  <c r="R160" i="1"/>
  <c r="S160" i="1" s="1"/>
  <c r="R145" i="1"/>
  <c r="S145" i="1" s="1"/>
  <c r="O145" i="1"/>
  <c r="N145" i="1"/>
  <c r="R144" i="1"/>
  <c r="S144" i="1" s="1"/>
  <c r="O144" i="1"/>
  <c r="N144" i="1"/>
  <c r="Q18" i="1"/>
  <c r="N102" i="1"/>
  <c r="M120" i="1"/>
  <c r="M121" i="1"/>
  <c r="M122" i="1"/>
  <c r="M123" i="1"/>
  <c r="M124" i="1"/>
  <c r="M125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76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M58" i="1"/>
  <c r="L49" i="1"/>
  <c r="M49" i="1"/>
  <c r="M52" i="1"/>
  <c r="P53" i="1"/>
  <c r="Q53" i="1" s="1"/>
  <c r="P54" i="1"/>
  <c r="Q54" i="1" s="1"/>
  <c r="P55" i="1"/>
  <c r="Q55" i="1" s="1"/>
  <c r="P56" i="1"/>
  <c r="Q56" i="1" s="1"/>
  <c r="L53" i="1"/>
  <c r="M53" i="1"/>
  <c r="L54" i="1"/>
  <c r="M54" i="1"/>
  <c r="L55" i="1"/>
  <c r="M55" i="1"/>
  <c r="L56" i="1"/>
  <c r="M56" i="1"/>
  <c r="L57" i="1"/>
  <c r="L58" i="1"/>
  <c r="L59" i="1"/>
  <c r="L60" i="1"/>
  <c r="L61" i="1"/>
  <c r="L62" i="1"/>
  <c r="L63" i="1"/>
  <c r="L64" i="1"/>
  <c r="L65" i="1"/>
  <c r="L66" i="1"/>
  <c r="P52" i="1"/>
  <c r="Q52" i="1" s="1"/>
  <c r="L52" i="1"/>
  <c r="P51" i="1"/>
  <c r="Q51" i="1" s="1"/>
  <c r="M51" i="1"/>
  <c r="L51" i="1"/>
  <c r="P50" i="1"/>
  <c r="Q50" i="1" s="1"/>
  <c r="M50" i="1"/>
  <c r="L50" i="1"/>
  <c r="P49" i="1"/>
  <c r="Q49" i="1" s="1"/>
  <c r="O37" i="1"/>
  <c r="P37" i="1" s="1"/>
  <c r="O39" i="1"/>
  <c r="P39" i="1" s="1"/>
  <c r="L39" i="1"/>
  <c r="K39" i="1"/>
  <c r="O38" i="1"/>
  <c r="P38" i="1" s="1"/>
  <c r="L38" i="1"/>
  <c r="K38" i="1"/>
  <c r="L37" i="1"/>
  <c r="K37" i="1"/>
  <c r="O36" i="1"/>
  <c r="P36" i="1" s="1"/>
  <c r="L36" i="1"/>
  <c r="K36" i="1"/>
  <c r="O28" i="1"/>
  <c r="P28" i="1" s="1"/>
  <c r="L28" i="1"/>
  <c r="K28" i="1"/>
  <c r="O27" i="1"/>
  <c r="P27" i="1" s="1"/>
  <c r="L27" i="1"/>
  <c r="K27" i="1"/>
  <c r="O19" i="1"/>
  <c r="P19" i="1" s="1"/>
  <c r="L19" i="1"/>
  <c r="K19" i="1"/>
  <c r="O18" i="1"/>
  <c r="P18" i="1" s="1"/>
  <c r="L18" i="1"/>
  <c r="K18" i="1"/>
  <c r="M18" i="1" s="1"/>
  <c r="O17" i="1"/>
  <c r="P17" i="1" s="1"/>
  <c r="L17" i="1"/>
  <c r="K17" i="1"/>
  <c r="O16" i="1"/>
  <c r="P16" i="1" s="1"/>
  <c r="L16" i="1"/>
  <c r="K16" i="1"/>
  <c r="K6" i="1"/>
  <c r="K7" i="1"/>
  <c r="K8" i="1"/>
  <c r="L6" i="1"/>
  <c r="K5" i="1"/>
  <c r="O6" i="1"/>
  <c r="P6" i="1" s="1"/>
  <c r="O7" i="1"/>
  <c r="P7" i="1" s="1"/>
  <c r="O8" i="1"/>
  <c r="P8" i="1" s="1"/>
  <c r="O5" i="1"/>
  <c r="P5" i="1" s="1"/>
  <c r="L7" i="1"/>
  <c r="L8" i="1"/>
  <c r="L5" i="1"/>
  <c r="N143" i="3" l="1"/>
  <c r="R143" i="3" s="1"/>
  <c r="N138" i="3"/>
  <c r="R138" i="3" s="1"/>
  <c r="N148" i="3"/>
  <c r="R148" i="3" s="1"/>
  <c r="N139" i="3"/>
  <c r="R139" i="3" s="1"/>
  <c r="N196" i="3"/>
  <c r="R196" i="3" s="1"/>
  <c r="N188" i="3"/>
  <c r="R188" i="3" s="1"/>
  <c r="N184" i="3"/>
  <c r="R184" i="3" s="1"/>
  <c r="N167" i="3"/>
  <c r="R167" i="3" s="1"/>
  <c r="N163" i="3"/>
  <c r="R163" i="3" s="1"/>
  <c r="N123" i="3"/>
  <c r="R123" i="3" s="1"/>
  <c r="N114" i="3"/>
  <c r="R114" i="3" s="1"/>
  <c r="N111" i="3"/>
  <c r="R111" i="3" s="1"/>
  <c r="N113" i="3"/>
  <c r="R113" i="3" s="1"/>
  <c r="N108" i="3"/>
  <c r="R108" i="3" s="1"/>
  <c r="N87" i="3"/>
  <c r="R87" i="3" s="1"/>
  <c r="N92" i="3"/>
  <c r="R92" i="3" s="1"/>
  <c r="N82" i="3"/>
  <c r="R82" i="3" s="1"/>
  <c r="N89" i="3"/>
  <c r="R89" i="3" s="1"/>
  <c r="N71" i="3"/>
  <c r="R71" i="3" s="1"/>
  <c r="N63" i="3"/>
  <c r="R63" i="3" s="1"/>
  <c r="N66" i="3"/>
  <c r="N64" i="3"/>
  <c r="R64" i="3" s="1"/>
  <c r="N54" i="3"/>
  <c r="R54" i="3" s="1"/>
  <c r="N61" i="3"/>
  <c r="R61" i="3" s="1"/>
  <c r="N60" i="3"/>
  <c r="R60" i="3" s="1"/>
  <c r="N59" i="3"/>
  <c r="R59" i="3" s="1"/>
  <c r="N57" i="3"/>
  <c r="R57" i="3" s="1"/>
  <c r="N56" i="3"/>
  <c r="R56" i="3" s="1"/>
  <c r="N55" i="3"/>
  <c r="R55" i="3" s="1"/>
  <c r="N52" i="3"/>
  <c r="R52" i="3" s="1"/>
  <c r="N51" i="3"/>
  <c r="R51" i="3" s="1"/>
  <c r="N50" i="3"/>
  <c r="R50" i="3" s="1"/>
  <c r="N49" i="3"/>
  <c r="R49" i="3" s="1"/>
  <c r="R166" i="3"/>
  <c r="N168" i="3"/>
  <c r="R168" i="3" s="1"/>
  <c r="N172" i="3"/>
  <c r="R172" i="3" s="1"/>
  <c r="N186" i="3"/>
  <c r="R186" i="3" s="1"/>
  <c r="P597" i="1"/>
  <c r="T597" i="1" s="1"/>
  <c r="N216" i="3"/>
  <c r="R216" i="3" s="1"/>
  <c r="N214" i="3"/>
  <c r="R214" i="3" s="1"/>
  <c r="N86" i="3"/>
  <c r="R86" i="3" s="1"/>
  <c r="N118" i="3"/>
  <c r="R118" i="3" s="1"/>
  <c r="N171" i="3"/>
  <c r="R171" i="3" s="1"/>
  <c r="N192" i="3"/>
  <c r="R192" i="3" s="1"/>
  <c r="N210" i="3"/>
  <c r="R210" i="3" s="1"/>
  <c r="N208" i="3"/>
  <c r="R208" i="3" s="1"/>
  <c r="M36" i="3"/>
  <c r="Q36" i="3" s="1"/>
  <c r="M27" i="3"/>
  <c r="Q27" i="3" s="1"/>
  <c r="M26" i="3"/>
  <c r="Q26" i="3" s="1"/>
  <c r="M17" i="3"/>
  <c r="Q17" i="3" s="1"/>
  <c r="M16" i="3"/>
  <c r="Q16" i="3" s="1"/>
  <c r="M15" i="3"/>
  <c r="Q15" i="3" s="1"/>
  <c r="M6" i="3"/>
  <c r="Q6" i="3" s="1"/>
  <c r="N80" i="2"/>
  <c r="R80" i="2" s="1"/>
  <c r="N79" i="2"/>
  <c r="R79" i="2" s="1"/>
  <c r="N78" i="2"/>
  <c r="R78" i="2" s="1"/>
  <c r="N77" i="2"/>
  <c r="R77" i="2" s="1"/>
  <c r="N76" i="2"/>
  <c r="R76" i="2" s="1"/>
  <c r="N75" i="2"/>
  <c r="R75" i="2" s="1"/>
  <c r="N73" i="2"/>
  <c r="R73" i="2" s="1"/>
  <c r="N72" i="2"/>
  <c r="R72" i="2" s="1"/>
  <c r="N71" i="2"/>
  <c r="R71" i="2" s="1"/>
  <c r="N58" i="2"/>
  <c r="R58" i="2" s="1"/>
  <c r="N54" i="2"/>
  <c r="R54" i="2" s="1"/>
  <c r="N48" i="2"/>
  <c r="R48" i="2" s="1"/>
  <c r="N50" i="2"/>
  <c r="R50" i="2" s="1"/>
  <c r="N46" i="2"/>
  <c r="R46" i="2" s="1"/>
  <c r="N45" i="2"/>
  <c r="R45" i="2" s="1"/>
  <c r="N138" i="2"/>
  <c r="R138" i="2" s="1"/>
  <c r="N132" i="2"/>
  <c r="R132" i="2" s="1"/>
  <c r="N146" i="2"/>
  <c r="R146" i="2" s="1"/>
  <c r="N134" i="2"/>
  <c r="R134" i="2" s="1"/>
  <c r="N140" i="2"/>
  <c r="R140" i="2" s="1"/>
  <c r="M120" i="2"/>
  <c r="Q120" i="2" s="1"/>
  <c r="M118" i="2"/>
  <c r="Q118" i="2" s="1"/>
  <c r="M91" i="2"/>
  <c r="Q91" i="2" s="1"/>
  <c r="N44" i="2"/>
  <c r="R44" i="2" s="1"/>
  <c r="N33" i="2"/>
  <c r="R33" i="2" s="1"/>
  <c r="N31" i="2"/>
  <c r="R31" i="2" s="1"/>
  <c r="N27" i="2"/>
  <c r="R27" i="2" s="1"/>
  <c r="N23" i="2"/>
  <c r="R23" i="2" s="1"/>
  <c r="N19" i="2"/>
  <c r="R19" i="2" s="1"/>
  <c r="N17" i="2"/>
  <c r="R17" i="2" s="1"/>
  <c r="M6" i="2"/>
  <c r="Q6" i="2" s="1"/>
  <c r="M5" i="2"/>
  <c r="Q5" i="2" s="1"/>
  <c r="P351" i="1"/>
  <c r="T351" i="1" s="1"/>
  <c r="P350" i="1"/>
  <c r="T350" i="1" s="1"/>
  <c r="P349" i="1"/>
  <c r="T349" i="1" s="1"/>
  <c r="P346" i="1"/>
  <c r="T346" i="1" s="1"/>
  <c r="P335" i="1"/>
  <c r="T335" i="1" s="1"/>
  <c r="P329" i="1"/>
  <c r="T329" i="1" s="1"/>
  <c r="P323" i="1"/>
  <c r="T323" i="1" s="1"/>
  <c r="P321" i="1"/>
  <c r="T321" i="1" s="1"/>
  <c r="P316" i="1"/>
  <c r="T316" i="1" s="1"/>
  <c r="P315" i="1"/>
  <c r="T315" i="1" s="1"/>
  <c r="P310" i="1"/>
  <c r="T310" i="1" s="1"/>
  <c r="P307" i="1"/>
  <c r="T307" i="1" s="1"/>
  <c r="P354" i="1"/>
  <c r="T354" i="1" s="1"/>
  <c r="P342" i="1"/>
  <c r="T342" i="1" s="1"/>
  <c r="P306" i="1"/>
  <c r="T306" i="1" s="1"/>
  <c r="P254" i="1"/>
  <c r="T254" i="1" s="1"/>
  <c r="P253" i="1"/>
  <c r="T253" i="1" s="1"/>
  <c r="P266" i="1"/>
  <c r="T266" i="1" s="1"/>
  <c r="P269" i="1"/>
  <c r="T269" i="1" s="1"/>
  <c r="P259" i="1"/>
  <c r="T259" i="1" s="1"/>
  <c r="P274" i="1"/>
  <c r="T274" i="1" s="1"/>
  <c r="P277" i="1"/>
  <c r="T277" i="1" s="1"/>
  <c r="P279" i="1"/>
  <c r="T279" i="1" s="1"/>
  <c r="P281" i="1"/>
  <c r="T281" i="1" s="1"/>
  <c r="P286" i="1"/>
  <c r="T286" i="1" s="1"/>
  <c r="P287" i="1"/>
  <c r="T287" i="1" s="1"/>
  <c r="P294" i="1"/>
  <c r="T294" i="1" s="1"/>
  <c r="P264" i="1"/>
  <c r="T264" i="1" s="1"/>
  <c r="P232" i="1"/>
  <c r="T232" i="1" s="1"/>
  <c r="P237" i="1"/>
  <c r="T237" i="1" s="1"/>
  <c r="P239" i="1"/>
  <c r="T239" i="1" s="1"/>
  <c r="P234" i="1"/>
  <c r="T234" i="1" s="1"/>
  <c r="P222" i="1"/>
  <c r="T222" i="1" s="1"/>
  <c r="P221" i="1"/>
  <c r="T221" i="1" s="1"/>
  <c r="P219" i="1"/>
  <c r="T219" i="1" s="1"/>
  <c r="P217" i="1"/>
  <c r="T217" i="1" s="1"/>
  <c r="P213" i="1"/>
  <c r="T213" i="1" s="1"/>
  <c r="P387" i="1"/>
  <c r="T387" i="1" s="1"/>
  <c r="P385" i="1"/>
  <c r="T385" i="1" s="1"/>
  <c r="P382" i="1"/>
  <c r="T382" i="1" s="1"/>
  <c r="P381" i="1"/>
  <c r="T381" i="1" s="1"/>
  <c r="P377" i="1"/>
  <c r="T377" i="1" s="1"/>
  <c r="P375" i="1"/>
  <c r="T375" i="1" s="1"/>
  <c r="P409" i="1"/>
  <c r="T409" i="1" s="1"/>
  <c r="P408" i="1"/>
  <c r="T408" i="1" s="1"/>
  <c r="P407" i="1"/>
  <c r="T407" i="1" s="1"/>
  <c r="P405" i="1"/>
  <c r="T405" i="1" s="1"/>
  <c r="P402" i="1"/>
  <c r="T402" i="1" s="1"/>
  <c r="P400" i="1"/>
  <c r="T400" i="1" s="1"/>
  <c r="P397" i="1"/>
  <c r="T397" i="1" s="1"/>
  <c r="P418" i="1"/>
  <c r="T418" i="1" s="1"/>
  <c r="P413" i="1"/>
  <c r="T413" i="1" s="1"/>
  <c r="P412" i="1"/>
  <c r="T412" i="1" s="1"/>
  <c r="P427" i="1"/>
  <c r="T427" i="1" s="1"/>
  <c r="P430" i="1"/>
  <c r="T430" i="1" s="1"/>
  <c r="P404" i="1"/>
  <c r="T404" i="1" s="1"/>
  <c r="P386" i="1"/>
  <c r="T386" i="1" s="1"/>
  <c r="P374" i="1"/>
  <c r="T374" i="1" s="1"/>
  <c r="P428" i="1"/>
  <c r="T428" i="1" s="1"/>
  <c r="P460" i="1"/>
  <c r="T460" i="1" s="1"/>
  <c r="P458" i="1"/>
  <c r="T458" i="1" s="1"/>
  <c r="P456" i="1"/>
  <c r="T456" i="1" s="1"/>
  <c r="P452" i="1"/>
  <c r="T452" i="1" s="1"/>
  <c r="P448" i="1"/>
  <c r="T448" i="1" s="1"/>
  <c r="P442" i="1"/>
  <c r="T442" i="1" s="1"/>
  <c r="P440" i="1"/>
  <c r="T440" i="1" s="1"/>
  <c r="P438" i="1"/>
  <c r="T438" i="1" s="1"/>
  <c r="P437" i="1"/>
  <c r="T437" i="1" s="1"/>
  <c r="P466" i="1"/>
  <c r="T466" i="1" s="1"/>
  <c r="P485" i="1"/>
  <c r="T485" i="1" s="1"/>
  <c r="P491" i="1"/>
  <c r="T491" i="1" s="1"/>
  <c r="P489" i="1"/>
  <c r="T489" i="1" s="1"/>
  <c r="P490" i="1"/>
  <c r="T490" i="1" s="1"/>
  <c r="P492" i="1"/>
  <c r="T492" i="1" s="1"/>
  <c r="P497" i="1"/>
  <c r="T497" i="1" s="1"/>
  <c r="P509" i="1"/>
  <c r="T509" i="1" s="1"/>
  <c r="P501" i="1"/>
  <c r="T501" i="1" s="1"/>
  <c r="P512" i="1"/>
  <c r="T512" i="1" s="1"/>
  <c r="P506" i="1"/>
  <c r="T506" i="1" s="1"/>
  <c r="P517" i="1"/>
  <c r="T517" i="1" s="1"/>
  <c r="P515" i="1"/>
  <c r="T515" i="1" s="1"/>
  <c r="P468" i="1"/>
  <c r="T468" i="1" s="1"/>
  <c r="P298" i="1"/>
  <c r="T298" i="1" s="1"/>
  <c r="P394" i="1"/>
  <c r="T394" i="1" s="1"/>
  <c r="P144" i="1"/>
  <c r="T144" i="1" s="1"/>
  <c r="P160" i="1"/>
  <c r="T160" i="1" s="1"/>
  <c r="P283" i="1"/>
  <c r="T283" i="1" s="1"/>
  <c r="P302" i="1"/>
  <c r="T302" i="1" s="1"/>
  <c r="P429" i="1"/>
  <c r="T429" i="1" s="1"/>
  <c r="P436" i="1"/>
  <c r="T436" i="1" s="1"/>
  <c r="P414" i="1"/>
  <c r="T414" i="1" s="1"/>
  <c r="P230" i="1"/>
  <c r="T230" i="1" s="1"/>
  <c r="P389" i="1"/>
  <c r="T389" i="1" s="1"/>
  <c r="P158" i="1"/>
  <c r="T158" i="1" s="1"/>
  <c r="P484" i="1"/>
  <c r="T484" i="1" s="1"/>
  <c r="P356" i="1"/>
  <c r="T356" i="1" s="1"/>
  <c r="P319" i="1"/>
  <c r="T319" i="1" s="1"/>
  <c r="P399" i="1"/>
  <c r="T399" i="1" s="1"/>
  <c r="P475" i="1"/>
  <c r="T475" i="1" s="1"/>
  <c r="P557" i="1"/>
  <c r="T557" i="1" s="1"/>
  <c r="P250" i="1"/>
  <c r="T250" i="1" s="1"/>
  <c r="P463" i="1"/>
  <c r="T463" i="1" s="1"/>
  <c r="P439" i="1"/>
  <c r="T439" i="1" s="1"/>
  <c r="P301" i="1"/>
  <c r="T301" i="1" s="1"/>
  <c r="P229" i="1"/>
  <c r="T229" i="1" s="1"/>
  <c r="P419" i="1"/>
  <c r="T419" i="1" s="1"/>
  <c r="P550" i="1"/>
  <c r="T550" i="1" s="1"/>
  <c r="P359" i="1"/>
  <c r="T359" i="1" s="1"/>
  <c r="P384" i="1"/>
  <c r="T384" i="1" s="1"/>
  <c r="P478" i="1"/>
  <c r="T478" i="1" s="1"/>
  <c r="P505" i="1"/>
  <c r="T505" i="1" s="1"/>
  <c r="P541" i="1"/>
  <c r="T541" i="1" s="1"/>
  <c r="P552" i="1"/>
  <c r="T552" i="1" s="1"/>
  <c r="P296" i="1"/>
  <c r="T296" i="1" s="1"/>
  <c r="P443" i="1"/>
  <c r="T443" i="1" s="1"/>
  <c r="P470" i="1"/>
  <c r="T470" i="1" s="1"/>
  <c r="P358" i="1"/>
  <c r="T358" i="1" s="1"/>
  <c r="P167" i="1"/>
  <c r="T167" i="1" s="1"/>
  <c r="P271" i="1"/>
  <c r="T271" i="1" s="1"/>
  <c r="P246" i="1"/>
  <c r="T246" i="1" s="1"/>
  <c r="P498" i="1"/>
  <c r="T498" i="1" s="1"/>
  <c r="P282" i="1"/>
  <c r="T282" i="1" s="1"/>
  <c r="P203" i="1"/>
  <c r="T203" i="1" s="1"/>
  <c r="P406" i="1"/>
  <c r="T406" i="1" s="1"/>
  <c r="P395" i="1"/>
  <c r="T395" i="1" s="1"/>
  <c r="P539" i="1"/>
  <c r="T539" i="1" s="1"/>
  <c r="P175" i="1"/>
  <c r="T175" i="1" s="1"/>
  <c r="P156" i="1"/>
  <c r="T156" i="1" s="1"/>
  <c r="P150" i="1"/>
  <c r="T150" i="1" s="1"/>
  <c r="P348" i="1"/>
  <c r="T348" i="1" s="1"/>
  <c r="P270" i="1"/>
  <c r="T270" i="1" s="1"/>
  <c r="P211" i="1"/>
  <c r="T211" i="1" s="1"/>
  <c r="P451" i="1"/>
  <c r="T451" i="1" s="1"/>
  <c r="P433" i="1"/>
  <c r="T433" i="1" s="1"/>
  <c r="P431" i="1"/>
  <c r="T431" i="1" s="1"/>
  <c r="P483" i="1"/>
  <c r="T483" i="1" s="1"/>
  <c r="P481" i="1"/>
  <c r="T481" i="1" s="1"/>
  <c r="P467" i="1"/>
  <c r="T467" i="1" s="1"/>
  <c r="P465" i="1"/>
  <c r="T465" i="1" s="1"/>
  <c r="P503" i="1"/>
  <c r="T503" i="1" s="1"/>
  <c r="P516" i="1"/>
  <c r="T516" i="1" s="1"/>
  <c r="P445" i="1"/>
  <c r="T445" i="1" s="1"/>
  <c r="P416" i="1"/>
  <c r="T416" i="1" s="1"/>
  <c r="P401" i="1"/>
  <c r="T401" i="1" s="1"/>
  <c r="P473" i="1"/>
  <c r="T473" i="1" s="1"/>
  <c r="P508" i="1"/>
  <c r="T508" i="1" s="1"/>
  <c r="P328" i="1"/>
  <c r="T328" i="1" s="1"/>
  <c r="P450" i="1"/>
  <c r="T450" i="1" s="1"/>
  <c r="P548" i="1"/>
  <c r="T548" i="1" s="1"/>
  <c r="P169" i="1"/>
  <c r="T169" i="1" s="1"/>
  <c r="P278" i="1"/>
  <c r="T278" i="1" s="1"/>
  <c r="P188" i="1"/>
  <c r="T188" i="1" s="1"/>
  <c r="P339" i="1"/>
  <c r="T339" i="1" s="1"/>
  <c r="P303" i="1"/>
  <c r="T303" i="1" s="1"/>
  <c r="M39" i="1"/>
  <c r="Q39" i="1" s="1"/>
  <c r="P459" i="1"/>
  <c r="T459" i="1" s="1"/>
  <c r="P415" i="1"/>
  <c r="T415" i="1" s="1"/>
  <c r="P383" i="1"/>
  <c r="T383" i="1" s="1"/>
  <c r="P477" i="1"/>
  <c r="T477" i="1" s="1"/>
  <c r="P469" i="1"/>
  <c r="T469" i="1" s="1"/>
  <c r="P538" i="1"/>
  <c r="T538" i="1" s="1"/>
  <c r="P153" i="1"/>
  <c r="T153" i="1" s="1"/>
  <c r="P149" i="1"/>
  <c r="T149" i="1" s="1"/>
  <c r="P355" i="1"/>
  <c r="T355" i="1" s="1"/>
  <c r="P334" i="1"/>
  <c r="T334" i="1" s="1"/>
  <c r="P293" i="1"/>
  <c r="T293" i="1" s="1"/>
  <c r="P261" i="1"/>
  <c r="T261" i="1" s="1"/>
  <c r="P220" i="1"/>
  <c r="T220" i="1" s="1"/>
  <c r="P210" i="1"/>
  <c r="T210" i="1" s="1"/>
  <c r="P447" i="1"/>
  <c r="T447" i="1" s="1"/>
  <c r="P403" i="1"/>
  <c r="T403" i="1" s="1"/>
  <c r="P502" i="1"/>
  <c r="T502" i="1" s="1"/>
  <c r="P494" i="1"/>
  <c r="T494" i="1" s="1"/>
  <c r="P486" i="1"/>
  <c r="T486" i="1" s="1"/>
  <c r="P566" i="1"/>
  <c r="T566" i="1" s="1"/>
  <c r="P159" i="1"/>
  <c r="T159" i="1" s="1"/>
  <c r="P157" i="1"/>
  <c r="T157" i="1" s="1"/>
  <c r="P325" i="1"/>
  <c r="T325" i="1" s="1"/>
  <c r="P284" i="1"/>
  <c r="T284" i="1" s="1"/>
  <c r="P252" i="1"/>
  <c r="T252" i="1" s="1"/>
  <c r="P214" i="1"/>
  <c r="T214" i="1" s="1"/>
  <c r="P435" i="1"/>
  <c r="T435" i="1" s="1"/>
  <c r="P423" i="1"/>
  <c r="T423" i="1" s="1"/>
  <c r="P391" i="1"/>
  <c r="T391" i="1" s="1"/>
  <c r="P376" i="1"/>
  <c r="T376" i="1" s="1"/>
  <c r="P543" i="1"/>
  <c r="T543" i="1" s="1"/>
  <c r="P535" i="1"/>
  <c r="T535" i="1" s="1"/>
  <c r="P601" i="1"/>
  <c r="T601" i="1" s="1"/>
  <c r="P579" i="1"/>
  <c r="T579" i="1" s="1"/>
  <c r="P591" i="1"/>
  <c r="T591" i="1" s="1"/>
  <c r="P587" i="1"/>
  <c r="T587" i="1" s="1"/>
  <c r="P595" i="1"/>
  <c r="T595" i="1" s="1"/>
  <c r="P594" i="1"/>
  <c r="T594" i="1" s="1"/>
  <c r="P592" i="1"/>
  <c r="T592" i="1" s="1"/>
  <c r="P593" i="1"/>
  <c r="T593" i="1" s="1"/>
  <c r="P590" i="1"/>
  <c r="T590" i="1" s="1"/>
  <c r="P589" i="1"/>
  <c r="T589" i="1" s="1"/>
  <c r="P586" i="1"/>
  <c r="T586" i="1" s="1"/>
  <c r="P585" i="1"/>
  <c r="T585" i="1" s="1"/>
  <c r="P581" i="1"/>
  <c r="T581" i="1" s="1"/>
  <c r="P580" i="1"/>
  <c r="T580" i="1" s="1"/>
  <c r="P578" i="1"/>
  <c r="T578" i="1" s="1"/>
  <c r="P576" i="1"/>
  <c r="T576" i="1" s="1"/>
  <c r="P577" i="1"/>
  <c r="T577" i="1" s="1"/>
  <c r="P573" i="1"/>
  <c r="T573" i="1" s="1"/>
  <c r="P572" i="1"/>
  <c r="T572" i="1" s="1"/>
  <c r="P570" i="1"/>
  <c r="T570" i="1" s="1"/>
  <c r="P569" i="1"/>
  <c r="T569" i="1" s="1"/>
  <c r="P567" i="1"/>
  <c r="T567" i="1" s="1"/>
  <c r="P563" i="1"/>
  <c r="T563" i="1" s="1"/>
  <c r="P562" i="1"/>
  <c r="T562" i="1" s="1"/>
  <c r="P560" i="1"/>
  <c r="T560" i="1" s="1"/>
  <c r="P559" i="1"/>
  <c r="T559" i="1" s="1"/>
  <c r="P555" i="1"/>
  <c r="T555" i="1" s="1"/>
  <c r="P554" i="1"/>
  <c r="T554" i="1" s="1"/>
  <c r="P551" i="1"/>
  <c r="T551" i="1" s="1"/>
  <c r="P547" i="1"/>
  <c r="T547" i="1" s="1"/>
  <c r="P545" i="1"/>
  <c r="T545" i="1" s="1"/>
  <c r="P544" i="1"/>
  <c r="T544" i="1" s="1"/>
  <c r="P540" i="1"/>
  <c r="T540" i="1" s="1"/>
  <c r="P537" i="1"/>
  <c r="T537" i="1" s="1"/>
  <c r="P536" i="1"/>
  <c r="T536" i="1" s="1"/>
  <c r="P533" i="1"/>
  <c r="T533" i="1" s="1"/>
  <c r="P532" i="1"/>
  <c r="T532" i="1" s="1"/>
  <c r="P531" i="1"/>
  <c r="T531" i="1" s="1"/>
  <c r="P207" i="1"/>
  <c r="T207" i="1" s="1"/>
  <c r="P205" i="1"/>
  <c r="T205" i="1" s="1"/>
  <c r="P206" i="1"/>
  <c r="T206" i="1" s="1"/>
  <c r="P201" i="1"/>
  <c r="T201" i="1" s="1"/>
  <c r="P200" i="1"/>
  <c r="T200" i="1" s="1"/>
  <c r="P199" i="1"/>
  <c r="T199" i="1" s="1"/>
  <c r="P197" i="1"/>
  <c r="T197" i="1" s="1"/>
  <c r="P190" i="1"/>
  <c r="T190" i="1" s="1"/>
  <c r="P174" i="1"/>
  <c r="T174" i="1" s="1"/>
  <c r="P172" i="1"/>
  <c r="T172" i="1" s="1"/>
  <c r="P170" i="1"/>
  <c r="T170" i="1" s="1"/>
  <c r="P166" i="1"/>
  <c r="T166" i="1" s="1"/>
  <c r="P178" i="1"/>
  <c r="T178" i="1" s="1"/>
  <c r="P177" i="1"/>
  <c r="T177" i="1" s="1"/>
  <c r="P182" i="1"/>
  <c r="T182" i="1" s="1"/>
  <c r="P179" i="1"/>
  <c r="T179" i="1" s="1"/>
  <c r="P161" i="1"/>
  <c r="T161" i="1" s="1"/>
  <c r="P155" i="1"/>
  <c r="T155" i="1" s="1"/>
  <c r="P151" i="1"/>
  <c r="T151" i="1" s="1"/>
  <c r="P148" i="1"/>
  <c r="T148" i="1" s="1"/>
  <c r="P147" i="1"/>
  <c r="T147" i="1" s="1"/>
  <c r="P163" i="1"/>
  <c r="T163" i="1" s="1"/>
  <c r="P162" i="1"/>
  <c r="T162" i="1" s="1"/>
  <c r="P145" i="1"/>
  <c r="T145" i="1" s="1"/>
  <c r="P180" i="1"/>
  <c r="T180" i="1" s="1"/>
  <c r="P337" i="1"/>
  <c r="T337" i="1" s="1"/>
  <c r="P273" i="1"/>
  <c r="T273" i="1" s="1"/>
  <c r="P288" i="1"/>
  <c r="T288" i="1" s="1"/>
  <c r="P276" i="1"/>
  <c r="T276" i="1" s="1"/>
  <c r="P224" i="1"/>
  <c r="T224" i="1" s="1"/>
  <c r="P305" i="1"/>
  <c r="T305" i="1" s="1"/>
  <c r="P209" i="1"/>
  <c r="T209" i="1" s="1"/>
  <c r="P352" i="1"/>
  <c r="T352" i="1" s="1"/>
  <c r="P340" i="1"/>
  <c r="T340" i="1" s="1"/>
  <c r="P290" i="1"/>
  <c r="T290" i="1" s="1"/>
  <c r="P226" i="1"/>
  <c r="T226" i="1" s="1"/>
  <c r="P212" i="1"/>
  <c r="T212" i="1" s="1"/>
  <c r="P241" i="1"/>
  <c r="T241" i="1" s="1"/>
  <c r="P322" i="1"/>
  <c r="T322" i="1" s="1"/>
  <c r="P320" i="1"/>
  <c r="T320" i="1" s="1"/>
  <c r="P308" i="1"/>
  <c r="T308" i="1" s="1"/>
  <c r="P258" i="1"/>
  <c r="T258" i="1" s="1"/>
  <c r="P256" i="1"/>
  <c r="T256" i="1" s="1"/>
  <c r="P244" i="1"/>
  <c r="T244" i="1" s="1"/>
  <c r="P192" i="1"/>
  <c r="T192" i="1" s="1"/>
  <c r="P332" i="1"/>
  <c r="T332" i="1" s="1"/>
  <c r="P300" i="1"/>
  <c r="T300" i="1" s="1"/>
  <c r="P204" i="1"/>
  <c r="T204" i="1" s="1"/>
  <c r="P344" i="1"/>
  <c r="T344" i="1" s="1"/>
  <c r="P280" i="1"/>
  <c r="T280" i="1" s="1"/>
  <c r="P248" i="1"/>
  <c r="T248" i="1" s="1"/>
  <c r="P184" i="1"/>
  <c r="T184" i="1" s="1"/>
  <c r="P324" i="1"/>
  <c r="T324" i="1" s="1"/>
  <c r="P292" i="1"/>
  <c r="T292" i="1" s="1"/>
  <c r="P260" i="1"/>
  <c r="T260" i="1" s="1"/>
  <c r="P228" i="1"/>
  <c r="T228" i="1" s="1"/>
  <c r="P196" i="1"/>
  <c r="T196" i="1" s="1"/>
  <c r="P336" i="1"/>
  <c r="T336" i="1" s="1"/>
  <c r="P304" i="1"/>
  <c r="T304" i="1" s="1"/>
  <c r="P272" i="1"/>
  <c r="T272" i="1" s="1"/>
  <c r="P240" i="1"/>
  <c r="T240" i="1" s="1"/>
  <c r="P208" i="1"/>
  <c r="T208" i="1" s="1"/>
  <c r="P268" i="1"/>
  <c r="T268" i="1" s="1"/>
  <c r="P236" i="1"/>
  <c r="T236" i="1" s="1"/>
  <c r="P312" i="1"/>
  <c r="T312" i="1" s="1"/>
  <c r="P216" i="1"/>
  <c r="T216" i="1" s="1"/>
  <c r="M8" i="1"/>
  <c r="Q8" i="1" s="1"/>
  <c r="N120" i="1"/>
  <c r="O120" i="1" s="1"/>
  <c r="S120" i="1" s="1"/>
  <c r="Q112" i="1"/>
  <c r="R112" i="1" s="1"/>
  <c r="Q104" i="1"/>
  <c r="R104" i="1" s="1"/>
  <c r="N125" i="1"/>
  <c r="O125" i="1" s="1"/>
  <c r="S125" i="1" s="1"/>
  <c r="N117" i="1"/>
  <c r="O117" i="1" s="1"/>
  <c r="S117" i="1" s="1"/>
  <c r="Q109" i="1"/>
  <c r="R109" i="1" s="1"/>
  <c r="N116" i="1"/>
  <c r="O116" i="1" s="1"/>
  <c r="S116" i="1" s="1"/>
  <c r="Q108" i="1"/>
  <c r="R108" i="1" s="1"/>
  <c r="Q124" i="1"/>
  <c r="R124" i="1" s="1"/>
  <c r="N119" i="1"/>
  <c r="O119" i="1" s="1"/>
  <c r="S119" i="1" s="1"/>
  <c r="Q103" i="1"/>
  <c r="R103" i="1" s="1"/>
  <c r="Q125" i="1"/>
  <c r="R125" i="1" s="1"/>
  <c r="N114" i="1"/>
  <c r="O114" i="1" s="1"/>
  <c r="S114" i="1" s="1"/>
  <c r="N109" i="1"/>
  <c r="O109" i="1" s="1"/>
  <c r="S109" i="1" s="1"/>
  <c r="Q114" i="1"/>
  <c r="R114" i="1" s="1"/>
  <c r="Q120" i="1"/>
  <c r="R120" i="1" s="1"/>
  <c r="N112" i="1"/>
  <c r="O112" i="1" s="1"/>
  <c r="S112" i="1" s="1"/>
  <c r="Q117" i="1"/>
  <c r="R117" i="1" s="1"/>
  <c r="N122" i="1"/>
  <c r="O122" i="1" s="1"/>
  <c r="S122" i="1" s="1"/>
  <c r="N106" i="1"/>
  <c r="O106" i="1" s="1"/>
  <c r="S106" i="1" s="1"/>
  <c r="Q119" i="1"/>
  <c r="R119" i="1" s="1"/>
  <c r="N111" i="1"/>
  <c r="O111" i="1" s="1"/>
  <c r="S111" i="1" s="1"/>
  <c r="Q106" i="1"/>
  <c r="R106" i="1" s="1"/>
  <c r="N103" i="1"/>
  <c r="O103" i="1" s="1"/>
  <c r="S103" i="1" s="1"/>
  <c r="N104" i="1"/>
  <c r="O104" i="1" s="1"/>
  <c r="S104" i="1" s="1"/>
  <c r="Q122" i="1"/>
  <c r="R122" i="1" s="1"/>
  <c r="Q121" i="1"/>
  <c r="R121" i="1" s="1"/>
  <c r="N113" i="1"/>
  <c r="O113" i="1" s="1"/>
  <c r="S113" i="1" s="1"/>
  <c r="N123" i="1"/>
  <c r="O123" i="1" s="1"/>
  <c r="S123" i="1" s="1"/>
  <c r="Q115" i="1"/>
  <c r="R115" i="1" s="1"/>
  <c r="Q107" i="1"/>
  <c r="R107" i="1" s="1"/>
  <c r="Q111" i="1"/>
  <c r="R111" i="1" s="1"/>
  <c r="N105" i="1"/>
  <c r="O105" i="1" s="1"/>
  <c r="S105" i="1" s="1"/>
  <c r="N124" i="1"/>
  <c r="O124" i="1" s="1"/>
  <c r="S124" i="1" s="1"/>
  <c r="Q123" i="1"/>
  <c r="R123" i="1" s="1"/>
  <c r="N118" i="1"/>
  <c r="O118" i="1" s="1"/>
  <c r="S118" i="1" s="1"/>
  <c r="Q110" i="1"/>
  <c r="R110" i="1" s="1"/>
  <c r="N107" i="1"/>
  <c r="O107" i="1" s="1"/>
  <c r="S107" i="1" s="1"/>
  <c r="Q116" i="1"/>
  <c r="R116" i="1" s="1"/>
  <c r="N121" i="1"/>
  <c r="O121" i="1" s="1"/>
  <c r="S121" i="1" s="1"/>
  <c r="Q105" i="1"/>
  <c r="R105" i="1" s="1"/>
  <c r="N108" i="1"/>
  <c r="O108" i="1" s="1"/>
  <c r="S108" i="1" s="1"/>
  <c r="Q113" i="1"/>
  <c r="R113" i="1" s="1"/>
  <c r="Q118" i="1"/>
  <c r="R118" i="1" s="1"/>
  <c r="N110" i="1"/>
  <c r="O110" i="1" s="1"/>
  <c r="S110" i="1" s="1"/>
  <c r="N115" i="1"/>
  <c r="O115" i="1" s="1"/>
  <c r="S115" i="1" s="1"/>
  <c r="Q102" i="1"/>
  <c r="R102" i="1" s="1"/>
  <c r="O102" i="1"/>
  <c r="S102" i="1" s="1"/>
  <c r="M81" i="1"/>
  <c r="N81" i="1" s="1"/>
  <c r="R81" i="1" s="1"/>
  <c r="P86" i="1"/>
  <c r="Q86" i="1" s="1"/>
  <c r="P88" i="1"/>
  <c r="Q88" i="1" s="1"/>
  <c r="P80" i="1"/>
  <c r="Q80" i="1" s="1"/>
  <c r="M91" i="1"/>
  <c r="N91" i="1" s="1"/>
  <c r="R91" i="1" s="1"/>
  <c r="M83" i="1"/>
  <c r="N83" i="1" s="1"/>
  <c r="R83" i="1" s="1"/>
  <c r="P93" i="1"/>
  <c r="Q93" i="1" s="1"/>
  <c r="P90" i="1"/>
  <c r="Q90" i="1" s="1"/>
  <c r="P82" i="1"/>
  <c r="Q82" i="1" s="1"/>
  <c r="M93" i="1"/>
  <c r="N93" i="1" s="1"/>
  <c r="R93" i="1" s="1"/>
  <c r="M86" i="1"/>
  <c r="N86" i="1" s="1"/>
  <c r="R86" i="1" s="1"/>
  <c r="M78" i="1"/>
  <c r="N78" i="1" s="1"/>
  <c r="R78" i="1" s="1"/>
  <c r="P91" i="1"/>
  <c r="Q91" i="1" s="1"/>
  <c r="P83" i="1"/>
  <c r="Q83" i="1" s="1"/>
  <c r="P78" i="1"/>
  <c r="Q78" i="1" s="1"/>
  <c r="M88" i="1"/>
  <c r="N88" i="1" s="1"/>
  <c r="R88" i="1" s="1"/>
  <c r="M85" i="1"/>
  <c r="N85" i="1" s="1"/>
  <c r="R85" i="1" s="1"/>
  <c r="P77" i="1"/>
  <c r="Q77" i="1" s="1"/>
  <c r="P85" i="1"/>
  <c r="Q85" i="1" s="1"/>
  <c r="P79" i="1"/>
  <c r="Q79" i="1" s="1"/>
  <c r="P81" i="1"/>
  <c r="Q81" i="1" s="1"/>
  <c r="P89" i="1"/>
  <c r="Q89" i="1" s="1"/>
  <c r="M77" i="1"/>
  <c r="N77" i="1" s="1"/>
  <c r="R77" i="1" s="1"/>
  <c r="P87" i="1"/>
  <c r="Q87" i="1" s="1"/>
  <c r="P92" i="1"/>
  <c r="Q92" i="1" s="1"/>
  <c r="M89" i="1"/>
  <c r="N89" i="1" s="1"/>
  <c r="R89" i="1" s="1"/>
  <c r="P84" i="1"/>
  <c r="Q84" i="1" s="1"/>
  <c r="M80" i="1"/>
  <c r="N80" i="1" s="1"/>
  <c r="R80" i="1" s="1"/>
  <c r="M84" i="1"/>
  <c r="N84" i="1" s="1"/>
  <c r="R84" i="1" s="1"/>
  <c r="M79" i="1"/>
  <c r="N79" i="1" s="1"/>
  <c r="R79" i="1" s="1"/>
  <c r="M92" i="1"/>
  <c r="N92" i="1" s="1"/>
  <c r="R92" i="1" s="1"/>
  <c r="M82" i="1"/>
  <c r="N82" i="1" s="1"/>
  <c r="R82" i="1" s="1"/>
  <c r="M87" i="1"/>
  <c r="N87" i="1" s="1"/>
  <c r="R87" i="1" s="1"/>
  <c r="M90" i="1"/>
  <c r="N90" i="1" s="1"/>
  <c r="R90" i="1" s="1"/>
  <c r="P76" i="1"/>
  <c r="Q76" i="1" s="1"/>
  <c r="N76" i="1"/>
  <c r="R76" i="1" s="1"/>
  <c r="P61" i="1"/>
  <c r="Q61" i="1" s="1"/>
  <c r="P63" i="1"/>
  <c r="Q63" i="1" s="1"/>
  <c r="P65" i="1"/>
  <c r="Q65" i="1" s="1"/>
  <c r="M64" i="1"/>
  <c r="M63" i="1"/>
  <c r="N63" i="1" s="1"/>
  <c r="R63" i="1" s="1"/>
  <c r="P58" i="1"/>
  <c r="Q58" i="1" s="1"/>
  <c r="M66" i="1"/>
  <c r="P66" i="1"/>
  <c r="Q66" i="1" s="1"/>
  <c r="M61" i="1"/>
  <c r="N61" i="1" s="1"/>
  <c r="R61" i="1" s="1"/>
  <c r="M62" i="1"/>
  <c r="N62" i="1" s="1"/>
  <c r="R62" i="1" s="1"/>
  <c r="P62" i="1"/>
  <c r="Q62" i="1" s="1"/>
  <c r="M65" i="1"/>
  <c r="N65" i="1" s="1"/>
  <c r="R65" i="1" s="1"/>
  <c r="P64" i="1"/>
  <c r="Q64" i="1" s="1"/>
  <c r="P59" i="1"/>
  <c r="Q59" i="1" s="1"/>
  <c r="P60" i="1"/>
  <c r="Q60" i="1" s="1"/>
  <c r="M60" i="1"/>
  <c r="N60" i="1" s="1"/>
  <c r="R60" i="1" s="1"/>
  <c r="M59" i="1"/>
  <c r="N59" i="1" s="1"/>
  <c r="R59" i="1" s="1"/>
  <c r="M57" i="1"/>
  <c r="N57" i="1" s="1"/>
  <c r="R57" i="1" s="1"/>
  <c r="P57" i="1"/>
  <c r="Q57" i="1" s="1"/>
  <c r="N64" i="1"/>
  <c r="R64" i="1" s="1"/>
  <c r="N56" i="1"/>
  <c r="R56" i="1" s="1"/>
  <c r="N54" i="1"/>
  <c r="R54" i="1" s="1"/>
  <c r="N53" i="1"/>
  <c r="R53" i="1" s="1"/>
  <c r="N52" i="1"/>
  <c r="R52" i="1" s="1"/>
  <c r="N50" i="1"/>
  <c r="R50" i="1" s="1"/>
  <c r="N51" i="1"/>
  <c r="R51" i="1" s="1"/>
  <c r="N49" i="1"/>
  <c r="R49" i="1" s="1"/>
  <c r="M36" i="1"/>
  <c r="Q36" i="1" s="1"/>
  <c r="N58" i="1"/>
  <c r="R58" i="1" s="1"/>
  <c r="N55" i="1"/>
  <c r="R55" i="1" s="1"/>
  <c r="N66" i="1"/>
  <c r="R66" i="1" s="1"/>
  <c r="M38" i="1"/>
  <c r="Q38" i="1" s="1"/>
  <c r="M37" i="1"/>
  <c r="Q37" i="1" s="1"/>
  <c r="M28" i="1"/>
  <c r="Q28" i="1" s="1"/>
  <c r="M16" i="1"/>
  <c r="Q16" i="1" s="1"/>
  <c r="M6" i="1"/>
  <c r="Q6" i="1" s="1"/>
  <c r="M19" i="1"/>
  <c r="Q19" i="1" s="1"/>
  <c r="M27" i="1"/>
  <c r="Q27" i="1" s="1"/>
  <c r="M17" i="1"/>
  <c r="Q17" i="1" s="1"/>
  <c r="M7" i="1"/>
  <c r="Q7" i="1" s="1"/>
  <c r="M5" i="1"/>
  <c r="Q5" i="1" s="1"/>
</calcChain>
</file>

<file path=xl/sharedStrings.xml><?xml version="1.0" encoding="utf-8"?>
<sst xmlns="http://schemas.openxmlformats.org/spreadsheetml/2006/main" count="1549" uniqueCount="248">
  <si>
    <r>
      <t>setup</t>
    </r>
    <r>
      <rPr>
        <sz val="10"/>
        <color rgb="FF000000"/>
        <rFont val="Consolas"/>
        <family val="3"/>
      </rPr>
      <t>=[545,423,587,387];</t>
    </r>
  </si>
  <si>
    <t>Setup cost for j= 4</t>
  </si>
  <si>
    <t>j</t>
  </si>
  <si>
    <t>SetC_j</t>
  </si>
  <si>
    <t>a</t>
  </si>
  <si>
    <t>b</t>
  </si>
  <si>
    <t>c</t>
  </si>
  <si>
    <t>d</t>
  </si>
  <si>
    <t>u</t>
  </si>
  <si>
    <t>v</t>
  </si>
  <si>
    <t>w</t>
  </si>
  <si>
    <t>Score</t>
  </si>
  <si>
    <t>Memb</t>
  </si>
  <si>
    <t>Centroid</t>
  </si>
  <si>
    <t>condition check</t>
  </si>
  <si>
    <r>
      <t>safety</t>
    </r>
    <r>
      <rPr>
        <sz val="10"/>
        <color rgb="FF000000"/>
        <rFont val="Consolas"/>
        <family val="3"/>
      </rPr>
      <t>=[45,34,56,49];</t>
    </r>
  </si>
  <si>
    <t>Safety cost for j=4</t>
  </si>
  <si>
    <t>SafC_j</t>
  </si>
  <si>
    <r>
      <t>col</t>
    </r>
    <r>
      <rPr>
        <sz val="10"/>
        <color rgb="FF000000"/>
        <rFont val="Consolas"/>
        <family val="3"/>
      </rPr>
      <t>=[445,575];</t>
    </r>
  </si>
  <si>
    <t>i</t>
  </si>
  <si>
    <t>ColC_i</t>
  </si>
  <si>
    <t>Collection cost for i=2</t>
  </si>
  <si>
    <t>Segregation cost for j=4</t>
  </si>
  <si>
    <r>
      <t>seg</t>
    </r>
    <r>
      <rPr>
        <sz val="10"/>
        <color rgb="FF000000"/>
        <rFont val="Consolas"/>
        <family val="3"/>
      </rPr>
      <t>=[2.4,3.2,2.6,1.8];</t>
    </r>
  </si>
  <si>
    <t>Handling cost for l=3, w=6</t>
  </si>
  <si>
    <r>
      <t>hand</t>
    </r>
    <r>
      <rPr>
        <sz val="10"/>
        <color rgb="FF000000"/>
        <rFont val="Consolas"/>
        <family val="3"/>
      </rPr>
      <t>=[[2.8,3.3,1.4,3.7,2.7,4.2],</t>
    </r>
  </si>
  <si>
    <t>[2.3,4.2,3.7,3.6,2.6,2.4],</t>
  </si>
  <si>
    <t>[3.2,3.7,4.1,1.7,2.4,3.2]];</t>
  </si>
  <si>
    <t>l</t>
  </si>
  <si>
    <t>HanC_l^w</t>
  </si>
  <si>
    <t>Member</t>
  </si>
  <si>
    <t>Value</t>
  </si>
  <si>
    <t>Treatment cost for l=3 w=6</t>
  </si>
  <si>
    <r>
      <t>treat</t>
    </r>
    <r>
      <rPr>
        <sz val="10"/>
        <color rgb="FF000000"/>
        <rFont val="Consolas"/>
        <family val="3"/>
      </rPr>
      <t>=[[5.7,4.2,4.6,6.4,4.6,4.2],</t>
    </r>
  </si>
  <si>
    <t>[5.1,5.5,4.8,4.3,5.3,4.1],</t>
  </si>
  <si>
    <t>[4.3,3.7,4.8,5.1,4.0,5.6]];</t>
  </si>
  <si>
    <t>TreC_l^w</t>
  </si>
  <si>
    <t>Transportation cost stage 1 for i=2 j=4 k1=3</t>
  </si>
  <si>
    <r>
      <t>transDT</t>
    </r>
    <r>
      <rPr>
        <sz val="10"/>
        <color rgb="FF000000"/>
        <rFont val="Consolas"/>
        <family val="3"/>
      </rPr>
      <t>=[[[9.4,7.5,4.6],[9.6,4.6,7.8],[6.7,4.5,5.7],[6.7,5.2,7.4]],</t>
    </r>
  </si>
  <si>
    <t>[[6.8,7.9,5.8],[6.9,9.1,8.4],[6.8,4.9,8.1],[5.7,8.5,6.9]]];</t>
  </si>
  <si>
    <t>k1</t>
  </si>
  <si>
    <t>TltC_ijk1</t>
  </si>
  <si>
    <t>Transportation cost stage 2 a for j=4 l=3 k2=3 w=6</t>
  </si>
  <si>
    <r>
      <t>transTT</t>
    </r>
    <r>
      <rPr>
        <sz val="10"/>
        <color rgb="FF000000"/>
        <rFont val="Consolas"/>
        <family val="3"/>
      </rPr>
      <t>=[[[[8.6,7.2,9.3,5.6,6.5,7.3],[5.8,7.8,6.8,4.5,8.1,6.4],[7.3,8.4,5.5,7.6,5.4,8.2]],</t>
    </r>
  </si>
  <si>
    <t>[[4.7,7.5,5.7,7.2,5.3,9.4],[5.5,6.6,7.2,8.5,4.7,6.3],[6.6,7.7,4.3,7.6,4.8,6.5]],</t>
  </si>
  <si>
    <t>[[6.6,4.3,7.6,9.4,3.6,6.8],[4.3,7.3,3.5,6.6,8.3,9.3],[4.3,6.4,8.3,4.5,7.2,9.6]]],</t>
  </si>
  <si>
    <t>[[[4.5,6.6,7.4,3.4,6.1,6.5],[5.5,6.6,4.7,5.2,6.3,5.8],[5.8,7.9,5.9,4.3,5.5,9.1]],</t>
  </si>
  <si>
    <t>[[4.4,6.5,3.5,6.2,9.3,7.3],[6.3,7.4,8.5,5.7,8.2,6.3],[7.2,5.2,6.4,8.2,5.1,6.3]],</t>
  </si>
  <si>
    <t>[[5.5,6.2,7.3,4.6,6.7,7.8],[3.3,4.4,6.2,7.5,3.2,5.5],[5.3,7.5,4.7,6.8,5.6,6.1]]],</t>
  </si>
  <si>
    <t>[[[5.4,6.6,3.4,2.3,4.4,4.5],[4.3,6.5,6.6,7.3,4.3,3.7],[6.2,4.5,6.6,7.6,5.2,3.2]],</t>
  </si>
  <si>
    <t>[[4.5,5.5,2.2,7.3,7.4,5.8],[7.9,5.5,6.2,3.9,7.6,7.3],[7.8,5.4,5.6,4.6,8.6,6.1]],</t>
  </si>
  <si>
    <t>[[6.4,4.5,6.1,4.3,7.3,2.9],[7.3,4.3,6.6,5.1,4.1,4.5],[6.3,4.5,6.1,7.2,6.5,7.1]]],</t>
  </si>
  <si>
    <t>[[[2.4,7.3,5.6,3.8,2.4,6.4],[5.6,2.8,4.6,3.7,3.8,7.3],[6.2,8.5,8.2,7.9,2.9,5.8]],</t>
  </si>
  <si>
    <t>[[4.6,7.5,7.8,5.7,8.5,7.8],[2.9,6.3,6.8,3.6,4.6,4.8],[7.4,6.7,4.6,6.7,8.9,5.8]],</t>
  </si>
  <si>
    <t>[[5.7,8.6,8.6,8.4,7.2,7.5],[4.7,8.5,8.5,7.9,4.6,6.8],[5.7,7.8,4.6,4.7,3.7,8.5]]]];</t>
  </si>
  <si>
    <t>k2</t>
  </si>
  <si>
    <t>TttC_jlk2^w</t>
  </si>
  <si>
    <t>Transportation cost stage 2 b for j=4 n=2 k4=3 w=6</t>
  </si>
  <si>
    <r>
      <t>transTD</t>
    </r>
    <r>
      <rPr>
        <sz val="10"/>
        <color rgb="FF000000"/>
        <rFont val="Consolas"/>
        <family val="3"/>
      </rPr>
      <t>=[[[[2.4,3.4,2.5,5.2,3.5,5.6],[4.5,3.5,6.3,4.4,2.3,4.3],[3.4,2.3,4.5,5.6,3.5,2.4]],</t>
    </r>
  </si>
  <si>
    <t>[[3.5,3.4,4.5,3.5,2.4,5.5],[1.5,3.8,3.8,3.6,2.5,1.5],[2.5,5.3,2.5,1.7,3.6,2.6]]],</t>
  </si>
  <si>
    <t>[[[5.6,2.6,5.7,2.4,5.2,4.6],[4.1,3.3,2.6,2.1,2.7,1.9],[5.6,2.5,1.6,3.7,3.8,4.6]],</t>
  </si>
  <si>
    <t>[[4.2,4.5,2.5,2.8,1.7,3.8],[3.6,4.1,2.8,2.5,1.9,4.2],[4.6,5.1,3.7,1.6,2.5,2.6]]],</t>
  </si>
  <si>
    <t>[[[5.2,4.6,2.6,2.9,1.4,3.6],[2.6,4.6,3.7,2.7,2.6,2.7],[2.7,2.8,4.2,3.7,5.3,2.9]],</t>
  </si>
  <si>
    <t>[[4.7,3.7,3.8,1.9,2.5,2.9],[2.6,2.1,3.2,6.2,1.7,1.5],[1.3,1.8,4.1,3.6,3.4,2.5]]],</t>
  </si>
  <si>
    <t>[[[3.4,6.4,4.6,2.4,3.6,4.6],[1.4,3.5,2.6,3.6,2.4,5.7],[3.6,3.6,2.7,2.2,2.5,1.8]],</t>
  </si>
  <si>
    <t>[[1.4,1.9,2.1,3.5,1.4,2.6],[2.4,1.4,5.3,5.2,1.6,3.4],[5.3,2.6,2.5,1.7,1.5,5.6]]]];</t>
  </si>
  <si>
    <t>n</t>
  </si>
  <si>
    <t>k4</t>
  </si>
  <si>
    <t>TtdC_jnk4^w</t>
  </si>
  <si>
    <r>
      <t>transTM</t>
    </r>
    <r>
      <rPr>
        <sz val="10"/>
        <color rgb="FF000000"/>
        <rFont val="Consolas"/>
        <family val="3"/>
      </rPr>
      <t>=[[[[2.4,6.6,7.4,5.8,3.7,6.3],[6.8,4.6,5.7,4.7,3.6,4.7]],</t>
    </r>
  </si>
  <si>
    <t>TtmC_lmk3^w</t>
  </si>
  <si>
    <t>m</t>
  </si>
  <si>
    <t>k3</t>
  </si>
  <si>
    <t>Transportation cost stage 3 for l=3 m=2 k3=2 w=6</t>
  </si>
  <si>
    <r>
      <t>emis_1</t>
    </r>
    <r>
      <rPr>
        <sz val="10"/>
        <color rgb="FF000000"/>
        <rFont val="Consolas"/>
        <family val="3"/>
      </rPr>
      <t>=[2.3,2.4,1.3];</t>
    </r>
  </si>
  <si>
    <r>
      <t>emis_2</t>
    </r>
    <r>
      <rPr>
        <sz val="10"/>
        <color rgb="FF000000"/>
        <rFont val="Consolas"/>
        <family val="3"/>
      </rPr>
      <t>=[[0.6,0.7,0.3,0.4,0.4,0.3],</t>
    </r>
  </si>
  <si>
    <t>[0.5,0.3,0.6,0.4,0.6,0.3],</t>
  </si>
  <si>
    <t>[0.4,0.6,0.2,0.5,0.7,0.3]];</t>
  </si>
  <si>
    <r>
      <t>emis_3</t>
    </r>
    <r>
      <rPr>
        <sz val="10"/>
        <color rgb="FF000000"/>
        <rFont val="Consolas"/>
        <family val="3"/>
      </rPr>
      <t>=[[0.3,0.4,0.3,0.2,0.5,0.7],</t>
    </r>
  </si>
  <si>
    <t>[0.6,0.7,0.3,0.8,0.4,0.6]];</t>
  </si>
  <si>
    <r>
      <t>emis_4</t>
    </r>
    <r>
      <rPr>
        <sz val="10"/>
        <color rgb="FF000000"/>
        <rFont val="Consolas"/>
        <family val="3"/>
      </rPr>
      <t>=[[0.3,0.5,0.5,0.7,0.2,0.4],</t>
    </r>
  </si>
  <si>
    <t>[0.5,0.7,0.2,0.5,0.1,0.5],</t>
  </si>
  <si>
    <t>[0.4,0.7,0.8,0.3,0.8,0.4]];</t>
  </si>
  <si>
    <t>Em1_k1</t>
  </si>
  <si>
    <t>Em2_k2^w</t>
  </si>
  <si>
    <t>Emission stage 1 for k1=3</t>
  </si>
  <si>
    <t>Emission stage 2 for k2=3 w=6</t>
  </si>
  <si>
    <t>Emission stage 2 for k4=3 w=6</t>
  </si>
  <si>
    <t>Emission stage 3 k3=2 w=6</t>
  </si>
  <si>
    <t>Em4_k4^w</t>
  </si>
  <si>
    <t>Em3_k3^w</t>
  </si>
  <si>
    <r>
      <t>speed_1</t>
    </r>
    <r>
      <rPr>
        <sz val="10"/>
        <color rgb="FF000000"/>
        <rFont val="Consolas"/>
        <family val="3"/>
      </rPr>
      <t>=[40,30,34];</t>
    </r>
  </si>
  <si>
    <r>
      <t>speed_2</t>
    </r>
    <r>
      <rPr>
        <sz val="10"/>
        <color rgb="FF000000"/>
        <rFont val="Consolas"/>
        <family val="3"/>
      </rPr>
      <t>=[35,44,46];</t>
    </r>
  </si>
  <si>
    <r>
      <t>speed_3</t>
    </r>
    <r>
      <rPr>
        <sz val="10"/>
        <color rgb="FF000000"/>
        <rFont val="Consolas"/>
        <family val="3"/>
      </rPr>
      <t>=[43,54];</t>
    </r>
  </si>
  <si>
    <r>
      <t>speed_4</t>
    </r>
    <r>
      <rPr>
        <sz val="10"/>
        <color rgb="FF000000"/>
        <rFont val="Consolas"/>
        <family val="3"/>
      </rPr>
      <t>=[44,31,42];</t>
    </r>
  </si>
  <si>
    <r>
      <t>treat_emis</t>
    </r>
    <r>
      <rPr>
        <sz val="10"/>
        <color rgb="FF000000"/>
        <rFont val="Consolas"/>
        <family val="3"/>
      </rPr>
      <t>=[[0.5,0,0.1,0.7,0,0],</t>
    </r>
  </si>
  <si>
    <t>[0.5,0,0.5,0.6,0,0],</t>
  </si>
  <si>
    <t>[0.4,0,0.3,0.6,0,0]];</t>
  </si>
  <si>
    <t>Speed k1=3</t>
  </si>
  <si>
    <t>Sp1_k1</t>
  </si>
  <si>
    <t>Speed k2=3</t>
  </si>
  <si>
    <t>Sp2_k2</t>
  </si>
  <si>
    <t>Sp3_k3</t>
  </si>
  <si>
    <t>Speed k4=3</t>
  </si>
  <si>
    <t>Sp4_k4</t>
  </si>
  <si>
    <t>Treatment emission for l=3 w=6</t>
  </si>
  <si>
    <t>TreE_l^w</t>
  </si>
  <si>
    <t>Speed k3=2</t>
  </si>
  <si>
    <r>
      <t>allwaste_loc</t>
    </r>
    <r>
      <rPr>
        <sz val="10"/>
        <color rgb="FF000000"/>
        <rFont val="Consolas"/>
        <family val="3"/>
      </rPr>
      <t>=[659,756];</t>
    </r>
  </si>
  <si>
    <r>
      <t>cap_temp_cen</t>
    </r>
    <r>
      <rPr>
        <sz val="10"/>
        <color rgb="FF000000"/>
        <rFont val="Consolas"/>
        <family val="3"/>
      </rPr>
      <t>=[351,348,337,390];</t>
    </r>
  </si>
  <si>
    <r>
      <t>cap_veh_1</t>
    </r>
    <r>
      <rPr>
        <sz val="10"/>
        <color rgb="FF000000"/>
        <rFont val="Consolas"/>
        <family val="3"/>
      </rPr>
      <t>=[500,500,500];</t>
    </r>
  </si>
  <si>
    <t>Waste generated at i=2</t>
  </si>
  <si>
    <t>AllW_i</t>
  </si>
  <si>
    <t>Capacity of temporary collection center j=4</t>
  </si>
  <si>
    <t>TempCap_j</t>
  </si>
  <si>
    <t>Capacity of vehicke k1=3</t>
  </si>
  <si>
    <t>VCap1_k1</t>
  </si>
  <si>
    <r>
      <t>sup_temp_cen</t>
    </r>
    <r>
      <rPr>
        <sz val="10"/>
        <color rgb="FF000000"/>
        <rFont val="Consolas"/>
        <family val="3"/>
      </rPr>
      <t>=[[63,65,57,55,60,51],</t>
    </r>
  </si>
  <si>
    <t>[67,55,54,62,52,58],</t>
  </si>
  <si>
    <t>[51,61,58,53,51,63],</t>
  </si>
  <si>
    <t>[64,55,62,76,60,69]];</t>
  </si>
  <si>
    <r>
      <t>dem_treat_cen</t>
    </r>
    <r>
      <rPr>
        <sz val="10"/>
        <color rgb="FF000000"/>
        <rFont val="Consolas"/>
        <family val="3"/>
      </rPr>
      <t>=[[70,0,69,72,0,0],</t>
    </r>
  </si>
  <si>
    <t>[73,0,64,76,0,0],</t>
  </si>
  <si>
    <t>[88,0,83,87,0,0]];</t>
  </si>
  <si>
    <r>
      <t>cap_treat_cen</t>
    </r>
    <r>
      <rPr>
        <sz val="10"/>
        <color rgb="FF000000"/>
        <rFont val="Consolas"/>
        <family val="3"/>
      </rPr>
      <t>=[450,400,460];</t>
    </r>
  </si>
  <si>
    <t>Capacity of treatment center l=3</t>
  </si>
  <si>
    <t>TreCap_l</t>
  </si>
  <si>
    <t>Supply of treatable and untreatable waste at j=4 and w=6</t>
  </si>
  <si>
    <t>Stemp_j^w</t>
  </si>
  <si>
    <t>Demand of treatable waste at treatment center l=3 w=6</t>
  </si>
  <si>
    <t>DTrea_l^w</t>
  </si>
  <si>
    <r>
      <t>cap_veh_2</t>
    </r>
    <r>
      <rPr>
        <sz val="10"/>
        <color rgb="FF000000"/>
        <rFont val="Consolas"/>
        <family val="3"/>
      </rPr>
      <t>=[[80,0,100,85,0,0],</t>
    </r>
  </si>
  <si>
    <t>[100,0,90,80,0,0],</t>
  </si>
  <si>
    <t>[90,0,80,100,0,0]];</t>
  </si>
  <si>
    <r>
      <t>cap_veh_4</t>
    </r>
    <r>
      <rPr>
        <sz val="10"/>
        <color rgb="FF000000"/>
        <rFont val="Consolas"/>
        <family val="3"/>
      </rPr>
      <t>=[[40,100,33,35,100,100],</t>
    </r>
  </si>
  <si>
    <t>[35,100,50,32,100,100],</t>
  </si>
  <si>
    <t>[34,100,35,43,100,100]];</t>
  </si>
  <si>
    <t>Capacity of vehicle k2=3 w=6</t>
  </si>
  <si>
    <t>VCap2_k2^w</t>
  </si>
  <si>
    <t>Capacity of vehicle k4=3 w=6</t>
  </si>
  <si>
    <t>VCap4_k4</t>
  </si>
  <si>
    <r>
      <t>sup_treat_cen</t>
    </r>
    <r>
      <rPr>
        <sz val="10"/>
        <color rgb="FF000000"/>
        <rFont val="Consolas"/>
        <family val="3"/>
      </rPr>
      <t>=[[69,0,68,69,0,0],</t>
    </r>
  </si>
  <si>
    <t>[67,0,64,74,0,0],</t>
  </si>
  <si>
    <t>[72,0,73,86,0,0]];</t>
  </si>
  <si>
    <r>
      <t>dem_market</t>
    </r>
    <r>
      <rPr>
        <sz val="10"/>
        <color rgb="FF000000"/>
        <rFont val="Consolas"/>
        <family val="3"/>
      </rPr>
      <t>=[[89,0,105,89,0,0],</t>
    </r>
  </si>
  <si>
    <t>[77,0,99,102,0,0]];</t>
  </si>
  <si>
    <r>
      <t>cap_veh_3</t>
    </r>
    <r>
      <rPr>
        <sz val="10"/>
        <color rgb="FF000000"/>
        <rFont val="Consolas"/>
        <family val="3"/>
      </rPr>
      <t>=[[100,0,100,110,0,0],</t>
    </r>
  </si>
  <si>
    <t>[100,0,104,105,0,0]];</t>
  </si>
  <si>
    <t>Capacity of vehicle k3=2 w=6</t>
  </si>
  <si>
    <t>Vcap_k3^w</t>
  </si>
  <si>
    <t>supply of treated waste at treatment center l=3 w=6</t>
  </si>
  <si>
    <t>Stre_l^w</t>
  </si>
  <si>
    <t>Demand of treated waste in market m=2 w=6</t>
  </si>
  <si>
    <t>Dmar_m^w</t>
  </si>
  <si>
    <t>Carbon cap</t>
  </si>
  <si>
    <r>
      <t>carbcap_treat_cen</t>
    </r>
    <r>
      <rPr>
        <sz val="10"/>
        <color rgb="FF000000"/>
        <rFont val="Consolas"/>
        <family val="3"/>
      </rPr>
      <t>=500;</t>
    </r>
  </si>
  <si>
    <t>Ccap</t>
  </si>
  <si>
    <t>Cost sensitivity</t>
  </si>
  <si>
    <t>Cost</t>
  </si>
  <si>
    <t>Emis</t>
  </si>
  <si>
    <t>GP</t>
  </si>
  <si>
    <t>GCM</t>
  </si>
  <si>
    <t>[[5.7,9.5,7.8,4.7,4.8,5.7],[5.7,9.2,7.9,5.6,6.8,5.8]]],</t>
  </si>
  <si>
    <t>[[[5.7,3.6,7.6,8.5,7.5,8.5],[5.1,5.3,6.9,6.8,3.7,4.7]],</t>
  </si>
  <si>
    <t>[[5.7,7.7,4.7,8.5,6.8,5.7],[4.6,5.6,4.6,6.8,8.3,7.1]]],</t>
  </si>
  <si>
    <t>[[[6.3,7.5,3.6,2.6,5.7,3.6],[3.5,3.7,8.7,4.7,3.7,2.8]],</t>
  </si>
  <si>
    <t xml:space="preserve">[[4.7,8.5,8.7,3.6,6.8,6.7],[6.7,4.7,5.7,4.7,8.9,8.5]]]]; </t>
  </si>
  <si>
    <r>
      <t>sell</t>
    </r>
    <r>
      <rPr>
        <sz val="10"/>
        <color rgb="FF000000"/>
        <rFont val="Consolas"/>
        <family val="3"/>
      </rPr>
      <t>=[[2.8,3.3,1.4,3.7,2.7,4.2],</t>
    </r>
  </si>
  <si>
    <t>[2.3,4.2,3.7,3.6,2.6,2.4]];</t>
  </si>
  <si>
    <t>Selling cost of w=6 waste type at the m=2 market</t>
  </si>
  <si>
    <t>SellC_m^w</t>
  </si>
  <si>
    <t>emission</t>
  </si>
  <si>
    <t>min cost</t>
  </si>
  <si>
    <t>min emis</t>
  </si>
  <si>
    <t>compromise</t>
  </si>
  <si>
    <t xml:space="preserve">min </t>
  </si>
  <si>
    <t>max</t>
  </si>
  <si>
    <t>Emission sensitivity</t>
  </si>
  <si>
    <t>emis</t>
  </si>
  <si>
    <t>Collection emission at i=2 location</t>
  </si>
  <si>
    <t>ColE_i</t>
  </si>
  <si>
    <t>emission during storage of w=6 waste at j=</t>
  </si>
  <si>
    <t>StoE_j^w</t>
  </si>
  <si>
    <r>
      <t>coll_emis</t>
    </r>
    <r>
      <rPr>
        <sz val="10"/>
        <color rgb="FF000000"/>
        <rFont val="Consolas"/>
        <family val="3"/>
      </rPr>
      <t>=[2.3,2.2];</t>
    </r>
  </si>
  <si>
    <r>
      <t>store_emis</t>
    </r>
    <r>
      <rPr>
        <sz val="10"/>
        <color rgb="FF000000"/>
        <rFont val="Consolas"/>
        <family val="3"/>
      </rPr>
      <t>=[[1.8,1.3,1.4,1.7,1.0,1.2],</t>
    </r>
  </si>
  <si>
    <t>[1.3,1.7,1.3,1.4,1.1,1.8],</t>
  </si>
  <si>
    <t>[1.6,1.2,1.7,1.2,1.7,1.6],</t>
  </si>
  <si>
    <t>[1.3,1.2,1.5,1.3,1.8,1.4]];</t>
  </si>
  <si>
    <t>[815497.45,4741.777256767]</t>
  </si>
  <si>
    <t>[818710.3,4840.704403087]</t>
  </si>
  <si>
    <t>emis1</t>
  </si>
  <si>
    <t>emis2</t>
  </si>
  <si>
    <t>emis4</t>
  </si>
  <si>
    <t>emis3</t>
  </si>
  <si>
    <t>speed1</t>
  </si>
  <si>
    <t>speed2</t>
  </si>
  <si>
    <t>speed3</t>
  </si>
  <si>
    <t>speed4</t>
  </si>
  <si>
    <t>treat</t>
  </si>
  <si>
    <t>collection</t>
  </si>
  <si>
    <t>storage</t>
  </si>
  <si>
    <t>treatment</t>
  </si>
  <si>
    <t>EM1</t>
  </si>
  <si>
    <t>EM2</t>
  </si>
  <si>
    <t>EM3</t>
  </si>
  <si>
    <t>EM4</t>
  </si>
  <si>
    <t>SP1</t>
  </si>
  <si>
    <t>EM</t>
  </si>
  <si>
    <t>SP2</t>
  </si>
  <si>
    <t>SP3</t>
  </si>
  <si>
    <t>SP4</t>
  </si>
  <si>
    <t>SP</t>
  </si>
  <si>
    <t>col</t>
  </si>
  <si>
    <t>sto</t>
  </si>
  <si>
    <t>tre</t>
  </si>
  <si>
    <t>setup</t>
  </si>
  <si>
    <t>safety</t>
  </si>
  <si>
    <t>coll</t>
  </si>
  <si>
    <t>seg</t>
  </si>
  <si>
    <t>hand</t>
  </si>
  <si>
    <t>tr ij</t>
  </si>
  <si>
    <t>tr jl</t>
  </si>
  <si>
    <t>tr jn</t>
  </si>
  <si>
    <t>tr lm</t>
  </si>
  <si>
    <t>sell</t>
  </si>
  <si>
    <t>min</t>
  </si>
  <si>
    <t>TRjl</t>
  </si>
  <si>
    <t>TRij</t>
  </si>
  <si>
    <t>TRjn</t>
  </si>
  <si>
    <t>TR</t>
  </si>
  <si>
    <t>TRlm</t>
  </si>
  <si>
    <t>CO</t>
  </si>
  <si>
    <t>SET</t>
  </si>
  <si>
    <t>SAF</t>
  </si>
  <si>
    <t>SEG</t>
  </si>
  <si>
    <t>HAN</t>
  </si>
  <si>
    <t>TRE</t>
  </si>
  <si>
    <t>SEL</t>
  </si>
  <si>
    <t xml:space="preserve"> </t>
  </si>
  <si>
    <t>Emission</t>
  </si>
  <si>
    <t xml:space="preserve"> Cost</t>
  </si>
  <si>
    <r>
      <t>coll_emis</t>
    </r>
    <r>
      <rPr>
        <sz val="10"/>
        <color rgb="FF000000"/>
        <rFont val="Consolas"/>
        <family val="3"/>
      </rPr>
      <t>=[1.3,1.2];</t>
    </r>
  </si>
  <si>
    <t>[0.3,0.7,0.3,0.4,0.1,0.8],</t>
  </si>
  <si>
    <t>[0.6,0.2,0.7,0.2,0.7,0.6],</t>
  </si>
  <si>
    <t>[0.3,0.2,0.5,0.3,0.8,0.4]];</t>
  </si>
  <si>
    <r>
      <t>safety</t>
    </r>
    <r>
      <rPr>
        <sz val="10"/>
        <color rgb="FF000000"/>
        <rFont val="Consolas"/>
        <family val="3"/>
      </rPr>
      <t>=[35,34,36,39];</t>
    </r>
  </si>
  <si>
    <t>emission during storage of w=6 waste at j=4</t>
  </si>
  <si>
    <r>
      <t>store_emis</t>
    </r>
    <r>
      <rPr>
        <sz val="10"/>
        <color rgb="FF000000"/>
        <rFont val="Consolas"/>
        <family val="3"/>
      </rPr>
      <t>=[[0.8,0.3,0.4,0.7,0.5,0.2],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</si>
</sst>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0"/>
    <numFmt numFmtId="167" formatCode="0.0000"/>
  </numFmts>
  <fonts count="9" x14ac:knownFonts="1">
    <font>
      <sz val="11"/>
      <color theme="1"/>
      <name val="Aptos Narrow"/>
      <family val="2"/>
      <scheme val="minor"/>
    </font>
    <font>
      <sz val="10"/>
      <color rgb="FF000000"/>
      <name val="Consolas"/>
      <family val="3"/>
    </font>
    <font>
      <sz val="10"/>
      <color rgb="FF404080"/>
      <name val="Consolas"/>
      <family val="3"/>
    </font>
    <font>
      <sz val="11"/>
      <name val="Aptos Narrow"/>
      <family val="2"/>
      <scheme val="minor"/>
    </font>
    <font>
      <sz val="11"/>
      <color theme="1"/>
      <name val="Aptos"/>
      <family val="2"/>
    </font>
    <font>
      <sz val="10"/>
      <color rgb="FF008000"/>
      <name val="Consolas"/>
      <family val="3"/>
    </font>
    <font>
      <sz val="10"/>
      <color rgb="FF000080"/>
      <name val="Consolas"/>
      <family val="3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2" fontId="0" fillId="5" borderId="0" xfId="0" applyNumberFormat="1" applyFill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/>
    <xf numFmtId="1" fontId="0" fillId="0" borderId="0" xfId="0" applyNumberFormat="1"/>
    <xf numFmtId="0" fontId="0" fillId="2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5" fillId="0" borderId="0" xfId="0" applyFont="1" applyAlignment="1">
      <alignment vertical="center"/>
    </xf>
    <xf numFmtId="9" fontId="0" fillId="0" borderId="0" xfId="0" applyNumberFormat="1"/>
    <xf numFmtId="0" fontId="6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6" fillId="7" borderId="0" xfId="0" applyFont="1" applyFill="1"/>
    <xf numFmtId="0" fontId="6" fillId="0" borderId="0" xfId="0" applyFont="1" applyAlignment="1">
      <alignment vertical="center"/>
    </xf>
    <xf numFmtId="0" fontId="0" fillId="0" borderId="3" xfId="0" applyBorder="1"/>
    <xf numFmtId="0" fontId="0" fillId="0" borderId="4" xfId="0" applyBorder="1"/>
    <xf numFmtId="0" fontId="0" fillId="6" borderId="4" xfId="0" applyFill="1" applyBorder="1"/>
    <xf numFmtId="0" fontId="0" fillId="6" borderId="5" xfId="0" applyFill="1" applyBorder="1"/>
    <xf numFmtId="0" fontId="0" fillId="0" borderId="6" xfId="0" applyBorder="1"/>
    <xf numFmtId="0" fontId="6" fillId="0" borderId="7" xfId="0" applyFont="1" applyBorder="1"/>
    <xf numFmtId="0" fontId="0" fillId="6" borderId="7" xfId="0" applyFill="1" applyBorder="1"/>
    <xf numFmtId="0" fontId="0" fillId="0" borderId="7" xfId="0" applyBorder="1"/>
    <xf numFmtId="0" fontId="0" fillId="0" borderId="8" xfId="0" applyBorder="1"/>
    <xf numFmtId="0" fontId="6" fillId="0" borderId="1" xfId="0" applyFont="1" applyBorder="1"/>
    <xf numFmtId="0" fontId="6" fillId="0" borderId="9" xfId="0" applyFont="1" applyBorder="1"/>
    <xf numFmtId="0" fontId="6" fillId="0" borderId="7" xfId="0" applyFont="1" applyBorder="1" applyAlignment="1">
      <alignment vertical="center"/>
    </xf>
    <xf numFmtId="9" fontId="0" fillId="0" borderId="6" xfId="0" applyNumberFormat="1" applyBorder="1"/>
    <xf numFmtId="9" fontId="0" fillId="0" borderId="8" xfId="0" applyNumberFormat="1" applyBorder="1"/>
    <xf numFmtId="0" fontId="0" fillId="0" borderId="9" xfId="0" applyBorder="1"/>
    <xf numFmtId="164" fontId="0" fillId="0" borderId="7" xfId="0" applyNumberFormat="1" applyBorder="1"/>
    <xf numFmtId="164" fontId="0" fillId="0" borderId="1" xfId="0" applyNumberFormat="1" applyBorder="1"/>
    <xf numFmtId="164" fontId="0" fillId="0" borderId="9" xfId="0" applyNumberFormat="1" applyBorder="1"/>
    <xf numFmtId="166" fontId="0" fillId="0" borderId="7" xfId="0" applyNumberFormat="1" applyBorder="1"/>
    <xf numFmtId="166" fontId="0" fillId="0" borderId="1" xfId="0" applyNumberFormat="1" applyBorder="1"/>
    <xf numFmtId="166" fontId="0" fillId="0" borderId="9" xfId="0" applyNumberFormat="1" applyBorder="1"/>
    <xf numFmtId="167" fontId="0" fillId="0" borderId="7" xfId="0" applyNumberFormat="1" applyBorder="1"/>
    <xf numFmtId="167" fontId="0" fillId="0" borderId="1" xfId="0" applyNumberFormat="1" applyBorder="1"/>
    <xf numFmtId="167" fontId="0" fillId="0" borderId="9" xfId="0" applyNumberFormat="1" applyBorder="1"/>
    <xf numFmtId="0" fontId="6" fillId="7" borderId="1" xfId="0" applyFont="1" applyFill="1" applyBorder="1"/>
    <xf numFmtId="0" fontId="6" fillId="7" borderId="9" xfId="0" applyFont="1" applyFill="1" applyBorder="1"/>
    <xf numFmtId="166" fontId="0" fillId="0" borderId="0" xfId="0" applyNumberFormat="1"/>
    <xf numFmtId="167" fontId="0" fillId="0" borderId="0" xfId="0" applyNumberFormat="1"/>
    <xf numFmtId="0" fontId="2" fillId="0" borderId="6" xfId="0" applyFont="1" applyBorder="1"/>
    <xf numFmtId="9" fontId="0" fillId="0" borderId="7" xfId="0" applyNumberFormat="1" applyBorder="1"/>
    <xf numFmtId="0" fontId="0" fillId="2" borderId="7" xfId="0" applyFill="1" applyBorder="1"/>
    <xf numFmtId="0" fontId="2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2" fontId="4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Sheet1!$R$7</c:f>
              <c:strCache>
                <c:ptCount val="1"/>
                <c:pt idx="0">
                  <c:v>1%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Sheet1!$S$5:$Z$6</c:f>
              <c:multiLvlStrCache>
                <c:ptCount val="8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  <c:pt idx="6">
                    <c:v>GP</c:v>
                  </c:pt>
                  <c:pt idx="7">
                    <c:v>GCM</c:v>
                  </c:pt>
                </c:lvl>
                <c:lvl>
                  <c:pt idx="0">
                    <c:v>EM1</c:v>
                  </c:pt>
                  <c:pt idx="2">
                    <c:v>EM2</c:v>
                  </c:pt>
                  <c:pt idx="4">
                    <c:v>EM3</c:v>
                  </c:pt>
                  <c:pt idx="6">
                    <c:v>EM4</c:v>
                  </c:pt>
                </c:lvl>
              </c:multiLvlStrCache>
            </c:multiLvlStrRef>
          </c:cat>
          <c:val>
            <c:numRef>
              <c:f>Sheet1!$S$7:$Z$7</c:f>
              <c:numCache>
                <c:formatCode>0.000</c:formatCode>
                <c:ptCount val="8"/>
                <c:pt idx="0">
                  <c:v>6.189096213123986E-2</c:v>
                </c:pt>
                <c:pt idx="1">
                  <c:v>5.1846982362814563E-2</c:v>
                </c:pt>
                <c:pt idx="2">
                  <c:v>5.0550816497701547E-3</c:v>
                </c:pt>
                <c:pt idx="3">
                  <c:v>3.9394968359849512E-3</c:v>
                </c:pt>
                <c:pt idx="4">
                  <c:v>2.3757673764665073E-3</c:v>
                </c:pt>
                <c:pt idx="5">
                  <c:v>2.0146912186556794E-3</c:v>
                </c:pt>
                <c:pt idx="6">
                  <c:v>3.7676348277670968E-3</c:v>
                </c:pt>
                <c:pt idx="7">
                  <c:v>1.8457523890549781E-3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8-43D1-82DA-6E4C46A23199}"/>
            </c:ext>
          </c:extLst>
        </c:ser>
        <c:ser>
          <c:idx val="1"/>
          <c:order val="1"/>
          <c:tx>
            <c:strRef>
              <c:f>Sheet1!$R$8</c:f>
              <c:strCache>
                <c:ptCount val="1"/>
                <c:pt idx="0">
                  <c:v>2%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Sheet1!$S$5:$Z$6</c:f>
              <c:multiLvlStrCache>
                <c:ptCount val="8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  <c:pt idx="6">
                    <c:v>GP</c:v>
                  </c:pt>
                  <c:pt idx="7">
                    <c:v>GCM</c:v>
                  </c:pt>
                </c:lvl>
                <c:lvl>
                  <c:pt idx="0">
                    <c:v>EM1</c:v>
                  </c:pt>
                  <c:pt idx="2">
                    <c:v>EM2</c:v>
                  </c:pt>
                  <c:pt idx="4">
                    <c:v>EM3</c:v>
                  </c:pt>
                  <c:pt idx="6">
                    <c:v>EM4</c:v>
                  </c:pt>
                </c:lvl>
              </c:multiLvlStrCache>
            </c:multiLvlStrRef>
          </c:cat>
          <c:val>
            <c:numRef>
              <c:f>Sheet1!$S$8:$Z$8</c:f>
              <c:numCache>
                <c:formatCode>0.000</c:formatCode>
                <c:ptCount val="8"/>
                <c:pt idx="0">
                  <c:v>0.12378192426247972</c:v>
                </c:pt>
                <c:pt idx="1">
                  <c:v>0.10304322447931762</c:v>
                </c:pt>
                <c:pt idx="2">
                  <c:v>1.0110163278872982E-2</c:v>
                </c:pt>
                <c:pt idx="3">
                  <c:v>1.4332270226953618E-2</c:v>
                </c:pt>
                <c:pt idx="4">
                  <c:v>4.7515347529330145E-3</c:v>
                </c:pt>
                <c:pt idx="5">
                  <c:v>4.0293824583906837E-3</c:v>
                </c:pt>
                <c:pt idx="6">
                  <c:v>7.535269676182732E-3</c:v>
                </c:pt>
                <c:pt idx="7">
                  <c:v>2.935265649631784E-3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B8-43D1-82DA-6E4C46A23199}"/>
            </c:ext>
          </c:extLst>
        </c:ser>
        <c:ser>
          <c:idx val="2"/>
          <c:order val="2"/>
          <c:tx>
            <c:strRef>
              <c:f>Sheet1!$R$9</c:f>
              <c:strCache>
                <c:ptCount val="1"/>
                <c:pt idx="0">
                  <c:v>3%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Sheet1!$S$5:$Z$6</c:f>
              <c:multiLvlStrCache>
                <c:ptCount val="8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  <c:pt idx="6">
                    <c:v>GP</c:v>
                  </c:pt>
                  <c:pt idx="7">
                    <c:v>GCM</c:v>
                  </c:pt>
                </c:lvl>
                <c:lvl>
                  <c:pt idx="0">
                    <c:v>EM1</c:v>
                  </c:pt>
                  <c:pt idx="2">
                    <c:v>EM2</c:v>
                  </c:pt>
                  <c:pt idx="4">
                    <c:v>EM3</c:v>
                  </c:pt>
                  <c:pt idx="6">
                    <c:v>EM4</c:v>
                  </c:pt>
                </c:lvl>
              </c:multiLvlStrCache>
            </c:multiLvlStrRef>
          </c:cat>
          <c:val>
            <c:numRef>
              <c:f>Sheet1!$S$9:$Z$9</c:f>
              <c:numCache>
                <c:formatCode>0.000</c:formatCode>
                <c:ptCount val="8"/>
                <c:pt idx="0">
                  <c:v>0.1856728864143869</c:v>
                </c:pt>
                <c:pt idx="1">
                  <c:v>0.15052982138318408</c:v>
                </c:pt>
                <c:pt idx="2">
                  <c:v>1.5165244928643136E-2</c:v>
                </c:pt>
                <c:pt idx="3">
                  <c:v>1.8335034501236403E-2</c:v>
                </c:pt>
                <c:pt idx="4">
                  <c:v>7.1273021294183114E-3</c:v>
                </c:pt>
                <c:pt idx="5">
                  <c:v>6.0440736770463631E-3</c:v>
                </c:pt>
                <c:pt idx="6">
                  <c:v>1.1302904524617154E-2</c:v>
                </c:pt>
                <c:pt idx="7">
                  <c:v>1.4201723247107863E-2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B8-43D1-82DA-6E4C46A23199}"/>
            </c:ext>
          </c:extLst>
        </c:ser>
        <c:ser>
          <c:idx val="3"/>
          <c:order val="3"/>
          <c:tx>
            <c:strRef>
              <c:f>Sheet1!$R$10</c:f>
              <c:strCache>
                <c:ptCount val="1"/>
                <c:pt idx="0">
                  <c:v>4%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Sheet1!$S$5:$Z$6</c:f>
              <c:multiLvlStrCache>
                <c:ptCount val="8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  <c:pt idx="6">
                    <c:v>GP</c:v>
                  </c:pt>
                  <c:pt idx="7">
                    <c:v>GCM</c:v>
                  </c:pt>
                </c:lvl>
                <c:lvl>
                  <c:pt idx="0">
                    <c:v>EM1</c:v>
                  </c:pt>
                  <c:pt idx="2">
                    <c:v>EM2</c:v>
                  </c:pt>
                  <c:pt idx="4">
                    <c:v>EM3</c:v>
                  </c:pt>
                  <c:pt idx="6">
                    <c:v>EM4</c:v>
                  </c:pt>
                </c:lvl>
              </c:multiLvlStrCache>
            </c:multiLvlStrRef>
          </c:cat>
          <c:val>
            <c:numRef>
              <c:f>Sheet1!$S$10:$Z$10</c:f>
              <c:numCache>
                <c:formatCode>0.000</c:formatCode>
                <c:ptCount val="8"/>
                <c:pt idx="0">
                  <c:v>0.24756384854562677</c:v>
                </c:pt>
                <c:pt idx="1">
                  <c:v>0.20310794454244346</c:v>
                </c:pt>
                <c:pt idx="2">
                  <c:v>2.022032657841329E-2</c:v>
                </c:pt>
                <c:pt idx="3">
                  <c:v>2.2337798754439864E-2</c:v>
                </c:pt>
                <c:pt idx="4">
                  <c:v>9.5030695058848178E-3</c:v>
                </c:pt>
                <c:pt idx="5">
                  <c:v>8.0587649167813673E-3</c:v>
                </c:pt>
                <c:pt idx="6">
                  <c:v>1.5070539352384253E-2</c:v>
                </c:pt>
                <c:pt idx="7">
                  <c:v>2.6099570118657704E-2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B8-43D1-82DA-6E4C46A23199}"/>
            </c:ext>
          </c:extLst>
        </c:ser>
        <c:ser>
          <c:idx val="4"/>
          <c:order val="4"/>
          <c:tx>
            <c:strRef>
              <c:f>Sheet1!$R$11</c:f>
              <c:strCache>
                <c:ptCount val="1"/>
                <c:pt idx="0">
                  <c:v>5%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Sheet1!$S$5:$Z$6</c:f>
              <c:multiLvlStrCache>
                <c:ptCount val="8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  <c:pt idx="6">
                    <c:v>GP</c:v>
                  </c:pt>
                  <c:pt idx="7">
                    <c:v>GCM</c:v>
                  </c:pt>
                </c:lvl>
                <c:lvl>
                  <c:pt idx="0">
                    <c:v>EM1</c:v>
                  </c:pt>
                  <c:pt idx="2">
                    <c:v>EM2</c:v>
                  </c:pt>
                  <c:pt idx="4">
                    <c:v>EM3</c:v>
                  </c:pt>
                  <c:pt idx="6">
                    <c:v>EM4</c:v>
                  </c:pt>
                </c:lvl>
              </c:multiLvlStrCache>
            </c:multiLvlStrRef>
          </c:cat>
          <c:val>
            <c:numRef>
              <c:f>Sheet1!$S$11:$Z$11</c:f>
              <c:numCache>
                <c:formatCode>0.000</c:formatCode>
                <c:ptCount val="8"/>
                <c:pt idx="0">
                  <c:v>0.30945481069753394</c:v>
                </c:pt>
                <c:pt idx="1">
                  <c:v>0.25430418665894655</c:v>
                </c:pt>
                <c:pt idx="2">
                  <c:v>2.5275408228183444E-2</c:v>
                </c:pt>
                <c:pt idx="3">
                  <c:v>2.6340563028722654E-2</c:v>
                </c:pt>
                <c:pt idx="4">
                  <c:v>1.1878836882351324E-2</c:v>
                </c:pt>
                <c:pt idx="5">
                  <c:v>1.0073456135417866E-2</c:v>
                </c:pt>
                <c:pt idx="6">
                  <c:v>1.8838174200818673E-2</c:v>
                </c:pt>
                <c:pt idx="7">
                  <c:v>2.6552554281264788E-2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B8-43D1-82DA-6E4C46A231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2965519"/>
        <c:axId val="1312965999"/>
      </c:barChart>
      <c:catAx>
        <c:axId val="131296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965999"/>
        <c:crosses val="autoZero"/>
        <c:auto val="1"/>
        <c:lblAlgn val="ctr"/>
        <c:lblOffset val="100"/>
        <c:noMultiLvlLbl val="0"/>
      </c:catAx>
      <c:valAx>
        <c:axId val="131296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96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Sheet1!$R$61</c:f>
              <c:strCache>
                <c:ptCount val="1"/>
                <c:pt idx="0">
                  <c:v>1%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Sheet1!$S$59:$Z$60</c:f>
              <c:multiLvlStrCache>
                <c:ptCount val="8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  <c:pt idx="6">
                    <c:v>GP</c:v>
                  </c:pt>
                  <c:pt idx="7">
                    <c:v>GCM</c:v>
                  </c:pt>
                </c:lvl>
                <c:lvl>
                  <c:pt idx="0">
                    <c:v>SP1</c:v>
                  </c:pt>
                  <c:pt idx="2">
                    <c:v>SP2</c:v>
                  </c:pt>
                  <c:pt idx="4">
                    <c:v>SP3</c:v>
                  </c:pt>
                  <c:pt idx="6">
                    <c:v>SP4</c:v>
                  </c:pt>
                </c:lvl>
              </c:multiLvlStrCache>
            </c:multiLvlStrRef>
          </c:cat>
          <c:val>
            <c:numRef>
              <c:f>Sheet1!$S$61:$Z$61</c:f>
              <c:numCache>
                <c:formatCode>0.000</c:formatCode>
                <c:ptCount val="8"/>
                <c:pt idx="0">
                  <c:v>-6.1278180343108987E-2</c:v>
                </c:pt>
                <c:pt idx="1">
                  <c:v>-5.0780164369032585E-2</c:v>
                </c:pt>
                <c:pt idx="2">
                  <c:v>-5.0050313306722587E-3</c:v>
                </c:pt>
                <c:pt idx="3">
                  <c:v>-3.9004919249576537E-3</c:v>
                </c:pt>
                <c:pt idx="4">
                  <c:v>-2.3522449321219797E-3</c:v>
                </c:pt>
                <c:pt idx="5">
                  <c:v>-1.9947438033840578E-3</c:v>
                </c:pt>
                <c:pt idx="6">
                  <c:v>-3.7303315377941841E-3</c:v>
                </c:pt>
                <c:pt idx="7">
                  <c:v>-4.6686613059627812E-4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A-49FE-B74E-907E9DD4C04A}"/>
            </c:ext>
          </c:extLst>
        </c:ser>
        <c:ser>
          <c:idx val="1"/>
          <c:order val="1"/>
          <c:tx>
            <c:strRef>
              <c:f>Sheet1!$R$62</c:f>
              <c:strCache>
                <c:ptCount val="1"/>
                <c:pt idx="0">
                  <c:v>2%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Sheet1!$S$59:$Z$60</c:f>
              <c:multiLvlStrCache>
                <c:ptCount val="8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  <c:pt idx="6">
                    <c:v>GP</c:v>
                  </c:pt>
                  <c:pt idx="7">
                    <c:v>GCM</c:v>
                  </c:pt>
                </c:lvl>
                <c:lvl>
                  <c:pt idx="0">
                    <c:v>SP1</c:v>
                  </c:pt>
                  <c:pt idx="2">
                    <c:v>SP2</c:v>
                  </c:pt>
                  <c:pt idx="4">
                    <c:v>SP3</c:v>
                  </c:pt>
                  <c:pt idx="6">
                    <c:v>SP4</c:v>
                  </c:pt>
                </c:lvl>
              </c:multiLvlStrCache>
            </c:multiLvlStrRef>
          </c:cat>
          <c:val>
            <c:numRef>
              <c:f>Sheet1!$S$62:$Z$62</c:f>
              <c:numCache>
                <c:formatCode>0.000</c:formatCode>
                <c:ptCount val="8"/>
                <c:pt idx="0">
                  <c:v>-0.12135482772411567</c:v>
                </c:pt>
                <c:pt idx="1">
                  <c:v>-9.940328277278461E-2</c:v>
                </c:pt>
                <c:pt idx="2">
                  <c:v>-9.9119247953653195E-3</c:v>
                </c:pt>
                <c:pt idx="3">
                  <c:v>-7.7245036231295815E-3</c:v>
                </c:pt>
                <c:pt idx="4">
                  <c:v>-4.6583674032300579E-3</c:v>
                </c:pt>
                <c:pt idx="5">
                  <c:v>-3.9503749724260273E-3</c:v>
                </c:pt>
                <c:pt idx="6">
                  <c:v>-7.3875192993089643E-3</c:v>
                </c:pt>
                <c:pt idx="7">
                  <c:v>-2.6504537474932501E-3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8A-49FE-B74E-907E9DD4C04A}"/>
            </c:ext>
          </c:extLst>
        </c:ser>
        <c:ser>
          <c:idx val="2"/>
          <c:order val="2"/>
          <c:tx>
            <c:strRef>
              <c:f>Sheet1!$R$63</c:f>
              <c:strCache>
                <c:ptCount val="1"/>
                <c:pt idx="0">
                  <c:v>3%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Sheet1!$S$59:$Z$60</c:f>
              <c:multiLvlStrCache>
                <c:ptCount val="8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  <c:pt idx="6">
                    <c:v>GP</c:v>
                  </c:pt>
                  <c:pt idx="7">
                    <c:v>GCM</c:v>
                  </c:pt>
                </c:lvl>
                <c:lvl>
                  <c:pt idx="0">
                    <c:v>SP1</c:v>
                  </c:pt>
                  <c:pt idx="2">
                    <c:v>SP2</c:v>
                  </c:pt>
                  <c:pt idx="4">
                    <c:v>SP3</c:v>
                  </c:pt>
                  <c:pt idx="6">
                    <c:v>SP4</c:v>
                  </c:pt>
                </c:lvl>
              </c:multiLvlStrCache>
            </c:multiLvlStrRef>
          </c:cat>
          <c:val>
            <c:numRef>
              <c:f>Sheet1!$S$63:$Z$63</c:f>
              <c:numCache>
                <c:formatCode>0.000</c:formatCode>
                <c:ptCount val="8"/>
                <c:pt idx="0">
                  <c:v>-0.18026493826881257</c:v>
                </c:pt>
                <c:pt idx="1">
                  <c:v>-0.12984938190027737</c:v>
                </c:pt>
                <c:pt idx="2">
                  <c:v>-1.4723538779712136E-2</c:v>
                </c:pt>
                <c:pt idx="3">
                  <c:v>-1.1474262655915286E-2</c:v>
                </c:pt>
                <c:pt idx="4">
                  <c:v>-6.9197108128847872E-3</c:v>
                </c:pt>
                <c:pt idx="5">
                  <c:v>-5.868032721336524E-3</c:v>
                </c:pt>
                <c:pt idx="6">
                  <c:v>-1.0973693718246913E-2</c:v>
                </c:pt>
                <c:pt idx="7">
                  <c:v>-4.3033593302736831E-3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8A-49FE-B74E-907E9DD4C04A}"/>
            </c:ext>
          </c:extLst>
        </c:ser>
        <c:ser>
          <c:idx val="3"/>
          <c:order val="3"/>
          <c:tx>
            <c:strRef>
              <c:f>Sheet1!$R$64</c:f>
              <c:strCache>
                <c:ptCount val="1"/>
                <c:pt idx="0">
                  <c:v>4%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Sheet1!$S$59:$Z$60</c:f>
              <c:multiLvlStrCache>
                <c:ptCount val="8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  <c:pt idx="6">
                    <c:v>GP</c:v>
                  </c:pt>
                  <c:pt idx="7">
                    <c:v>GCM</c:v>
                  </c:pt>
                </c:lvl>
                <c:lvl>
                  <c:pt idx="0">
                    <c:v>SP1</c:v>
                  </c:pt>
                  <c:pt idx="2">
                    <c:v>SP2</c:v>
                  </c:pt>
                  <c:pt idx="4">
                    <c:v>SP3</c:v>
                  </c:pt>
                  <c:pt idx="6">
                    <c:v>SP4</c:v>
                  </c:pt>
                </c:lvl>
              </c:multiLvlStrCache>
            </c:multiLvlStrRef>
          </c:cat>
          <c:val>
            <c:numRef>
              <c:f>Sheet1!$S$64:$Z$64</c:f>
              <c:numCache>
                <c:formatCode>0.000</c:formatCode>
                <c:ptCount val="8"/>
                <c:pt idx="0">
                  <c:v>-0.23804216207978973</c:v>
                </c:pt>
                <c:pt idx="1">
                  <c:v>-0.18693408772733541</c:v>
                </c:pt>
                <c:pt idx="2">
                  <c:v>-1.9442621726704176E-2</c:v>
                </c:pt>
                <c:pt idx="3">
                  <c:v>-1.515191096281366E-2</c:v>
                </c:pt>
                <c:pt idx="4">
                  <c:v>-9.1375668325837239E-3</c:v>
                </c:pt>
                <c:pt idx="5">
                  <c:v>-7.748812441059935E-3</c:v>
                </c:pt>
                <c:pt idx="6">
                  <c:v>-1.4490903236161139E-2</c:v>
                </c:pt>
                <c:pt idx="7">
                  <c:v>-6.0421083379909165E-3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8A-49FE-B74E-907E9DD4C04A}"/>
            </c:ext>
          </c:extLst>
        </c:ser>
        <c:ser>
          <c:idx val="4"/>
          <c:order val="4"/>
          <c:tx>
            <c:strRef>
              <c:f>Sheet1!$R$65</c:f>
              <c:strCache>
                <c:ptCount val="1"/>
                <c:pt idx="0">
                  <c:v>5%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Sheet1!$S$59:$Z$60</c:f>
              <c:multiLvlStrCache>
                <c:ptCount val="8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  <c:pt idx="6">
                    <c:v>GP</c:v>
                  </c:pt>
                  <c:pt idx="7">
                    <c:v>GCM</c:v>
                  </c:pt>
                </c:lvl>
                <c:lvl>
                  <c:pt idx="0">
                    <c:v>SP1</c:v>
                  </c:pt>
                  <c:pt idx="2">
                    <c:v>SP2</c:v>
                  </c:pt>
                  <c:pt idx="4">
                    <c:v>SP3</c:v>
                  </c:pt>
                  <c:pt idx="6">
                    <c:v>SP4</c:v>
                  </c:pt>
                </c:lvl>
              </c:multiLvlStrCache>
            </c:multiLvlStrRef>
          </c:cat>
          <c:val>
            <c:numRef>
              <c:f>Sheet1!$S$65:$Z$65</c:f>
              <c:numCache>
                <c:formatCode>0.000</c:formatCode>
                <c:ptCount val="8"/>
                <c:pt idx="0">
                  <c:v>-0.29471886733885261</c:v>
                </c:pt>
                <c:pt idx="1">
                  <c:v>-0.23838704173352257</c:v>
                </c:pt>
                <c:pt idx="2">
                  <c:v>-2.4071817363138813E-2</c:v>
                </c:pt>
                <c:pt idx="3">
                  <c:v>-1.8759508805059871E-2</c:v>
                </c:pt>
                <c:pt idx="4">
                  <c:v>-1.1313177988125056E-2</c:v>
                </c:pt>
                <c:pt idx="5">
                  <c:v>-9.5937677661032776E-3</c:v>
                </c:pt>
                <c:pt idx="6">
                  <c:v>-1.7941118289445557E-2</c:v>
                </c:pt>
                <c:pt idx="7">
                  <c:v>-7.0550905680941481E-4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8A-49FE-B74E-907E9DD4C0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2982799"/>
        <c:axId val="1312983279"/>
      </c:barChart>
      <c:catAx>
        <c:axId val="131298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983279"/>
        <c:crosses val="autoZero"/>
        <c:auto val="1"/>
        <c:lblAlgn val="ctr"/>
        <c:lblOffset val="100"/>
        <c:noMultiLvlLbl val="0"/>
      </c:catAx>
      <c:valAx>
        <c:axId val="131298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98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Sheet1!$R$97</c:f>
              <c:strCache>
                <c:ptCount val="1"/>
                <c:pt idx="0">
                  <c:v>1%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Sheet1!$S$95:$X$96</c:f>
              <c:multiLvlStrCache>
                <c:ptCount val="6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</c:lvl>
                <c:lvl>
                  <c:pt idx="0">
                    <c:v>tre</c:v>
                  </c:pt>
                  <c:pt idx="2">
                    <c:v>col</c:v>
                  </c:pt>
                  <c:pt idx="4">
                    <c:v>sto</c:v>
                  </c:pt>
                </c:lvl>
              </c:multiLvlStrCache>
            </c:multiLvlStrRef>
          </c:cat>
          <c:val>
            <c:numRef>
              <c:f>Sheet1!$S$97:$X$97</c:f>
              <c:numCache>
                <c:formatCode>0.000</c:formatCode>
                <c:ptCount val="6"/>
                <c:pt idx="0">
                  <c:v>6.5837525587546589E-2</c:v>
                </c:pt>
                <c:pt idx="1">
                  <c:v>6.8585303798467806E-2</c:v>
                </c:pt>
                <c:pt idx="2">
                  <c:v>0.65670194568640405</c:v>
                </c:pt>
                <c:pt idx="3">
                  <c:v>0.67809696109434803</c:v>
                </c:pt>
                <c:pt idx="4">
                  <c:v>-0.18997235183655226</c:v>
                </c:pt>
                <c:pt idx="5">
                  <c:v>0.20336256803793312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68-455D-8EFB-A5FA03AD273B}"/>
            </c:ext>
          </c:extLst>
        </c:ser>
        <c:ser>
          <c:idx val="1"/>
          <c:order val="1"/>
          <c:tx>
            <c:strRef>
              <c:f>Sheet1!$R$98</c:f>
              <c:strCache>
                <c:ptCount val="1"/>
                <c:pt idx="0">
                  <c:v>2%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Sheet1!$S$95:$X$96</c:f>
              <c:multiLvlStrCache>
                <c:ptCount val="6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</c:lvl>
                <c:lvl>
                  <c:pt idx="0">
                    <c:v>tre</c:v>
                  </c:pt>
                  <c:pt idx="2">
                    <c:v>col</c:v>
                  </c:pt>
                  <c:pt idx="4">
                    <c:v>sto</c:v>
                  </c:pt>
                </c:lvl>
              </c:multiLvlStrCache>
            </c:multiLvlStrRef>
          </c:cat>
          <c:val>
            <c:numRef>
              <c:f>Sheet1!$S$98:$X$98</c:f>
              <c:numCache>
                <c:formatCode>0.000</c:formatCode>
                <c:ptCount val="6"/>
                <c:pt idx="0">
                  <c:v>0.13167505117509318</c:v>
                </c:pt>
                <c:pt idx="1">
                  <c:v>0.13579639000990307</c:v>
                </c:pt>
                <c:pt idx="2">
                  <c:v>1.3134038913728081</c:v>
                </c:pt>
                <c:pt idx="3">
                  <c:v>1.3444080631586763</c:v>
                </c:pt>
                <c:pt idx="4">
                  <c:v>1.0494340445077591E-2</c:v>
                </c:pt>
                <c:pt idx="5">
                  <c:v>0.40809935366289884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68-455D-8EFB-A5FA03AD273B}"/>
            </c:ext>
          </c:extLst>
        </c:ser>
        <c:ser>
          <c:idx val="2"/>
          <c:order val="2"/>
          <c:tx>
            <c:strRef>
              <c:f>Sheet1!$R$99</c:f>
              <c:strCache>
                <c:ptCount val="1"/>
                <c:pt idx="0">
                  <c:v>3%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Sheet1!$S$95:$X$96</c:f>
              <c:multiLvlStrCache>
                <c:ptCount val="6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</c:lvl>
                <c:lvl>
                  <c:pt idx="0">
                    <c:v>tre</c:v>
                  </c:pt>
                  <c:pt idx="2">
                    <c:v>col</c:v>
                  </c:pt>
                  <c:pt idx="4">
                    <c:v>sto</c:v>
                  </c:pt>
                </c:lvl>
              </c:multiLvlStrCache>
            </c:multiLvlStrRef>
          </c:cat>
          <c:val>
            <c:numRef>
              <c:f>Sheet1!$S$99:$X$99</c:f>
              <c:numCache>
                <c:formatCode>0.000</c:formatCode>
                <c:ptCount val="6"/>
                <c:pt idx="0">
                  <c:v>0.19751257676263978</c:v>
                </c:pt>
                <c:pt idx="1">
                  <c:v>0.20300747622133833</c:v>
                </c:pt>
                <c:pt idx="2">
                  <c:v>1.9701058370592308</c:v>
                </c:pt>
                <c:pt idx="3">
                  <c:v>2.0169993989386441</c:v>
                </c:pt>
                <c:pt idx="4">
                  <c:v>0.21096103272670741</c:v>
                </c:pt>
                <c:pt idx="5">
                  <c:v>0.61146192170083191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68-455D-8EFB-A5FA03AD273B}"/>
            </c:ext>
          </c:extLst>
        </c:ser>
        <c:ser>
          <c:idx val="3"/>
          <c:order val="3"/>
          <c:tx>
            <c:strRef>
              <c:f>Sheet1!$R$100</c:f>
              <c:strCache>
                <c:ptCount val="1"/>
                <c:pt idx="0">
                  <c:v>4%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Sheet1!$S$95:$X$96</c:f>
              <c:multiLvlStrCache>
                <c:ptCount val="6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</c:lvl>
                <c:lvl>
                  <c:pt idx="0">
                    <c:v>tre</c:v>
                  </c:pt>
                  <c:pt idx="2">
                    <c:v>col</c:v>
                  </c:pt>
                  <c:pt idx="4">
                    <c:v>sto</c:v>
                  </c:pt>
                </c:lvl>
              </c:multiLvlStrCache>
            </c:multiLvlStrRef>
          </c:cat>
          <c:val>
            <c:numRef>
              <c:f>Sheet1!$S$100:$X$100</c:f>
              <c:numCache>
                <c:formatCode>0.000</c:formatCode>
                <c:ptCount val="6"/>
                <c:pt idx="0">
                  <c:v>0.26335010235018635</c:v>
                </c:pt>
                <c:pt idx="1">
                  <c:v>0.27021856243277359</c:v>
                </c:pt>
                <c:pt idx="2">
                  <c:v>2.6268077827456349</c:v>
                </c:pt>
                <c:pt idx="3">
                  <c:v>2.6910195084321704</c:v>
                </c:pt>
                <c:pt idx="4">
                  <c:v>0.41142772500835612</c:v>
                </c:pt>
                <c:pt idx="5">
                  <c:v>0.81541537529670527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68-455D-8EFB-A5FA03AD273B}"/>
            </c:ext>
          </c:extLst>
        </c:ser>
        <c:ser>
          <c:idx val="4"/>
          <c:order val="4"/>
          <c:tx>
            <c:strRef>
              <c:f>Sheet1!$R$101</c:f>
              <c:strCache>
                <c:ptCount val="1"/>
                <c:pt idx="0">
                  <c:v>5%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Sheet1!$S$95:$X$96</c:f>
              <c:multiLvlStrCache>
                <c:ptCount val="6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</c:lvl>
                <c:lvl>
                  <c:pt idx="0">
                    <c:v>tre</c:v>
                  </c:pt>
                  <c:pt idx="2">
                    <c:v>col</c:v>
                  </c:pt>
                  <c:pt idx="4">
                    <c:v>sto</c:v>
                  </c:pt>
                </c:lvl>
              </c:multiLvlStrCache>
            </c:multiLvlStrRef>
          </c:cat>
          <c:val>
            <c:numRef>
              <c:f>Sheet1!$S$101:$X$101</c:f>
              <c:numCache>
                <c:formatCode>0.000</c:formatCode>
                <c:ptCount val="6"/>
                <c:pt idx="0">
                  <c:v>0.32918762793773293</c:v>
                </c:pt>
                <c:pt idx="1">
                  <c:v>0.33705463336961955</c:v>
                </c:pt>
                <c:pt idx="2">
                  <c:v>3.2835097284320387</c:v>
                </c:pt>
                <c:pt idx="3">
                  <c:v>3.3624536730497527</c:v>
                </c:pt>
                <c:pt idx="4">
                  <c:v>0.61189441728998584</c:v>
                </c:pt>
                <c:pt idx="5">
                  <c:v>1.0245071594341963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68-455D-8EFB-A5FA03AD27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2966959"/>
        <c:axId val="1312973679"/>
      </c:barChart>
      <c:catAx>
        <c:axId val="131296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973679"/>
        <c:crosses val="autoZero"/>
        <c:auto val="1"/>
        <c:lblAlgn val="ctr"/>
        <c:lblOffset val="100"/>
        <c:noMultiLvlLbl val="0"/>
      </c:catAx>
      <c:valAx>
        <c:axId val="131297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96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Sheet2!$T$74</c:f>
              <c:strCache>
                <c:ptCount val="1"/>
                <c:pt idx="0">
                  <c:v>1%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Sheet2!$U$72:$AB$73</c:f>
              <c:multiLvlStrCache>
                <c:ptCount val="8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  <c:pt idx="6">
                    <c:v>GP</c:v>
                  </c:pt>
                  <c:pt idx="7">
                    <c:v>GCM</c:v>
                  </c:pt>
                </c:lvl>
                <c:lvl>
                  <c:pt idx="0">
                    <c:v>TRij</c:v>
                  </c:pt>
                  <c:pt idx="2">
                    <c:v>TRjl</c:v>
                  </c:pt>
                  <c:pt idx="4">
                    <c:v>TRjn</c:v>
                  </c:pt>
                  <c:pt idx="6">
                    <c:v>TRlm</c:v>
                  </c:pt>
                </c:lvl>
              </c:multiLvlStrCache>
            </c:multiLvlStrRef>
          </c:cat>
          <c:val>
            <c:numRef>
              <c:f>Sheet2!$U$74:$AB$74</c:f>
              <c:numCache>
                <c:formatCode>0.000</c:formatCode>
                <c:ptCount val="8"/>
                <c:pt idx="0">
                  <c:v>8.9951231607281901E-3</c:v>
                </c:pt>
                <c:pt idx="1">
                  <c:v>1.1784143915131249E-2</c:v>
                </c:pt>
                <c:pt idx="2">
                  <c:v>3.0889734848375157E-3</c:v>
                </c:pt>
                <c:pt idx="3">
                  <c:v>3.8332240354023044E-3</c:v>
                </c:pt>
                <c:pt idx="4">
                  <c:v>1.5039899879532388E-3</c:v>
                </c:pt>
                <c:pt idx="5">
                  <c:v>1.9869055024704769E-3</c:v>
                </c:pt>
                <c:pt idx="6">
                  <c:v>2.9845586886919537E-3</c:v>
                </c:pt>
                <c:pt idx="7">
                  <c:v>3.0929133296512036E-3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A-4E54-8B21-E4F489B05DE5}"/>
            </c:ext>
          </c:extLst>
        </c:ser>
        <c:ser>
          <c:idx val="1"/>
          <c:order val="1"/>
          <c:tx>
            <c:strRef>
              <c:f>Sheet2!$T$75</c:f>
              <c:strCache>
                <c:ptCount val="1"/>
                <c:pt idx="0">
                  <c:v>2%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Sheet2!$U$72:$AB$73</c:f>
              <c:multiLvlStrCache>
                <c:ptCount val="8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  <c:pt idx="6">
                    <c:v>GP</c:v>
                  </c:pt>
                  <c:pt idx="7">
                    <c:v>GCM</c:v>
                  </c:pt>
                </c:lvl>
                <c:lvl>
                  <c:pt idx="0">
                    <c:v>TRij</c:v>
                  </c:pt>
                  <c:pt idx="2">
                    <c:v>TRjl</c:v>
                  </c:pt>
                  <c:pt idx="4">
                    <c:v>TRjn</c:v>
                  </c:pt>
                  <c:pt idx="6">
                    <c:v>TRlm</c:v>
                  </c:pt>
                </c:lvl>
              </c:multiLvlStrCache>
            </c:multiLvlStrRef>
          </c:cat>
          <c:val>
            <c:numRef>
              <c:f>Sheet2!$U$75:$AB$75</c:f>
              <c:numCache>
                <c:formatCode>0.000</c:formatCode>
                <c:ptCount val="8"/>
                <c:pt idx="0">
                  <c:v>1.7990246321442104E-2</c:v>
                </c:pt>
                <c:pt idx="1">
                  <c:v>2.3568287830262498E-2</c:v>
                </c:pt>
                <c:pt idx="2">
                  <c:v>6.1779469696750314E-3</c:v>
                </c:pt>
                <c:pt idx="3">
                  <c:v>7.3000180894200357E-3</c:v>
                </c:pt>
                <c:pt idx="4">
                  <c:v>3.0079799759064776E-3</c:v>
                </c:pt>
                <c:pt idx="5">
                  <c:v>3.0027715542256216E-3</c:v>
                </c:pt>
                <c:pt idx="6">
                  <c:v>5.9691173773839075E-3</c:v>
                </c:pt>
                <c:pt idx="7">
                  <c:v>6.1858266593166258E-3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2A-4E54-8B21-E4F489B05DE5}"/>
            </c:ext>
          </c:extLst>
        </c:ser>
        <c:ser>
          <c:idx val="2"/>
          <c:order val="2"/>
          <c:tx>
            <c:strRef>
              <c:f>Sheet2!$T$76</c:f>
              <c:strCache>
                <c:ptCount val="1"/>
                <c:pt idx="0">
                  <c:v>3%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Sheet2!$U$72:$AB$73</c:f>
              <c:multiLvlStrCache>
                <c:ptCount val="8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  <c:pt idx="6">
                    <c:v>GP</c:v>
                  </c:pt>
                  <c:pt idx="7">
                    <c:v>GCM</c:v>
                  </c:pt>
                </c:lvl>
                <c:lvl>
                  <c:pt idx="0">
                    <c:v>TRij</c:v>
                  </c:pt>
                  <c:pt idx="2">
                    <c:v>TRjl</c:v>
                  </c:pt>
                  <c:pt idx="4">
                    <c:v>TRjn</c:v>
                  </c:pt>
                  <c:pt idx="6">
                    <c:v>TRlm</c:v>
                  </c:pt>
                </c:lvl>
              </c:multiLvlStrCache>
            </c:multiLvlStrRef>
          </c:cat>
          <c:val>
            <c:numRef>
              <c:f>Sheet2!$U$76:$AB$76</c:f>
              <c:numCache>
                <c:formatCode>0.000</c:formatCode>
                <c:ptCount val="8"/>
                <c:pt idx="0">
                  <c:v>2.6985369482156022E-2</c:v>
                </c:pt>
                <c:pt idx="1">
                  <c:v>3.5352431745393743E-2</c:v>
                </c:pt>
                <c:pt idx="2">
                  <c:v>9.2669204545125471E-3</c:v>
                </c:pt>
                <c:pt idx="3">
                  <c:v>1.0766812143437767E-2</c:v>
                </c:pt>
                <c:pt idx="4">
                  <c:v>4.5119699638597162E-3</c:v>
                </c:pt>
                <c:pt idx="5">
                  <c:v>3.9918882173478679E-3</c:v>
                </c:pt>
                <c:pt idx="6">
                  <c:v>8.9536760660615874E-3</c:v>
                </c:pt>
                <c:pt idx="7">
                  <c:v>9.2787399889678289E-3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2A-4E54-8B21-E4F489B05DE5}"/>
            </c:ext>
          </c:extLst>
        </c:ser>
        <c:ser>
          <c:idx val="3"/>
          <c:order val="3"/>
          <c:tx>
            <c:strRef>
              <c:f>Sheet2!$T$77</c:f>
              <c:strCache>
                <c:ptCount val="1"/>
                <c:pt idx="0">
                  <c:v>4%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Sheet2!$U$72:$AB$73</c:f>
              <c:multiLvlStrCache>
                <c:ptCount val="8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  <c:pt idx="6">
                    <c:v>GP</c:v>
                  </c:pt>
                  <c:pt idx="7">
                    <c:v>GCM</c:v>
                  </c:pt>
                </c:lvl>
                <c:lvl>
                  <c:pt idx="0">
                    <c:v>TRij</c:v>
                  </c:pt>
                  <c:pt idx="2">
                    <c:v>TRjl</c:v>
                  </c:pt>
                  <c:pt idx="4">
                    <c:v>TRjn</c:v>
                  </c:pt>
                  <c:pt idx="6">
                    <c:v>TRlm</c:v>
                  </c:pt>
                </c:lvl>
              </c:multiLvlStrCache>
            </c:multiLvlStrRef>
          </c:cat>
          <c:val>
            <c:numRef>
              <c:f>Sheet2!$U$77:$AB$77</c:f>
              <c:numCache>
                <c:formatCode>0.000</c:formatCode>
                <c:ptCount val="8"/>
                <c:pt idx="0">
                  <c:v>3.5980492642869934E-2</c:v>
                </c:pt>
                <c:pt idx="1">
                  <c:v>4.7173218658656341E-2</c:v>
                </c:pt>
                <c:pt idx="2">
                  <c:v>1.2355893939350063E-2</c:v>
                </c:pt>
                <c:pt idx="3">
                  <c:v>1.4233606197455501E-2</c:v>
                </c:pt>
                <c:pt idx="4">
                  <c:v>6.0159599518129553E-3</c:v>
                </c:pt>
                <c:pt idx="5">
                  <c:v>2.269423018124737E-3</c:v>
                </c:pt>
                <c:pt idx="6">
                  <c:v>1.193823475475354E-2</c:v>
                </c:pt>
                <c:pt idx="7">
                  <c:v>1.2371653318633252E-2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2A-4E54-8B21-E4F489B05DE5}"/>
            </c:ext>
          </c:extLst>
        </c:ser>
        <c:ser>
          <c:idx val="4"/>
          <c:order val="4"/>
          <c:tx>
            <c:strRef>
              <c:f>Sheet2!$T$78</c:f>
              <c:strCache>
                <c:ptCount val="1"/>
                <c:pt idx="0">
                  <c:v>5%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Sheet2!$U$72:$AB$73</c:f>
              <c:multiLvlStrCache>
                <c:ptCount val="8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  <c:pt idx="6">
                    <c:v>GP</c:v>
                  </c:pt>
                  <c:pt idx="7">
                    <c:v>GCM</c:v>
                  </c:pt>
                </c:lvl>
                <c:lvl>
                  <c:pt idx="0">
                    <c:v>TRij</c:v>
                  </c:pt>
                  <c:pt idx="2">
                    <c:v>TRjl</c:v>
                  </c:pt>
                  <c:pt idx="4">
                    <c:v>TRjn</c:v>
                  </c:pt>
                  <c:pt idx="6">
                    <c:v>TRlm</c:v>
                  </c:pt>
                </c:lvl>
              </c:multiLvlStrCache>
            </c:multiLvlStrRef>
          </c:cat>
          <c:val>
            <c:numRef>
              <c:f>Sheet2!$U$78:$AB$78</c:f>
              <c:numCache>
                <c:formatCode>0.000</c:formatCode>
                <c:ptCount val="8"/>
                <c:pt idx="0">
                  <c:v>4.4975615803583849E-2</c:v>
                </c:pt>
                <c:pt idx="1">
                  <c:v>5.8957362573787593E-2</c:v>
                </c:pt>
                <c:pt idx="2">
                  <c:v>1.8533840909010821E-2</c:v>
                </c:pt>
                <c:pt idx="3">
                  <c:v>1.8059868063221806E-2</c:v>
                </c:pt>
                <c:pt idx="4">
                  <c:v>7.5199499397661943E-3</c:v>
                </c:pt>
                <c:pt idx="5">
                  <c:v>4.2017304533614472E-3</c:v>
                </c:pt>
                <c:pt idx="6">
                  <c:v>1.4922793443445496E-2</c:v>
                </c:pt>
                <c:pt idx="7">
                  <c:v>1.5464566648298674E-2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2A-4E54-8B21-E4F489B05D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2946799"/>
        <c:axId val="1312947279"/>
      </c:barChart>
      <c:catAx>
        <c:axId val="131294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947279"/>
        <c:crosses val="autoZero"/>
        <c:auto val="1"/>
        <c:lblAlgn val="ctr"/>
        <c:lblOffset val="100"/>
        <c:noMultiLvlLbl val="0"/>
      </c:catAx>
      <c:valAx>
        <c:axId val="131294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94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Sheet2!$R$14</c:f>
              <c:strCache>
                <c:ptCount val="1"/>
                <c:pt idx="0">
                  <c:v>1%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Sheet2!$S$12:$Z$13</c:f>
              <c:multiLvlStrCache>
                <c:ptCount val="8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  <c:pt idx="6">
                    <c:v>GP</c:v>
                  </c:pt>
                  <c:pt idx="7">
                    <c:v>GCM</c:v>
                  </c:pt>
                </c:lvl>
                <c:lvl>
                  <c:pt idx="0">
                    <c:v>CO</c:v>
                  </c:pt>
                  <c:pt idx="2">
                    <c:v>SET</c:v>
                  </c:pt>
                  <c:pt idx="4">
                    <c:v>SAF</c:v>
                  </c:pt>
                  <c:pt idx="6">
                    <c:v>SEG</c:v>
                  </c:pt>
                </c:lvl>
              </c:multiLvlStrCache>
            </c:multiLvlStrRef>
          </c:cat>
          <c:val>
            <c:numRef>
              <c:f>Sheet2!$S$14:$Z$14</c:f>
              <c:numCache>
                <c:formatCode>0.0000</c:formatCode>
                <c:ptCount val="8"/>
                <c:pt idx="0">
                  <c:v>0.89265147303649406</c:v>
                </c:pt>
                <c:pt idx="1">
                  <c:v>0.88784152343020195</c:v>
                </c:pt>
                <c:pt idx="2">
                  <c:v>2.3813685744868865E-3</c:v>
                </c:pt>
                <c:pt idx="3">
                  <c:v>2.3720234129124174E-3</c:v>
                </c:pt>
                <c:pt idx="4">
                  <c:v>7.9697367539291658E-2</c:v>
                </c:pt>
                <c:pt idx="5">
                  <c:v>7.719458274801233E-2</c:v>
                </c:pt>
                <c:pt idx="6">
                  <c:v>4.2987258881188066E-3</c:v>
                </c:pt>
                <c:pt idx="7">
                  <c:v>2.3016688564837357E-3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D-48D1-B1EB-98307BFA64C0}"/>
            </c:ext>
          </c:extLst>
        </c:ser>
        <c:ser>
          <c:idx val="1"/>
          <c:order val="1"/>
          <c:tx>
            <c:strRef>
              <c:f>Sheet2!$R$15</c:f>
              <c:strCache>
                <c:ptCount val="1"/>
                <c:pt idx="0">
                  <c:v>2%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Sheet2!$S$12:$Z$13</c:f>
              <c:multiLvlStrCache>
                <c:ptCount val="8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  <c:pt idx="6">
                    <c:v>GP</c:v>
                  </c:pt>
                  <c:pt idx="7">
                    <c:v>GCM</c:v>
                  </c:pt>
                </c:lvl>
                <c:lvl>
                  <c:pt idx="0">
                    <c:v>CO</c:v>
                  </c:pt>
                  <c:pt idx="2">
                    <c:v>SET</c:v>
                  </c:pt>
                  <c:pt idx="4">
                    <c:v>SAF</c:v>
                  </c:pt>
                  <c:pt idx="6">
                    <c:v>SEG</c:v>
                  </c:pt>
                </c:lvl>
              </c:multiLvlStrCache>
            </c:multiLvlStrRef>
          </c:cat>
          <c:val>
            <c:numRef>
              <c:f>Sheet2!$S$15:$Z$15</c:f>
              <c:numCache>
                <c:formatCode>0.0000</c:formatCode>
                <c:ptCount val="8"/>
                <c:pt idx="0">
                  <c:v>1.7853029460729881</c:v>
                </c:pt>
                <c:pt idx="1">
                  <c:v>1.7753288312117155</c:v>
                </c:pt>
                <c:pt idx="2">
                  <c:v>4.7627371489737729E-3</c:v>
                </c:pt>
                <c:pt idx="3">
                  <c:v>4.7440468258390543E-3</c:v>
                </c:pt>
                <c:pt idx="4">
                  <c:v>0.15939473507858332</c:v>
                </c:pt>
                <c:pt idx="5">
                  <c:v>0.1579923936464461</c:v>
                </c:pt>
                <c:pt idx="6">
                  <c:v>8.5974517762233381E-3</c:v>
                </c:pt>
                <c:pt idx="7">
                  <c:v>6.5942739452399327E-3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7D-48D1-B1EB-98307BFA64C0}"/>
            </c:ext>
          </c:extLst>
        </c:ser>
        <c:ser>
          <c:idx val="2"/>
          <c:order val="2"/>
          <c:tx>
            <c:strRef>
              <c:f>Sheet2!$R$16</c:f>
              <c:strCache>
                <c:ptCount val="1"/>
                <c:pt idx="0">
                  <c:v>3%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Sheet2!$S$12:$Z$13</c:f>
              <c:multiLvlStrCache>
                <c:ptCount val="8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  <c:pt idx="6">
                    <c:v>GP</c:v>
                  </c:pt>
                  <c:pt idx="7">
                    <c:v>GCM</c:v>
                  </c:pt>
                </c:lvl>
                <c:lvl>
                  <c:pt idx="0">
                    <c:v>CO</c:v>
                  </c:pt>
                  <c:pt idx="2">
                    <c:v>SET</c:v>
                  </c:pt>
                  <c:pt idx="4">
                    <c:v>SAF</c:v>
                  </c:pt>
                  <c:pt idx="6">
                    <c:v>SEG</c:v>
                  </c:pt>
                </c:lvl>
              </c:multiLvlStrCache>
            </c:multiLvlStrRef>
          </c:cat>
          <c:val>
            <c:numRef>
              <c:f>Sheet2!$S$16:$Z$16</c:f>
              <c:numCache>
                <c:formatCode>0.0000</c:formatCode>
                <c:ptCount val="8"/>
                <c:pt idx="0">
                  <c:v>2.6779544191094682</c:v>
                </c:pt>
                <c:pt idx="1">
                  <c:v>2.6645627885712355</c:v>
                </c:pt>
                <c:pt idx="2">
                  <c:v>7.1441057234463839E-3</c:v>
                </c:pt>
                <c:pt idx="3">
                  <c:v>7.1160702387656908E-3</c:v>
                </c:pt>
                <c:pt idx="4">
                  <c:v>0.23909210261786074</c:v>
                </c:pt>
                <c:pt idx="5">
                  <c:v>0.22823702108059185</c:v>
                </c:pt>
                <c:pt idx="6">
                  <c:v>1.2896177664327869E-2</c:v>
                </c:pt>
                <c:pt idx="7">
                  <c:v>1.0886879034010349E-2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7D-48D1-B1EB-98307BFA64C0}"/>
            </c:ext>
          </c:extLst>
        </c:ser>
        <c:ser>
          <c:idx val="3"/>
          <c:order val="3"/>
          <c:tx>
            <c:strRef>
              <c:f>Sheet2!$R$17</c:f>
              <c:strCache>
                <c:ptCount val="1"/>
                <c:pt idx="0">
                  <c:v>4%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Sheet2!$S$12:$Z$13</c:f>
              <c:multiLvlStrCache>
                <c:ptCount val="8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  <c:pt idx="6">
                    <c:v>GP</c:v>
                  </c:pt>
                  <c:pt idx="7">
                    <c:v>GCM</c:v>
                  </c:pt>
                </c:lvl>
                <c:lvl>
                  <c:pt idx="0">
                    <c:v>CO</c:v>
                  </c:pt>
                  <c:pt idx="2">
                    <c:v>SET</c:v>
                  </c:pt>
                  <c:pt idx="4">
                    <c:v>SAF</c:v>
                  </c:pt>
                  <c:pt idx="6">
                    <c:v>SEG</c:v>
                  </c:pt>
                </c:lvl>
              </c:multiLvlStrCache>
            </c:multiLvlStrRef>
          </c:cat>
          <c:val>
            <c:numRef>
              <c:f>Sheet2!$S$17:$Z$17</c:f>
              <c:numCache>
                <c:formatCode>0.0000</c:formatCode>
                <c:ptCount val="8"/>
                <c:pt idx="0">
                  <c:v>3.5706058921459625</c:v>
                </c:pt>
                <c:pt idx="1">
                  <c:v>3.5562518268061249</c:v>
                </c:pt>
                <c:pt idx="2">
                  <c:v>9.5254742979332709E-3</c:v>
                </c:pt>
                <c:pt idx="3">
                  <c:v>9.4880936516781086E-3</c:v>
                </c:pt>
                <c:pt idx="4">
                  <c:v>0.31878947015715237</c:v>
                </c:pt>
                <c:pt idx="5">
                  <c:v>0.30698282408318667</c:v>
                </c:pt>
                <c:pt idx="6">
                  <c:v>1.7194903552432399E-2</c:v>
                </c:pt>
                <c:pt idx="7">
                  <c:v>1.5179484122766545E-2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7D-48D1-B1EB-98307BFA64C0}"/>
            </c:ext>
          </c:extLst>
        </c:ser>
        <c:ser>
          <c:idx val="4"/>
          <c:order val="4"/>
          <c:tx>
            <c:strRef>
              <c:f>Sheet2!$R$18</c:f>
              <c:strCache>
                <c:ptCount val="1"/>
                <c:pt idx="0">
                  <c:v>5%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Sheet2!$S$12:$Z$13</c:f>
              <c:multiLvlStrCache>
                <c:ptCount val="8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  <c:pt idx="6">
                    <c:v>GP</c:v>
                  </c:pt>
                  <c:pt idx="7">
                    <c:v>GCM</c:v>
                  </c:pt>
                </c:lvl>
                <c:lvl>
                  <c:pt idx="0">
                    <c:v>CO</c:v>
                  </c:pt>
                  <c:pt idx="2">
                    <c:v>SET</c:v>
                  </c:pt>
                  <c:pt idx="4">
                    <c:v>SAF</c:v>
                  </c:pt>
                  <c:pt idx="6">
                    <c:v>SEG</c:v>
                  </c:pt>
                </c:lvl>
              </c:multiLvlStrCache>
            </c:multiLvlStrRef>
          </c:cat>
          <c:val>
            <c:numRef>
              <c:f>Sheet2!$S$18:$Z$18</c:f>
              <c:numCache>
                <c:formatCode>0.0000</c:formatCode>
                <c:ptCount val="8"/>
                <c:pt idx="0">
                  <c:v>4.4632573651824421</c:v>
                </c:pt>
                <c:pt idx="1">
                  <c:v>4.4443742798887378</c:v>
                </c:pt>
                <c:pt idx="2">
                  <c:v>1.1906842872420158E-2</c:v>
                </c:pt>
                <c:pt idx="3">
                  <c:v>1.1860117064604747E-2</c:v>
                </c:pt>
                <c:pt idx="4">
                  <c:v>0.39848683769642973</c:v>
                </c:pt>
                <c:pt idx="5">
                  <c:v>0.38218647059894079</c:v>
                </c:pt>
                <c:pt idx="6">
                  <c:v>2.1493629440536934E-2</c:v>
                </c:pt>
                <c:pt idx="7">
                  <c:v>1.9472089211522742E-2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7D-48D1-B1EB-98307BFA64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2969839"/>
        <c:axId val="1312955439"/>
      </c:barChart>
      <c:catAx>
        <c:axId val="131296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955439"/>
        <c:crosses val="autoZero"/>
        <c:auto val="1"/>
        <c:lblAlgn val="ctr"/>
        <c:lblOffset val="100"/>
        <c:noMultiLvlLbl val="0"/>
      </c:catAx>
      <c:valAx>
        <c:axId val="131295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96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Sheet2!$Q$48</c:f>
              <c:strCache>
                <c:ptCount val="1"/>
                <c:pt idx="0">
                  <c:v>1%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Sheet2!$R$46:$W$47</c:f>
              <c:multiLvlStrCache>
                <c:ptCount val="6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</c:lvl>
                <c:lvl>
                  <c:pt idx="0">
                    <c:v>HAN</c:v>
                  </c:pt>
                  <c:pt idx="2">
                    <c:v>TRE</c:v>
                  </c:pt>
                  <c:pt idx="4">
                    <c:v>SEL</c:v>
                  </c:pt>
                </c:lvl>
              </c:multiLvlStrCache>
            </c:multiLvlStrRef>
          </c:cat>
          <c:val>
            <c:numRef>
              <c:f>Sheet2!$R$48:$W$48</c:f>
              <c:numCache>
                <c:formatCode>0.00000</c:formatCode>
                <c:ptCount val="6"/>
                <c:pt idx="0">
                  <c:v>2.461197150278799E-3</c:v>
                </c:pt>
                <c:pt idx="1">
                  <c:v>2.4515387188846008E-3</c:v>
                </c:pt>
                <c:pt idx="2">
                  <c:v>4.1741393550693813E-3</c:v>
                </c:pt>
                <c:pt idx="3">
                  <c:v>4.1577588555952978E-3</c:v>
                </c:pt>
                <c:pt idx="4">
                  <c:v>-2.2369168658920107E-3</c:v>
                </c:pt>
                <c:pt idx="5">
                  <c:v>-2.2281385735693909E-3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6-4753-A6AD-5F0359AB6765}"/>
            </c:ext>
          </c:extLst>
        </c:ser>
        <c:ser>
          <c:idx val="1"/>
          <c:order val="1"/>
          <c:tx>
            <c:strRef>
              <c:f>Sheet2!$Q$49</c:f>
              <c:strCache>
                <c:ptCount val="1"/>
                <c:pt idx="0">
                  <c:v>2%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Sheet2!$R$46:$W$47</c:f>
              <c:multiLvlStrCache>
                <c:ptCount val="6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</c:lvl>
                <c:lvl>
                  <c:pt idx="0">
                    <c:v>HAN</c:v>
                  </c:pt>
                  <c:pt idx="2">
                    <c:v>TRE</c:v>
                  </c:pt>
                  <c:pt idx="4">
                    <c:v>SEL</c:v>
                  </c:pt>
                </c:lvl>
              </c:multiLvlStrCache>
            </c:multiLvlStrRef>
          </c:cat>
          <c:val>
            <c:numRef>
              <c:f>Sheet2!$R$49:$W$49</c:f>
              <c:numCache>
                <c:formatCode>0.00000</c:formatCode>
                <c:ptCount val="6"/>
                <c:pt idx="0">
                  <c:v>4.922394300557598E-3</c:v>
                </c:pt>
                <c:pt idx="1">
                  <c:v>4.9030774377692016E-3</c:v>
                </c:pt>
                <c:pt idx="2">
                  <c:v>8.3482787101387627E-3</c:v>
                </c:pt>
                <c:pt idx="3">
                  <c:v>8.315517711204817E-3</c:v>
                </c:pt>
                <c:pt idx="4">
                  <c:v>-4.4738337317840214E-3</c:v>
                </c:pt>
                <c:pt idx="5">
                  <c:v>-4.4562771471245623E-3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66-4753-A6AD-5F0359AB6765}"/>
            </c:ext>
          </c:extLst>
        </c:ser>
        <c:ser>
          <c:idx val="2"/>
          <c:order val="2"/>
          <c:tx>
            <c:strRef>
              <c:f>Sheet2!$Q$50</c:f>
              <c:strCache>
                <c:ptCount val="1"/>
                <c:pt idx="0">
                  <c:v>3%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Sheet2!$R$46:$W$47</c:f>
              <c:multiLvlStrCache>
                <c:ptCount val="6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</c:lvl>
                <c:lvl>
                  <c:pt idx="0">
                    <c:v>HAN</c:v>
                  </c:pt>
                  <c:pt idx="2">
                    <c:v>TRE</c:v>
                  </c:pt>
                  <c:pt idx="4">
                    <c:v>SEL</c:v>
                  </c:pt>
                </c:lvl>
              </c:multiLvlStrCache>
            </c:multiLvlStrRef>
          </c:cat>
          <c:val>
            <c:numRef>
              <c:f>Sheet2!$R$50:$W$50</c:f>
              <c:numCache>
                <c:formatCode>0.00000</c:formatCode>
                <c:ptCount val="6"/>
                <c:pt idx="0">
                  <c:v>7.3835914508363978E-3</c:v>
                </c:pt>
                <c:pt idx="1">
                  <c:v>7.3546161566538024E-3</c:v>
                </c:pt>
                <c:pt idx="2">
                  <c:v>1.252241806519387E-2</c:v>
                </c:pt>
                <c:pt idx="3">
                  <c:v>1.2473276566814335E-2</c:v>
                </c:pt>
                <c:pt idx="4">
                  <c:v>-6.7107505976760316E-3</c:v>
                </c:pt>
                <c:pt idx="5">
                  <c:v>-6.6844157206797346E-3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66-4753-A6AD-5F0359AB6765}"/>
            </c:ext>
          </c:extLst>
        </c:ser>
        <c:ser>
          <c:idx val="3"/>
          <c:order val="3"/>
          <c:tx>
            <c:strRef>
              <c:f>Sheet2!$Q$51</c:f>
              <c:strCache>
                <c:ptCount val="1"/>
                <c:pt idx="0">
                  <c:v>4%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Sheet2!$R$46:$W$47</c:f>
              <c:multiLvlStrCache>
                <c:ptCount val="6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</c:lvl>
                <c:lvl>
                  <c:pt idx="0">
                    <c:v>HAN</c:v>
                  </c:pt>
                  <c:pt idx="2">
                    <c:v>TRE</c:v>
                  </c:pt>
                  <c:pt idx="4">
                    <c:v>SEL</c:v>
                  </c:pt>
                </c:lvl>
              </c:multiLvlStrCache>
            </c:multiLvlStrRef>
          </c:cat>
          <c:val>
            <c:numRef>
              <c:f>Sheet2!$R$51:$W$51</c:f>
              <c:numCache>
                <c:formatCode>0.00000</c:formatCode>
                <c:ptCount val="6"/>
                <c:pt idx="0">
                  <c:v>9.8447886011294727E-3</c:v>
                </c:pt>
                <c:pt idx="1">
                  <c:v>9.8061548755384031E-3</c:v>
                </c:pt>
                <c:pt idx="2">
                  <c:v>1.6696557420263252E-2</c:v>
                </c:pt>
                <c:pt idx="3">
                  <c:v>1.6631035422409634E-2</c:v>
                </c:pt>
                <c:pt idx="4">
                  <c:v>-8.9476674635823178E-3</c:v>
                </c:pt>
                <c:pt idx="5">
                  <c:v>-8.9125542942349052E-3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66-4753-A6AD-5F0359AB6765}"/>
            </c:ext>
          </c:extLst>
        </c:ser>
        <c:ser>
          <c:idx val="4"/>
          <c:order val="4"/>
          <c:tx>
            <c:strRef>
              <c:f>Sheet2!$Q$52</c:f>
              <c:strCache>
                <c:ptCount val="1"/>
                <c:pt idx="0">
                  <c:v>5%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Sheet2!$R$46:$W$47</c:f>
              <c:multiLvlStrCache>
                <c:ptCount val="6"/>
                <c:lvl>
                  <c:pt idx="0">
                    <c:v>GP</c:v>
                  </c:pt>
                  <c:pt idx="1">
                    <c:v>GCM</c:v>
                  </c:pt>
                  <c:pt idx="2">
                    <c:v>GP</c:v>
                  </c:pt>
                  <c:pt idx="3">
                    <c:v>GCM</c:v>
                  </c:pt>
                  <c:pt idx="4">
                    <c:v>GP</c:v>
                  </c:pt>
                  <c:pt idx="5">
                    <c:v>GCM</c:v>
                  </c:pt>
                </c:lvl>
                <c:lvl>
                  <c:pt idx="0">
                    <c:v>HAN</c:v>
                  </c:pt>
                  <c:pt idx="2">
                    <c:v>TRE</c:v>
                  </c:pt>
                  <c:pt idx="4">
                    <c:v>SEL</c:v>
                  </c:pt>
                </c:lvl>
              </c:multiLvlStrCache>
            </c:multiLvlStrRef>
          </c:cat>
          <c:val>
            <c:numRef>
              <c:f>Sheet2!$R$52:$W$52</c:f>
              <c:numCache>
                <c:formatCode>0.00000</c:formatCode>
                <c:ptCount val="6"/>
                <c:pt idx="0">
                  <c:v>1.2305985751408271E-2</c:v>
                </c:pt>
                <c:pt idx="1">
                  <c:v>1.2257693594423006E-2</c:v>
                </c:pt>
                <c:pt idx="2">
                  <c:v>2.0870696775332633E-2</c:v>
                </c:pt>
                <c:pt idx="3">
                  <c:v>2.0788794278019149E-2</c:v>
                </c:pt>
                <c:pt idx="4">
                  <c:v>-1.1184584329474329E-2</c:v>
                </c:pt>
                <c:pt idx="5">
                  <c:v>-1.1140692867804296E-2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66-4753-A6AD-5F0359AB67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9883343"/>
        <c:axId val="989883823"/>
      </c:barChart>
      <c:catAx>
        <c:axId val="98988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883823"/>
        <c:crosses val="autoZero"/>
        <c:auto val="1"/>
        <c:lblAlgn val="ctr"/>
        <c:lblOffset val="100"/>
        <c:noMultiLvlLbl val="0"/>
      </c:catAx>
      <c:valAx>
        <c:axId val="98988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88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'mixed graph'!$H$26:$I$26</c:f>
              <c:strCache>
                <c:ptCount val="2"/>
                <c:pt idx="0">
                  <c:v>GP</c:v>
                </c:pt>
                <c:pt idx="1">
                  <c:v>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'mixed graph'!$J$25:$N$25</c:f>
              <c:numCache>
                <c:formatCode>0%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'mixed graph'!$J$26:$N$26</c:f>
              <c:numCache>
                <c:formatCode>0.000</c:formatCode>
                <c:ptCount val="5"/>
                <c:pt idx="0">
                  <c:v>7.9697367539291658E-2</c:v>
                </c:pt>
                <c:pt idx="1">
                  <c:v>0.15939473507858332</c:v>
                </c:pt>
                <c:pt idx="2">
                  <c:v>0.23909210261786074</c:v>
                </c:pt>
                <c:pt idx="3">
                  <c:v>0.31878947015715237</c:v>
                </c:pt>
                <c:pt idx="4">
                  <c:v>0.39848683769642973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B-4EE8-B660-75BF99845091}"/>
            </c:ext>
          </c:extLst>
        </c:ser>
        <c:ser>
          <c:idx val="2"/>
          <c:order val="2"/>
          <c:tx>
            <c:strRef>
              <c:f>'mixed graph'!$H$28:$I$28</c:f>
              <c:strCache>
                <c:ptCount val="2"/>
                <c:pt idx="0">
                  <c:v>GCM</c:v>
                </c:pt>
                <c:pt idx="1">
                  <c:v>Cost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'mixed graph'!$J$25:$N$25</c:f>
              <c:numCache>
                <c:formatCode>0%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'mixed graph'!$J$28:$N$28</c:f>
              <c:numCache>
                <c:formatCode>0.000</c:formatCode>
                <c:ptCount val="5"/>
                <c:pt idx="0">
                  <c:v>7.680339576539813E-2</c:v>
                </c:pt>
                <c:pt idx="1">
                  <c:v>0.15939636048641173</c:v>
                </c:pt>
                <c:pt idx="2">
                  <c:v>0.2294452591369536</c:v>
                </c:pt>
                <c:pt idx="3">
                  <c:v>0.30361037031499327</c:v>
                </c:pt>
                <c:pt idx="4">
                  <c:v>0.38401697882703334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7B-4EE8-B660-75BF998450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38254207"/>
        <c:axId val="1438271007"/>
      </c:barChart>
      <c:lineChart>
        <c:grouping val="standard"/>
        <c:varyColors val="0"/>
        <c:ser>
          <c:idx val="1"/>
          <c:order val="1"/>
          <c:tx>
            <c:strRef>
              <c:f>'mixed graph'!$H$27:$I$27</c:f>
              <c:strCache>
                <c:ptCount val="2"/>
                <c:pt idx="0">
                  <c:v>GP</c:v>
                </c:pt>
                <c:pt idx="1">
                  <c:v>Emission</c:v>
                </c:pt>
              </c:strCache>
            </c:strRef>
          </c:tx>
          <c:spPr>
            <a:ln w="730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'mixed graph'!$J$25:$N$25</c:f>
              <c:numCache>
                <c:formatCode>0%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'mixed graph'!$J$27:$N$27</c:f>
              <c:numCache>
                <c:formatCode>0.000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7B-4EE8-B660-75BF99845091}"/>
            </c:ext>
          </c:extLst>
        </c:ser>
        <c:ser>
          <c:idx val="3"/>
          <c:order val="3"/>
          <c:tx>
            <c:strRef>
              <c:f>'mixed graph'!$H$29:$I$29</c:f>
              <c:strCache>
                <c:ptCount val="2"/>
                <c:pt idx="0">
                  <c:v>GCM</c:v>
                </c:pt>
                <c:pt idx="1">
                  <c:v>Emission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'mixed graph'!$J$25:$N$25</c:f>
              <c:numCache>
                <c:formatCode>0%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cat>
          <c:val>
            <c:numRef>
              <c:f>'mixed graph'!$J$29:$N$29</c:f>
              <c:numCache>
                <c:formatCode>0.000</c:formatCode>
                <c:ptCount val="5"/>
                <c:pt idx="0">
                  <c:v>6.4035994297774804E-3</c:v>
                </c:pt>
                <c:pt idx="1">
                  <c:v>5.6829951592582721E-4</c:v>
                </c:pt>
                <c:pt idx="2">
                  <c:v>1.4526360319382016E-2</c:v>
                </c:pt>
                <c:pt idx="3">
                  <c:v>1.9230394864996777E-2</c:v>
                </c:pt>
                <c:pt idx="4">
                  <c:v>1.8275318843444292E-2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7B-4EE8-B660-75BF998450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17398223"/>
        <c:axId val="1617401103"/>
      </c:lineChart>
      <c:catAx>
        <c:axId val="1438254207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271007"/>
        <c:crosses val="autoZero"/>
        <c:auto val="1"/>
        <c:lblAlgn val="ctr"/>
        <c:lblOffset val="100"/>
        <c:noMultiLvlLbl val="0"/>
      </c:catAx>
      <c:valAx>
        <c:axId val="143827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254207"/>
        <c:crosses val="autoZero"/>
        <c:crossBetween val="between"/>
      </c:valAx>
      <c:valAx>
        <c:axId val="1617401103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398223"/>
        <c:crosses val="max"/>
        <c:crossBetween val="between"/>
      </c:valAx>
      <c:catAx>
        <c:axId val="1617398223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16174011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533400</xdr:colOff>
      <xdr:row>12</xdr:row>
      <xdr:rowOff>34290</xdr:rowOff>
    </xdr:from>
    <xdr:to>
      <xdr:col>25</xdr:col>
      <xdr:colOff>68580</xdr:colOff>
      <xdr:row>27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F854A6-C1C4-5CCF-49E1-F43AB56EB3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457200</xdr:colOff>
      <xdr:row>67</xdr:row>
      <xdr:rowOff>19050</xdr:rowOff>
    </xdr:from>
    <xdr:to>
      <xdr:col>24</xdr:col>
      <xdr:colOff>624840</xdr:colOff>
      <xdr:row>82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E338C3-D863-FED9-5E07-B67EC191E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541020</xdr:colOff>
      <xdr:row>103</xdr:row>
      <xdr:rowOff>110490</xdr:rowOff>
    </xdr:from>
    <xdr:to>
      <xdr:col>24</xdr:col>
      <xdr:colOff>99060</xdr:colOff>
      <xdr:row>118</xdr:row>
      <xdr:rowOff>110490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95A525-FE57-770B-B516-1F86C5FEB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106680</xdr:colOff>
      <xdr:row>79</xdr:row>
      <xdr:rowOff>72390</xdr:rowOff>
    </xdr:from>
    <xdr:to>
      <xdr:col>27</xdr:col>
      <xdr:colOff>411480</xdr:colOff>
      <xdr:row>94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1EC54C-34AE-1C73-355B-DD63EB2F2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76200</xdr:colOff>
      <xdr:row>19</xdr:row>
      <xdr:rowOff>34290</xdr:rowOff>
    </xdr:from>
    <xdr:to>
      <xdr:col>25</xdr:col>
      <xdr:colOff>381000</xdr:colOff>
      <xdr:row>34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618088-A5A8-76C4-FD99-135E55851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38100</xdr:colOff>
      <xdr:row>53</xdr:row>
      <xdr:rowOff>72390</xdr:rowOff>
    </xdr:from>
    <xdr:to>
      <xdr:col>23</xdr:col>
      <xdr:colOff>342900</xdr:colOff>
      <xdr:row>68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01B603-9001-DAD1-2D5D-B4D91160C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5</xdr:row>
      <xdr:rowOff>19050</xdr:rowOff>
    </xdr:from>
    <xdr:to>
      <xdr:col>22</xdr:col>
      <xdr:colOff>533400</xdr:colOff>
      <xdr:row>22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940121-307D-3FB7-405F-101F013B1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F80A5-EFB1-488C-ADAF-88E4297040D8}">
  <dimension ref="A1:T621"/>
  <sheetViews>
    <sheetView tabSelected="1" topLeftCell="A595" zoomScale="99" zoomScaleNormal="100" workbookViewId="0">
      <selection activeCell="E621" sqref="E621:K621"/>
    </sheetView>
  </sheetViews>
  <sheetFormatPr defaultRowHeight="14.4" x14ac:dyDescent="0.3"/>
  <cols>
    <col min="13" max="13" width="11" customWidth="1"/>
    <col min="15" max="15" width="14.21875" customWidth="1"/>
    <col min="16" max="16" width="13.5546875" customWidth="1"/>
  </cols>
  <sheetData>
    <row r="1" spans="1:17" x14ac:dyDescent="0.3">
      <c r="A1" t="s">
        <v>1</v>
      </c>
    </row>
    <row r="2" spans="1:17" x14ac:dyDescent="0.3">
      <c r="A2" s="1" t="s">
        <v>0</v>
      </c>
    </row>
    <row r="4" spans="1:17" x14ac:dyDescent="0.3">
      <c r="A4" t="s">
        <v>2</v>
      </c>
      <c r="B4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3" t="s">
        <v>8</v>
      </c>
      <c r="I4" s="3" t="s">
        <v>9</v>
      </c>
      <c r="J4" s="3" t="s">
        <v>10</v>
      </c>
      <c r="K4" s="4" t="s">
        <v>13</v>
      </c>
      <c r="L4" s="4" t="s">
        <v>12</v>
      </c>
      <c r="M4" s="5" t="s">
        <v>11</v>
      </c>
      <c r="O4" t="s">
        <v>14</v>
      </c>
      <c r="P4" t="s">
        <v>30</v>
      </c>
      <c r="Q4" t="s">
        <v>31</v>
      </c>
    </row>
    <row r="5" spans="1:17" x14ac:dyDescent="0.3">
      <c r="A5">
        <v>1</v>
      </c>
      <c r="B5">
        <v>545</v>
      </c>
      <c r="D5">
        <v>965.5</v>
      </c>
      <c r="E5">
        <v>966.5</v>
      </c>
      <c r="F5">
        <v>968.7</v>
      </c>
      <c r="G5">
        <v>969.2</v>
      </c>
      <c r="H5">
        <v>0.46</v>
      </c>
      <c r="I5">
        <v>0.11</v>
      </c>
      <c r="J5">
        <v>0.55000000000000004</v>
      </c>
      <c r="K5">
        <f>((F5^2)+(F5*G5)+(G5^2)-(D5^2)-(D5*E5)-(E5^2))/(3*(G5+F5-D5-E5))</f>
        <v>967.46440677965245</v>
      </c>
      <c r="L5">
        <f>(H5-(2*I5)-J5+2)/3</f>
        <v>0.56333333333333335</v>
      </c>
      <c r="M5" s="7">
        <f>K5*L5</f>
        <v>545.00494915253762</v>
      </c>
      <c r="O5">
        <f>H5^2+I5^2+J5^2</f>
        <v>0.5262</v>
      </c>
      <c r="P5" t="str">
        <f>IF(AND(O5&gt;=0,O5&lt;=1),"Yes","No")</f>
        <v>Yes</v>
      </c>
      <c r="Q5" t="str">
        <f>IF(ROUND(M5,2)=B5,"Yes","No")</f>
        <v>Yes</v>
      </c>
    </row>
    <row r="6" spans="1:17" x14ac:dyDescent="0.3">
      <c r="A6">
        <v>2</v>
      </c>
      <c r="B6">
        <v>423</v>
      </c>
      <c r="D6">
        <v>627</v>
      </c>
      <c r="E6">
        <v>627.5</v>
      </c>
      <c r="F6">
        <v>628.6</v>
      </c>
      <c r="G6">
        <v>629.70000000000005</v>
      </c>
      <c r="H6">
        <v>0.53</v>
      </c>
      <c r="I6">
        <v>0.09</v>
      </c>
      <c r="J6">
        <v>0.33</v>
      </c>
      <c r="K6">
        <f>((F6^2)+(F6*G6)+(G6^2)-(D6^2)-(D6*E6)-(E6^2))/(3*(G6+F6-D6-E6))</f>
        <v>628.22105263156686</v>
      </c>
      <c r="L6">
        <f>(H6-(2*I6)-J6+2)/3</f>
        <v>0.67333333333333334</v>
      </c>
      <c r="M6" s="7">
        <f t="shared" ref="M6:M8" si="0">K6*L6</f>
        <v>423.00217543858838</v>
      </c>
      <c r="O6">
        <f t="shared" ref="O6:O8" si="1">H6^2+I6^2+J6^2</f>
        <v>0.39790000000000003</v>
      </c>
      <c r="P6" t="str">
        <f t="shared" ref="P6:P8" si="2">IF(AND(O6&gt;=0,O6&lt;=1),"Yes","No")</f>
        <v>Yes</v>
      </c>
      <c r="Q6" t="str">
        <f t="shared" ref="Q6:Q8" si="3">IF(ROUND(M6,2)=B6,"Yes","No")</f>
        <v>Yes</v>
      </c>
    </row>
    <row r="7" spans="1:17" x14ac:dyDescent="0.3">
      <c r="A7">
        <v>3</v>
      </c>
      <c r="B7">
        <v>587</v>
      </c>
      <c r="D7">
        <v>940.3</v>
      </c>
      <c r="E7">
        <v>941.4</v>
      </c>
      <c r="F7">
        <v>942.2</v>
      </c>
      <c r="G7">
        <v>943</v>
      </c>
      <c r="H7">
        <v>0.87</v>
      </c>
      <c r="I7">
        <v>0.34</v>
      </c>
      <c r="J7">
        <v>0.32</v>
      </c>
      <c r="K7">
        <f>((F7^2)+(F7*G7)+(G7^2)-(D7^2)-(D7*E7)-(E7^2))/(3*(G7+F7-D7-E7))</f>
        <v>941.71142857146185</v>
      </c>
      <c r="L7">
        <f t="shared" ref="L7:L8" si="4">(H7-(2*I7)-J7+2)/3</f>
        <v>0.62333333333333329</v>
      </c>
      <c r="M7" s="7">
        <f t="shared" si="0"/>
        <v>587.00012380954456</v>
      </c>
      <c r="O7">
        <f t="shared" si="1"/>
        <v>0.9749000000000001</v>
      </c>
      <c r="P7" t="str">
        <f t="shared" si="2"/>
        <v>Yes</v>
      </c>
      <c r="Q7" t="str">
        <f t="shared" si="3"/>
        <v>Yes</v>
      </c>
    </row>
    <row r="8" spans="1:17" x14ac:dyDescent="0.3">
      <c r="A8">
        <v>4</v>
      </c>
      <c r="B8">
        <v>387</v>
      </c>
      <c r="D8">
        <v>541.1</v>
      </c>
      <c r="E8">
        <v>542</v>
      </c>
      <c r="F8">
        <v>543</v>
      </c>
      <c r="G8">
        <v>544</v>
      </c>
      <c r="H8">
        <v>0.83</v>
      </c>
      <c r="I8">
        <v>0.28999999999999998</v>
      </c>
      <c r="J8">
        <v>0.11</v>
      </c>
      <c r="K8">
        <f>((F8^2)+(F8*G8)+(G8^2)-(D8^2)-(D8*E8)-(E8^2))/(3*(G8+F8-D8-E8))</f>
        <v>542.5290598290652</v>
      </c>
      <c r="L8">
        <f t="shared" si="4"/>
        <v>0.71333333333333337</v>
      </c>
      <c r="M8" s="7">
        <f t="shared" si="0"/>
        <v>387.00406267806653</v>
      </c>
      <c r="O8">
        <f t="shared" si="1"/>
        <v>0.78509999999999991</v>
      </c>
      <c r="P8" t="str">
        <f t="shared" si="2"/>
        <v>Yes</v>
      </c>
      <c r="Q8" t="str">
        <f t="shared" si="3"/>
        <v>Yes</v>
      </c>
    </row>
    <row r="9" spans="1:17" x14ac:dyDescent="0.3">
      <c r="M9" s="7"/>
    </row>
    <row r="10" spans="1:17" x14ac:dyDescent="0.3">
      <c r="M10" s="7"/>
    </row>
    <row r="11" spans="1:17" x14ac:dyDescent="0.3">
      <c r="M11" s="7"/>
    </row>
    <row r="12" spans="1:17" x14ac:dyDescent="0.3">
      <c r="A12" t="s">
        <v>16</v>
      </c>
      <c r="M12" s="7"/>
    </row>
    <row r="13" spans="1:17" x14ac:dyDescent="0.3">
      <c r="A13" s="1" t="s">
        <v>15</v>
      </c>
      <c r="M13" s="7"/>
    </row>
    <row r="14" spans="1:17" x14ac:dyDescent="0.3">
      <c r="M14" s="7"/>
    </row>
    <row r="15" spans="1:17" x14ac:dyDescent="0.3">
      <c r="A15" t="s">
        <v>2</v>
      </c>
      <c r="B15" t="s">
        <v>17</v>
      </c>
      <c r="D15" s="2" t="s">
        <v>4</v>
      </c>
      <c r="E15" s="2" t="s">
        <v>5</v>
      </c>
      <c r="F15" s="2" t="s">
        <v>6</v>
      </c>
      <c r="G15" s="2" t="s">
        <v>7</v>
      </c>
      <c r="H15" s="3" t="s">
        <v>8</v>
      </c>
      <c r="I15" s="3" t="s">
        <v>9</v>
      </c>
      <c r="J15" s="3" t="s">
        <v>10</v>
      </c>
      <c r="K15" s="4" t="s">
        <v>13</v>
      </c>
      <c r="L15" s="4" t="s">
        <v>12</v>
      </c>
      <c r="M15" s="9" t="s">
        <v>11</v>
      </c>
      <c r="O15" t="s">
        <v>14</v>
      </c>
      <c r="P15" t="s">
        <v>30</v>
      </c>
      <c r="Q15" t="s">
        <v>31</v>
      </c>
    </row>
    <row r="16" spans="1:17" x14ac:dyDescent="0.3">
      <c r="A16">
        <v>1</v>
      </c>
      <c r="B16">
        <v>45</v>
      </c>
      <c r="D16">
        <v>72.3</v>
      </c>
      <c r="E16">
        <v>73.3</v>
      </c>
      <c r="F16">
        <v>74.3</v>
      </c>
      <c r="G16">
        <v>75.2</v>
      </c>
      <c r="H16">
        <v>0.62</v>
      </c>
      <c r="I16">
        <v>0.23</v>
      </c>
      <c r="J16">
        <v>0.33</v>
      </c>
      <c r="K16">
        <f>((F16^2)+(F16*G16)+(G16^2)-(D16^2)-(D16*E16)-(E16^2))/(3*(G16+F16-D16-E16))</f>
        <v>73.770940170940051</v>
      </c>
      <c r="L16">
        <f>(H16-(2*I16)-J16+2)/3</f>
        <v>0.61</v>
      </c>
      <c r="M16" s="7">
        <f>K16*L16</f>
        <v>45.00027350427343</v>
      </c>
      <c r="O16">
        <f>H16^2+I16^2+J16^2</f>
        <v>0.54620000000000002</v>
      </c>
      <c r="P16" t="str">
        <f>IF(AND(O16&gt;=0,O16&lt;=1),"Yes","No")</f>
        <v>Yes</v>
      </c>
      <c r="Q16" t="str">
        <f>IF(ROUND(M16,1)=B16,"Yes","No")</f>
        <v>Yes</v>
      </c>
    </row>
    <row r="17" spans="1:17" x14ac:dyDescent="0.3">
      <c r="A17">
        <v>2</v>
      </c>
      <c r="B17">
        <v>34</v>
      </c>
      <c r="D17">
        <v>62.5</v>
      </c>
      <c r="E17">
        <v>63.5</v>
      </c>
      <c r="F17">
        <v>64</v>
      </c>
      <c r="G17">
        <v>65</v>
      </c>
      <c r="H17">
        <v>0.46</v>
      </c>
      <c r="I17">
        <v>0.21</v>
      </c>
      <c r="J17">
        <v>0.44</v>
      </c>
      <c r="K17">
        <f>((F17^2)+(F17*G17)+(G17^2)-(D17^2)-(D17*E17)-(E17^2))/(3*(G17+F17-D17-E17))</f>
        <v>63.75</v>
      </c>
      <c r="L17">
        <f>(H17-(2*I17)-J17+2)/3</f>
        <v>0.53333333333333333</v>
      </c>
      <c r="M17" s="7">
        <f t="shared" ref="M17:M19" si="5">K17*L17</f>
        <v>34</v>
      </c>
      <c r="O17">
        <f t="shared" ref="O17:O19" si="6">H17^2+I17^2+J17^2</f>
        <v>0.44929999999999998</v>
      </c>
      <c r="P17" t="str">
        <f t="shared" ref="P17:P19" si="7">IF(AND(O17&gt;=0,O17&lt;=1),"Yes","No")</f>
        <v>Yes</v>
      </c>
      <c r="Q17" t="str">
        <f t="shared" ref="Q17:Q19" si="8">IF(ROUND(M17,1)=B17,"Yes","No")</f>
        <v>Yes</v>
      </c>
    </row>
    <row r="18" spans="1:17" x14ac:dyDescent="0.3">
      <c r="A18">
        <v>3</v>
      </c>
      <c r="B18">
        <v>56</v>
      </c>
      <c r="D18">
        <v>80.8</v>
      </c>
      <c r="E18">
        <v>81.8</v>
      </c>
      <c r="F18">
        <v>82.8</v>
      </c>
      <c r="G18">
        <v>84</v>
      </c>
      <c r="H18">
        <v>0.88</v>
      </c>
      <c r="I18">
        <v>0.34</v>
      </c>
      <c r="J18">
        <v>0.16</v>
      </c>
      <c r="K18">
        <f>((F18^2)+(F18*G18)+(G18^2)-(D18^2)-(D18*E18)-(E18^2))/(3*(G18+F18-D18-E18))</f>
        <v>82.358730158729983</v>
      </c>
      <c r="L18">
        <f t="shared" ref="L18:L19" si="9">(H18-(2*I18)-J18+2)/3</f>
        <v>0.68</v>
      </c>
      <c r="M18" s="7">
        <f t="shared" si="5"/>
        <v>56.003936507936395</v>
      </c>
      <c r="O18">
        <f t="shared" si="6"/>
        <v>0.91559999999999997</v>
      </c>
      <c r="P18" t="str">
        <f t="shared" si="7"/>
        <v>Yes</v>
      </c>
      <c r="Q18" t="str">
        <f t="shared" si="8"/>
        <v>Yes</v>
      </c>
    </row>
    <row r="19" spans="1:17" x14ac:dyDescent="0.3">
      <c r="A19">
        <v>4</v>
      </c>
      <c r="B19">
        <v>49</v>
      </c>
      <c r="D19">
        <v>93</v>
      </c>
      <c r="E19">
        <v>93.5</v>
      </c>
      <c r="F19">
        <v>94.5</v>
      </c>
      <c r="G19">
        <v>95.8</v>
      </c>
      <c r="H19">
        <v>0.61</v>
      </c>
      <c r="I19">
        <v>0.37</v>
      </c>
      <c r="J19">
        <v>0.31</v>
      </c>
      <c r="K19">
        <f>((F19^2)+(F19*G19)+(G19^2)-(D19^2)-(D19*E19)-(E19^2))/(3*(G19+F19-D19-E19))</f>
        <v>94.231578947367964</v>
      </c>
      <c r="L19">
        <f t="shared" si="9"/>
        <v>0.52</v>
      </c>
      <c r="M19" s="7">
        <f t="shared" si="5"/>
        <v>49.000421052631346</v>
      </c>
      <c r="O19">
        <f t="shared" si="6"/>
        <v>0.60509999999999997</v>
      </c>
      <c r="P19" t="str">
        <f t="shared" si="7"/>
        <v>Yes</v>
      </c>
      <c r="Q19" t="str">
        <f t="shared" si="8"/>
        <v>Yes</v>
      </c>
    </row>
    <row r="20" spans="1:17" x14ac:dyDescent="0.3">
      <c r="M20" s="7"/>
    </row>
    <row r="21" spans="1:17" x14ac:dyDescent="0.3">
      <c r="M21" s="7"/>
    </row>
    <row r="22" spans="1:17" x14ac:dyDescent="0.3">
      <c r="M22" s="7"/>
    </row>
    <row r="23" spans="1:17" x14ac:dyDescent="0.3">
      <c r="A23" t="s">
        <v>21</v>
      </c>
      <c r="M23" s="7"/>
    </row>
    <row r="24" spans="1:17" x14ac:dyDescent="0.3">
      <c r="A24" s="1" t="s">
        <v>18</v>
      </c>
      <c r="M24" s="7"/>
    </row>
    <row r="25" spans="1:17" x14ac:dyDescent="0.3">
      <c r="M25" s="7"/>
    </row>
    <row r="26" spans="1:17" x14ac:dyDescent="0.3">
      <c r="A26" t="s">
        <v>19</v>
      </c>
      <c r="B26" t="s">
        <v>20</v>
      </c>
      <c r="D26" s="2" t="s">
        <v>4</v>
      </c>
      <c r="E26" s="2" t="s">
        <v>5</v>
      </c>
      <c r="F26" s="2" t="s">
        <v>6</v>
      </c>
      <c r="G26" s="2" t="s">
        <v>7</v>
      </c>
      <c r="H26" s="3" t="s">
        <v>8</v>
      </c>
      <c r="I26" s="3" t="s">
        <v>9</v>
      </c>
      <c r="J26" s="3" t="s">
        <v>10</v>
      </c>
      <c r="K26" s="4" t="s">
        <v>13</v>
      </c>
      <c r="L26" s="4" t="s">
        <v>12</v>
      </c>
      <c r="M26" s="9" t="s">
        <v>11</v>
      </c>
      <c r="O26" t="s">
        <v>14</v>
      </c>
      <c r="P26" t="s">
        <v>30</v>
      </c>
      <c r="Q26" t="s">
        <v>31</v>
      </c>
    </row>
    <row r="27" spans="1:17" x14ac:dyDescent="0.3">
      <c r="A27">
        <v>1</v>
      </c>
      <c r="B27">
        <v>445</v>
      </c>
      <c r="D27">
        <v>761.2</v>
      </c>
      <c r="E27">
        <v>762.5</v>
      </c>
      <c r="F27">
        <v>763.5</v>
      </c>
      <c r="G27">
        <v>764.3</v>
      </c>
      <c r="H27">
        <v>0.66</v>
      </c>
      <c r="I27">
        <v>0.23</v>
      </c>
      <c r="J27">
        <v>0.45</v>
      </c>
      <c r="K27">
        <f>((F27^2)+(F27*G27)+(G27^2)-(D27^2)-(D27*E27)-(E27^2))/(3*(G27+F27-D27-E27))</f>
        <v>762.85365853657197</v>
      </c>
      <c r="L27">
        <f>(H27-(2*I27)-J27+2)/3</f>
        <v>0.58333333333333337</v>
      </c>
      <c r="M27" s="7">
        <f>K27*L27</f>
        <v>444.99796747966701</v>
      </c>
      <c r="O27">
        <f>H27^2+I27^2+J27^2</f>
        <v>0.69100000000000006</v>
      </c>
      <c r="P27" t="str">
        <f>IF(AND(O27&gt;=0,O27&lt;=1),"Yes","No")</f>
        <v>Yes</v>
      </c>
      <c r="Q27" t="str">
        <f>IF(ROUND(M27,1)=B27,"Yes","No")</f>
        <v>Yes</v>
      </c>
    </row>
    <row r="28" spans="1:17" x14ac:dyDescent="0.3">
      <c r="A28">
        <v>2</v>
      </c>
      <c r="B28">
        <v>575</v>
      </c>
      <c r="D28">
        <v>996</v>
      </c>
      <c r="E28">
        <v>996.4</v>
      </c>
      <c r="F28">
        <v>997.1</v>
      </c>
      <c r="G28">
        <v>998.7</v>
      </c>
      <c r="H28">
        <v>0.43</v>
      </c>
      <c r="I28">
        <v>0.32</v>
      </c>
      <c r="J28">
        <v>0.06</v>
      </c>
      <c r="K28">
        <f>((F28^2)+(F28*G28)+(G28^2)-(D28^2)-(D28*E28)-(E28^2))/(3*(G28+F28-D28-E28))</f>
        <v>997.10882352936403</v>
      </c>
      <c r="L28">
        <f>(H28-(2*I28)-J28+2)/3</f>
        <v>0.57666666666666666</v>
      </c>
      <c r="M28" s="7">
        <f t="shared" ref="M28" si="10">K28*L28</f>
        <v>574.99942156859993</v>
      </c>
      <c r="O28">
        <f>H28^2+I28^2+J28^2</f>
        <v>0.29089999999999999</v>
      </c>
      <c r="P28" t="str">
        <f t="shared" ref="P28" si="11">IF(AND(O28&gt;=0,O28&lt;=1),"Yes","No")</f>
        <v>Yes</v>
      </c>
      <c r="Q28" t="str">
        <f t="shared" ref="Q28" si="12">IF(ROUND(M28,1)=B28,"Yes","No")</f>
        <v>Yes</v>
      </c>
    </row>
    <row r="32" spans="1:17" x14ac:dyDescent="0.3">
      <c r="A32" t="s">
        <v>22</v>
      </c>
    </row>
    <row r="33" spans="1:18" x14ac:dyDescent="0.3">
      <c r="A33" s="1" t="s">
        <v>23</v>
      </c>
    </row>
    <row r="35" spans="1:18" x14ac:dyDescent="0.3">
      <c r="A35" t="s">
        <v>2</v>
      </c>
      <c r="B35" t="s">
        <v>17</v>
      </c>
      <c r="D35" s="2" t="s">
        <v>4</v>
      </c>
      <c r="E35" s="2" t="s">
        <v>5</v>
      </c>
      <c r="F35" s="2" t="s">
        <v>6</v>
      </c>
      <c r="G35" s="2" t="s">
        <v>7</v>
      </c>
      <c r="H35" s="3" t="s">
        <v>8</v>
      </c>
      <c r="I35" s="3" t="s">
        <v>9</v>
      </c>
      <c r="J35" s="3" t="s">
        <v>10</v>
      </c>
      <c r="K35" s="4" t="s">
        <v>13</v>
      </c>
      <c r="L35" s="4" t="s">
        <v>12</v>
      </c>
      <c r="M35" s="9" t="s">
        <v>11</v>
      </c>
      <c r="O35" t="s">
        <v>14</v>
      </c>
      <c r="P35" t="s">
        <v>30</v>
      </c>
      <c r="Q35" t="s">
        <v>31</v>
      </c>
    </row>
    <row r="36" spans="1:18" x14ac:dyDescent="0.3">
      <c r="A36">
        <v>1</v>
      </c>
      <c r="B36">
        <v>2.4</v>
      </c>
      <c r="D36">
        <v>11.1</v>
      </c>
      <c r="E36">
        <v>12.1</v>
      </c>
      <c r="F36">
        <v>13.1</v>
      </c>
      <c r="G36">
        <v>14.2</v>
      </c>
      <c r="H36">
        <v>0.32</v>
      </c>
      <c r="I36">
        <v>0.52</v>
      </c>
      <c r="J36">
        <v>0.71</v>
      </c>
      <c r="K36">
        <f>((F36^2)+(F36*G36)+(G36^2)-(D36^2)-(D36*E36)-(E36^2))/(3*(G36+F36-D36-E36))</f>
        <v>12.629268292682939</v>
      </c>
      <c r="L36">
        <f>(H36-(2*I36)-J36+2)/3</f>
        <v>0.19000000000000003</v>
      </c>
      <c r="M36" s="6">
        <f>K36*L36</f>
        <v>2.3995609756097589</v>
      </c>
      <c r="O36">
        <f>H36^2+I36^2+J36^2</f>
        <v>0.87690000000000001</v>
      </c>
      <c r="P36" t="str">
        <f>IF(AND(O36&gt;=0,O36&lt;=1),"Yes","No")</f>
        <v>Yes</v>
      </c>
      <c r="Q36" t="str">
        <f>IF(ROUND(M36,1)=B36,"Yes","No")</f>
        <v>Yes</v>
      </c>
    </row>
    <row r="37" spans="1:18" x14ac:dyDescent="0.3">
      <c r="A37">
        <v>2</v>
      </c>
      <c r="B37">
        <v>3.2</v>
      </c>
      <c r="D37">
        <v>30.5</v>
      </c>
      <c r="E37">
        <v>31.5</v>
      </c>
      <c r="F37">
        <v>32.5</v>
      </c>
      <c r="G37">
        <v>33.5</v>
      </c>
      <c r="H37">
        <v>0.21</v>
      </c>
      <c r="I37">
        <v>0.67</v>
      </c>
      <c r="J37">
        <v>0.56999999999999995</v>
      </c>
      <c r="K37">
        <f>((F37^2)+(F37*G37)+(G37^2)-(D37^2)-(D37*E37)-(E37^2))/(3*(G37+F37-D37-E37))</f>
        <v>32</v>
      </c>
      <c r="L37">
        <f>(H37-(2*I37)-J37+2)/3</f>
        <v>9.9999999999999936E-2</v>
      </c>
      <c r="M37" s="6">
        <f t="shared" ref="M37:M39" si="13">K37*L37</f>
        <v>3.199999999999998</v>
      </c>
      <c r="O37">
        <f>H37^2+I37^2+J37^2</f>
        <v>0.81790000000000007</v>
      </c>
      <c r="P37" t="str">
        <f t="shared" ref="P37:P39" si="14">IF(AND(O37&gt;=0,O37&lt;=1),"Yes","No")</f>
        <v>Yes</v>
      </c>
      <c r="Q37" t="str">
        <f t="shared" ref="Q37:Q39" si="15">IF(ROUND(M37,1)=B37,"Yes","No")</f>
        <v>Yes</v>
      </c>
    </row>
    <row r="38" spans="1:18" x14ac:dyDescent="0.3">
      <c r="A38">
        <v>3</v>
      </c>
      <c r="B38">
        <v>2.6</v>
      </c>
      <c r="D38">
        <v>6</v>
      </c>
      <c r="E38">
        <v>7.6</v>
      </c>
      <c r="F38">
        <v>8.4</v>
      </c>
      <c r="G38">
        <v>9.6</v>
      </c>
      <c r="H38">
        <v>0.22</v>
      </c>
      <c r="I38">
        <v>0.34</v>
      </c>
      <c r="J38">
        <v>0.55000000000000004</v>
      </c>
      <c r="K38">
        <f>((F38^2)+(F38*G38)+(G38^2)-(D38^2)-(D38*E38)-(E38^2))/(3*(G38+F38-D38-E38))</f>
        <v>7.878787878787878</v>
      </c>
      <c r="L38">
        <f t="shared" ref="L38:L39" si="16">(H38-(2*I38)-J38+2)/3</f>
        <v>0.3299999999999999</v>
      </c>
      <c r="M38" s="6">
        <f t="shared" si="13"/>
        <v>2.5999999999999992</v>
      </c>
      <c r="O38">
        <f t="shared" ref="O38:O39" si="17">H38^2+I38^2+J38^2</f>
        <v>0.46650000000000008</v>
      </c>
      <c r="P38" t="str">
        <f t="shared" si="14"/>
        <v>Yes</v>
      </c>
      <c r="Q38" t="str">
        <f t="shared" si="15"/>
        <v>Yes</v>
      </c>
    </row>
    <row r="39" spans="1:18" x14ac:dyDescent="0.3">
      <c r="A39">
        <v>4</v>
      </c>
      <c r="B39">
        <v>1.8</v>
      </c>
      <c r="D39">
        <v>3.5</v>
      </c>
      <c r="E39">
        <v>4.5</v>
      </c>
      <c r="F39">
        <v>5.5</v>
      </c>
      <c r="G39">
        <v>6.5</v>
      </c>
      <c r="H39">
        <v>0.18</v>
      </c>
      <c r="I39">
        <v>0.31</v>
      </c>
      <c r="J39">
        <v>0.48</v>
      </c>
      <c r="K39">
        <f>((F39^2)+(F39*G39)+(G39^2)-(D39^2)-(D39*E39)-(E39^2))/(3*(G39+F39-D39-E39))</f>
        <v>5</v>
      </c>
      <c r="L39">
        <f t="shared" si="16"/>
        <v>0.36000000000000004</v>
      </c>
      <c r="M39" s="6">
        <f t="shared" si="13"/>
        <v>1.8000000000000003</v>
      </c>
      <c r="O39">
        <f t="shared" si="17"/>
        <v>0.3589</v>
      </c>
      <c r="P39" t="str">
        <f t="shared" si="14"/>
        <v>Yes</v>
      </c>
      <c r="Q39" t="str">
        <f t="shared" si="15"/>
        <v>Yes</v>
      </c>
    </row>
    <row r="43" spans="1:18" x14ac:dyDescent="0.3">
      <c r="A43" t="s">
        <v>24</v>
      </c>
    </row>
    <row r="44" spans="1:18" x14ac:dyDescent="0.3">
      <c r="A44" s="10" t="s">
        <v>25</v>
      </c>
    </row>
    <row r="45" spans="1:18" x14ac:dyDescent="0.3">
      <c r="A45" s="11" t="s">
        <v>26</v>
      </c>
    </row>
    <row r="46" spans="1:18" x14ac:dyDescent="0.3">
      <c r="A46" s="11" t="s">
        <v>27</v>
      </c>
    </row>
    <row r="48" spans="1:18" x14ac:dyDescent="0.3">
      <c r="A48" t="s">
        <v>28</v>
      </c>
      <c r="B48" t="s">
        <v>10</v>
      </c>
      <c r="C48" t="s">
        <v>29</v>
      </c>
      <c r="E48" s="2" t="s">
        <v>4</v>
      </c>
      <c r="F48" s="2" t="s">
        <v>5</v>
      </c>
      <c r="G48" s="2" t="s">
        <v>6</v>
      </c>
      <c r="H48" s="2" t="s">
        <v>7</v>
      </c>
      <c r="I48" s="3" t="s">
        <v>8</v>
      </c>
      <c r="J48" s="3" t="s">
        <v>9</v>
      </c>
      <c r="K48" s="3" t="s">
        <v>10</v>
      </c>
      <c r="L48" s="4" t="s">
        <v>13</v>
      </c>
      <c r="M48" s="4" t="s">
        <v>12</v>
      </c>
      <c r="N48" s="9" t="s">
        <v>11</v>
      </c>
      <c r="P48" t="s">
        <v>14</v>
      </c>
      <c r="Q48" t="s">
        <v>30</v>
      </c>
      <c r="R48" t="s">
        <v>31</v>
      </c>
    </row>
    <row r="49" spans="1:18" x14ac:dyDescent="0.3">
      <c r="A49" s="15">
        <v>1</v>
      </c>
      <c r="B49" s="15">
        <v>1</v>
      </c>
      <c r="C49">
        <v>2.8</v>
      </c>
      <c r="E49">
        <v>10.210000000000001</v>
      </c>
      <c r="F49">
        <v>12.2</v>
      </c>
      <c r="G49">
        <v>13.1</v>
      </c>
      <c r="H49">
        <v>14.1</v>
      </c>
      <c r="I49">
        <v>0.15</v>
      </c>
      <c r="J49">
        <v>0.43</v>
      </c>
      <c r="K49">
        <v>0.61</v>
      </c>
      <c r="L49">
        <f>((G49^2)+(G49*H49)+(H49^2)-(E49^2)-(E49*F49)-(F49^2))/(3*(H49+G49-E49-F49))</f>
        <v>12.351002087682668</v>
      </c>
      <c r="M49">
        <f>(I49-(2*J49)-K49+2)/3</f>
        <v>0.22666666666666671</v>
      </c>
      <c r="N49" s="6">
        <f>L49*M49</f>
        <v>2.7995604732080719</v>
      </c>
      <c r="P49">
        <f>I49^2+J49^2+K49^2</f>
        <v>0.5794999999999999</v>
      </c>
      <c r="Q49" t="str">
        <f>IF(AND(P49&gt;=0,P49&lt;=1),"Yes","No")</f>
        <v>Yes</v>
      </c>
      <c r="R49" t="str">
        <f>IF(ROUND(N49,2)=C49,"Yes","No")</f>
        <v>Yes</v>
      </c>
    </row>
    <row r="50" spans="1:18" x14ac:dyDescent="0.3">
      <c r="A50" s="15">
        <v>1</v>
      </c>
      <c r="B50" s="3">
        <v>2</v>
      </c>
      <c r="C50">
        <v>3.3</v>
      </c>
      <c r="E50">
        <v>7.49</v>
      </c>
      <c r="F50">
        <v>8.2899999999999991</v>
      </c>
      <c r="G50">
        <v>8.89</v>
      </c>
      <c r="H50">
        <v>9.5</v>
      </c>
      <c r="I50">
        <v>0.42</v>
      </c>
      <c r="J50">
        <v>0.56999999999999995</v>
      </c>
      <c r="K50">
        <v>0.12</v>
      </c>
      <c r="L50">
        <f>((G50^2)+(G50*H50)+(H50^2)-(E50^2)-(E50*F50)-(F50^2))/(3*(H50+G50-E50-F50))</f>
        <v>8.5339463601532586</v>
      </c>
      <c r="M50">
        <f>(I50-(2*J50)-K50+2)/3</f>
        <v>0.38666666666666671</v>
      </c>
      <c r="N50" s="6">
        <f t="shared" ref="N50:N53" si="18">L50*M50</f>
        <v>3.2997925925925937</v>
      </c>
      <c r="P50">
        <f>I50^2+J50^2+K50^2</f>
        <v>0.51569999999999994</v>
      </c>
      <c r="Q50" t="str">
        <f t="shared" ref="Q50:Q66" si="19">IF(AND(P50&gt;=0,P50&lt;=1),"Yes","No")</f>
        <v>Yes</v>
      </c>
      <c r="R50" t="str">
        <f>IF(ROUND(N50,2)=C50,"Yes","No")</f>
        <v>Yes</v>
      </c>
    </row>
    <row r="51" spans="1:18" x14ac:dyDescent="0.3">
      <c r="A51" s="15">
        <v>1</v>
      </c>
      <c r="B51" s="16">
        <v>3</v>
      </c>
      <c r="C51">
        <v>1.4</v>
      </c>
      <c r="E51">
        <v>5.19</v>
      </c>
      <c r="F51">
        <v>6.16</v>
      </c>
      <c r="G51">
        <v>7.1</v>
      </c>
      <c r="H51">
        <v>8.19</v>
      </c>
      <c r="I51">
        <v>0.15</v>
      </c>
      <c r="J51">
        <v>0.45</v>
      </c>
      <c r="K51">
        <v>0.62</v>
      </c>
      <c r="L51">
        <f>((G51^2)+(G51*H51)+(H51^2)-(E51^2)-(E51*F51)-(F51^2))/(3*(H51+G51-E51-F51))</f>
        <v>6.6652284263959416</v>
      </c>
      <c r="M51">
        <f t="shared" ref="M51:M54" si="20">(I51-(2*J51)-K51+2)/3</f>
        <v>0.20999999999999996</v>
      </c>
      <c r="N51" s="6">
        <f t="shared" si="18"/>
        <v>1.3996979695431475</v>
      </c>
      <c r="P51">
        <f t="shared" ref="P51:P52" si="21">I51^2+J51^2+K51^2</f>
        <v>0.60940000000000005</v>
      </c>
      <c r="Q51" t="str">
        <f t="shared" si="19"/>
        <v>Yes</v>
      </c>
      <c r="R51" t="str">
        <f t="shared" ref="R51:R66" si="22">IF(ROUND(N51,2)=C51,"Yes","No")</f>
        <v>Yes</v>
      </c>
    </row>
    <row r="52" spans="1:18" x14ac:dyDescent="0.3">
      <c r="A52" s="15">
        <v>1</v>
      </c>
      <c r="B52" s="17">
        <v>4</v>
      </c>
      <c r="C52">
        <v>3.7</v>
      </c>
      <c r="E52">
        <v>24.9</v>
      </c>
      <c r="F52">
        <v>25.9</v>
      </c>
      <c r="G52">
        <v>26.9</v>
      </c>
      <c r="H52">
        <v>28</v>
      </c>
      <c r="I52">
        <v>0.16</v>
      </c>
      <c r="J52">
        <v>0.65</v>
      </c>
      <c r="K52">
        <v>0.44</v>
      </c>
      <c r="L52">
        <f>((G52^2)+(G52*H52)+(H52^2)-(E52^2)-(E52*F52)-(F52^2))/(3*(H52+G52-E52-F52))</f>
        <v>26.429268292682938</v>
      </c>
      <c r="M52">
        <f>(I52-(2*J52)-K52+2)/3</f>
        <v>0.13999999999999999</v>
      </c>
      <c r="N52" s="6">
        <f t="shared" si="18"/>
        <v>3.7000975609756108</v>
      </c>
      <c r="P52">
        <f t="shared" si="21"/>
        <v>0.64170000000000005</v>
      </c>
      <c r="Q52" t="str">
        <f t="shared" si="19"/>
        <v>Yes</v>
      </c>
      <c r="R52" t="str">
        <f t="shared" si="22"/>
        <v>Yes</v>
      </c>
    </row>
    <row r="53" spans="1:18" x14ac:dyDescent="0.3">
      <c r="A53" s="15">
        <v>1</v>
      </c>
      <c r="B53" s="5">
        <v>5</v>
      </c>
      <c r="C53">
        <v>2.7</v>
      </c>
      <c r="E53">
        <v>2.4</v>
      </c>
      <c r="F53">
        <v>3.5</v>
      </c>
      <c r="G53">
        <v>4.78</v>
      </c>
      <c r="H53">
        <v>6</v>
      </c>
      <c r="I53">
        <v>0.67</v>
      </c>
      <c r="J53">
        <v>0.31</v>
      </c>
      <c r="K53">
        <v>0.11</v>
      </c>
      <c r="L53">
        <f t="shared" ref="L53:L66" si="23">((G53^2)+(G53*H53)+(H53^2)-(E53^2)-(E53*F53)-(F53^2))/(3*(H53+G53-E53-F53))</f>
        <v>4.1747540983606548</v>
      </c>
      <c r="M53">
        <f t="shared" si="20"/>
        <v>0.64666666666666661</v>
      </c>
      <c r="N53" s="6">
        <f t="shared" si="18"/>
        <v>2.6996743169398898</v>
      </c>
      <c r="P53">
        <f t="shared" ref="P53:P66" si="24">I53^2+J53^2+K53^2</f>
        <v>0.55710000000000004</v>
      </c>
      <c r="Q53" t="str">
        <f t="shared" si="19"/>
        <v>Yes</v>
      </c>
      <c r="R53" t="str">
        <f t="shared" si="22"/>
        <v>Yes</v>
      </c>
    </row>
    <row r="54" spans="1:18" x14ac:dyDescent="0.3">
      <c r="A54" s="15">
        <v>1</v>
      </c>
      <c r="B54" s="18">
        <v>6</v>
      </c>
      <c r="C54">
        <v>4.2</v>
      </c>
      <c r="E54">
        <v>4.5</v>
      </c>
      <c r="F54">
        <v>5.4</v>
      </c>
      <c r="G54">
        <v>6.6</v>
      </c>
      <c r="H54">
        <v>7.1</v>
      </c>
      <c r="I54">
        <v>0.74</v>
      </c>
      <c r="J54">
        <v>0.22</v>
      </c>
      <c r="K54">
        <v>0.16</v>
      </c>
      <c r="L54">
        <f t="shared" si="23"/>
        <v>5.8877192982456137</v>
      </c>
      <c r="M54">
        <f t="shared" si="20"/>
        <v>0.71333333333333337</v>
      </c>
      <c r="N54" s="6">
        <f t="shared" ref="N54:N66" si="25">L54*M54</f>
        <v>4.1999064327485378</v>
      </c>
      <c r="P54">
        <f t="shared" si="24"/>
        <v>0.62159999999999993</v>
      </c>
      <c r="Q54" t="str">
        <f t="shared" si="19"/>
        <v>Yes</v>
      </c>
      <c r="R54" t="str">
        <f t="shared" si="22"/>
        <v>Yes</v>
      </c>
    </row>
    <row r="55" spans="1:18" x14ac:dyDescent="0.3">
      <c r="A55" s="3">
        <v>2</v>
      </c>
      <c r="B55" s="15">
        <v>1</v>
      </c>
      <c r="C55">
        <v>2.2999999999999998</v>
      </c>
      <c r="E55">
        <v>3.6</v>
      </c>
      <c r="F55">
        <v>4.8</v>
      </c>
      <c r="G55">
        <v>5.6</v>
      </c>
      <c r="H55">
        <v>6.5</v>
      </c>
      <c r="I55">
        <v>0.45</v>
      </c>
      <c r="J55">
        <v>0.31</v>
      </c>
      <c r="K55">
        <v>0.48</v>
      </c>
      <c r="L55">
        <f t="shared" si="23"/>
        <v>5.1108108108108086</v>
      </c>
      <c r="M55">
        <f t="shared" ref="M55:M66" si="26">(I55-(2*J55)-K55+2)/3</f>
        <v>0.45</v>
      </c>
      <c r="N55" s="6">
        <f t="shared" si="25"/>
        <v>2.2998648648648641</v>
      </c>
      <c r="P55">
        <f t="shared" si="24"/>
        <v>0.52900000000000003</v>
      </c>
      <c r="Q55" t="str">
        <f t="shared" si="19"/>
        <v>Yes</v>
      </c>
      <c r="R55" t="str">
        <f t="shared" si="22"/>
        <v>Yes</v>
      </c>
    </row>
    <row r="56" spans="1:18" x14ac:dyDescent="0.3">
      <c r="A56" s="3">
        <v>2</v>
      </c>
      <c r="B56" s="3">
        <v>2</v>
      </c>
      <c r="C56">
        <v>4.2</v>
      </c>
      <c r="E56">
        <v>15</v>
      </c>
      <c r="F56">
        <v>16</v>
      </c>
      <c r="G56">
        <v>17</v>
      </c>
      <c r="H56">
        <v>19</v>
      </c>
      <c r="I56">
        <v>0.18</v>
      </c>
      <c r="J56">
        <v>0.54</v>
      </c>
      <c r="K56">
        <v>0.35</v>
      </c>
      <c r="L56">
        <f t="shared" si="23"/>
        <v>16.8</v>
      </c>
      <c r="M56">
        <f t="shared" si="26"/>
        <v>0.25</v>
      </c>
      <c r="N56" s="6">
        <f t="shared" si="25"/>
        <v>4.2</v>
      </c>
      <c r="P56">
        <f t="shared" si="24"/>
        <v>0.44650000000000001</v>
      </c>
      <c r="Q56" t="str">
        <f t="shared" si="19"/>
        <v>Yes</v>
      </c>
      <c r="R56" t="str">
        <f t="shared" si="22"/>
        <v>Yes</v>
      </c>
    </row>
    <row r="57" spans="1:18" x14ac:dyDescent="0.3">
      <c r="A57" s="3">
        <v>2</v>
      </c>
      <c r="B57" s="16">
        <v>3</v>
      </c>
      <c r="C57">
        <v>3.7</v>
      </c>
      <c r="E57">
        <v>16.100000000000001</v>
      </c>
      <c r="F57">
        <v>17.2</v>
      </c>
      <c r="G57">
        <v>18.100000000000001</v>
      </c>
      <c r="H57">
        <v>19.100000000000001</v>
      </c>
      <c r="I57">
        <v>0.24</v>
      </c>
      <c r="J57">
        <v>0.56000000000000005</v>
      </c>
      <c r="K57">
        <v>0.49</v>
      </c>
      <c r="L57">
        <f t="shared" si="23"/>
        <v>17.620512820512818</v>
      </c>
      <c r="M57">
        <f t="shared" si="26"/>
        <v>0.20999999999999996</v>
      </c>
      <c r="N57" s="6">
        <f t="shared" si="25"/>
        <v>3.7003076923076912</v>
      </c>
      <c r="P57">
        <f t="shared" si="24"/>
        <v>0.61129999999999995</v>
      </c>
      <c r="Q57" t="str">
        <f t="shared" si="19"/>
        <v>Yes</v>
      </c>
      <c r="R57" t="str">
        <f t="shared" si="22"/>
        <v>Yes</v>
      </c>
    </row>
    <row r="58" spans="1:18" x14ac:dyDescent="0.3">
      <c r="A58" s="3">
        <v>2</v>
      </c>
      <c r="B58" s="17">
        <v>4</v>
      </c>
      <c r="C58">
        <v>3.6</v>
      </c>
      <c r="E58">
        <v>13.6</v>
      </c>
      <c r="F58">
        <v>14.7</v>
      </c>
      <c r="G58">
        <v>15.7</v>
      </c>
      <c r="H58">
        <v>16.100000000000001</v>
      </c>
      <c r="I58">
        <v>0.45</v>
      </c>
      <c r="J58">
        <v>0.53</v>
      </c>
      <c r="K58">
        <v>0.67</v>
      </c>
      <c r="L58">
        <f t="shared" si="23"/>
        <v>14.999999999999989</v>
      </c>
      <c r="M58">
        <f t="shared" si="26"/>
        <v>0.23999999999999991</v>
      </c>
      <c r="N58" s="6">
        <f t="shared" si="25"/>
        <v>3.5999999999999961</v>
      </c>
      <c r="P58">
        <f t="shared" si="24"/>
        <v>0.93230000000000013</v>
      </c>
      <c r="Q58" t="str">
        <f t="shared" si="19"/>
        <v>Yes</v>
      </c>
      <c r="R58" t="str">
        <f t="shared" si="22"/>
        <v>Yes</v>
      </c>
    </row>
    <row r="59" spans="1:18" x14ac:dyDescent="0.3">
      <c r="A59" s="3">
        <v>2</v>
      </c>
      <c r="B59" s="5">
        <v>5</v>
      </c>
      <c r="C59">
        <v>2.6</v>
      </c>
      <c r="E59">
        <v>5.0999999999999996</v>
      </c>
      <c r="F59">
        <v>6.12</v>
      </c>
      <c r="G59">
        <v>7</v>
      </c>
      <c r="H59">
        <v>8</v>
      </c>
      <c r="I59">
        <v>0.37</v>
      </c>
      <c r="J59">
        <v>0.38</v>
      </c>
      <c r="K59">
        <v>0.42</v>
      </c>
      <c r="L59">
        <f t="shared" si="23"/>
        <v>6.5541093474426804</v>
      </c>
      <c r="M59">
        <f t="shared" si="26"/>
        <v>0.39666666666666667</v>
      </c>
      <c r="N59" s="6">
        <f t="shared" si="25"/>
        <v>2.5997967078189297</v>
      </c>
      <c r="P59">
        <f t="shared" si="24"/>
        <v>0.4577</v>
      </c>
      <c r="Q59" t="str">
        <f t="shared" si="19"/>
        <v>Yes</v>
      </c>
      <c r="R59" t="str">
        <f t="shared" si="22"/>
        <v>Yes</v>
      </c>
    </row>
    <row r="60" spans="1:18" x14ac:dyDescent="0.3">
      <c r="A60" s="3">
        <v>2</v>
      </c>
      <c r="B60" s="18">
        <v>6</v>
      </c>
      <c r="C60">
        <v>2.4</v>
      </c>
      <c r="E60">
        <v>2.81</v>
      </c>
      <c r="F60">
        <v>3.58</v>
      </c>
      <c r="G60">
        <v>4.6100000000000003</v>
      </c>
      <c r="H60">
        <v>5.61</v>
      </c>
      <c r="I60">
        <v>0.55000000000000004</v>
      </c>
      <c r="J60">
        <v>0.35</v>
      </c>
      <c r="K60">
        <v>0.12</v>
      </c>
      <c r="L60">
        <f t="shared" si="23"/>
        <v>4.1613577023498696</v>
      </c>
      <c r="M60">
        <f t="shared" si="26"/>
        <v>0.57666666666666666</v>
      </c>
      <c r="N60" s="6">
        <f t="shared" si="25"/>
        <v>2.399716275021758</v>
      </c>
      <c r="P60">
        <f t="shared" si="24"/>
        <v>0.43940000000000007</v>
      </c>
      <c r="Q60" t="str">
        <f t="shared" si="19"/>
        <v>Yes</v>
      </c>
      <c r="R60" t="str">
        <f t="shared" si="22"/>
        <v>Yes</v>
      </c>
    </row>
    <row r="61" spans="1:18" x14ac:dyDescent="0.3">
      <c r="A61" s="16">
        <v>3</v>
      </c>
      <c r="B61" s="15">
        <v>1</v>
      </c>
      <c r="C61">
        <v>3.2</v>
      </c>
      <c r="E61">
        <v>12.38</v>
      </c>
      <c r="F61">
        <v>13.28</v>
      </c>
      <c r="G61">
        <v>14.48</v>
      </c>
      <c r="H61">
        <v>15.49</v>
      </c>
      <c r="I61">
        <v>0.05</v>
      </c>
      <c r="J61">
        <v>0.54</v>
      </c>
      <c r="K61">
        <v>0.28000000000000003</v>
      </c>
      <c r="L61">
        <f t="shared" si="23"/>
        <v>13.911562258314012</v>
      </c>
      <c r="M61">
        <f t="shared" si="26"/>
        <v>0.22999999999999998</v>
      </c>
      <c r="N61" s="6">
        <f t="shared" si="25"/>
        <v>3.1996593194122225</v>
      </c>
      <c r="P61">
        <f t="shared" si="24"/>
        <v>0.37250000000000005</v>
      </c>
      <c r="Q61" t="str">
        <f t="shared" si="19"/>
        <v>Yes</v>
      </c>
      <c r="R61" t="str">
        <f t="shared" si="22"/>
        <v>Yes</v>
      </c>
    </row>
    <row r="62" spans="1:18" x14ac:dyDescent="0.3">
      <c r="A62" s="16">
        <v>3</v>
      </c>
      <c r="B62" s="3">
        <v>2</v>
      </c>
      <c r="C62">
        <v>3.7</v>
      </c>
      <c r="E62">
        <v>6.32</v>
      </c>
      <c r="F62">
        <v>8.15</v>
      </c>
      <c r="G62">
        <v>9.25</v>
      </c>
      <c r="H62">
        <v>10.1</v>
      </c>
      <c r="I62">
        <v>0.46</v>
      </c>
      <c r="J62">
        <v>0.36</v>
      </c>
      <c r="K62">
        <v>0.42</v>
      </c>
      <c r="L62">
        <f t="shared" si="23"/>
        <v>8.4101502732240405</v>
      </c>
      <c r="M62">
        <f t="shared" si="26"/>
        <v>0.44</v>
      </c>
      <c r="N62" s="6">
        <f t="shared" si="25"/>
        <v>3.7004661202185778</v>
      </c>
      <c r="P62">
        <f t="shared" si="24"/>
        <v>0.51759999999999995</v>
      </c>
      <c r="Q62" t="str">
        <f t="shared" si="19"/>
        <v>Yes</v>
      </c>
      <c r="R62" t="str">
        <f t="shared" si="22"/>
        <v>Yes</v>
      </c>
    </row>
    <row r="63" spans="1:18" x14ac:dyDescent="0.3">
      <c r="A63" s="16">
        <v>3</v>
      </c>
      <c r="B63" s="16">
        <v>3</v>
      </c>
      <c r="C63">
        <v>4.0999999999999996</v>
      </c>
      <c r="E63">
        <v>6.67</v>
      </c>
      <c r="F63">
        <v>7.36</v>
      </c>
      <c r="G63">
        <v>8.3800000000000008</v>
      </c>
      <c r="H63">
        <v>9.3000000000000007</v>
      </c>
      <c r="I63">
        <v>0.15</v>
      </c>
      <c r="J63">
        <v>0.12</v>
      </c>
      <c r="K63">
        <v>0.36</v>
      </c>
      <c r="L63">
        <f t="shared" si="23"/>
        <v>7.9359543378995454</v>
      </c>
      <c r="M63">
        <f t="shared" si="26"/>
        <v>0.51666666666666672</v>
      </c>
      <c r="N63" s="6">
        <f t="shared" si="25"/>
        <v>4.1002430745814324</v>
      </c>
      <c r="P63">
        <f t="shared" si="24"/>
        <v>0.16649999999999998</v>
      </c>
      <c r="Q63" t="str">
        <f t="shared" si="19"/>
        <v>Yes</v>
      </c>
      <c r="R63" t="str">
        <f t="shared" si="22"/>
        <v>Yes</v>
      </c>
    </row>
    <row r="64" spans="1:18" x14ac:dyDescent="0.3">
      <c r="A64" s="16">
        <v>3</v>
      </c>
      <c r="B64" s="17">
        <v>4</v>
      </c>
      <c r="C64">
        <v>1.7</v>
      </c>
      <c r="E64">
        <v>5.52</v>
      </c>
      <c r="F64">
        <v>6.61</v>
      </c>
      <c r="G64">
        <v>7.61</v>
      </c>
      <c r="H64">
        <v>8.61</v>
      </c>
      <c r="I64">
        <v>0.45</v>
      </c>
      <c r="J64">
        <v>0.53</v>
      </c>
      <c r="K64">
        <v>0.67</v>
      </c>
      <c r="L64">
        <f t="shared" si="23"/>
        <v>7.0836674816625953</v>
      </c>
      <c r="M64">
        <f t="shared" si="26"/>
        <v>0.23999999999999991</v>
      </c>
      <c r="N64" s="6">
        <f t="shared" si="25"/>
        <v>1.7000801955990221</v>
      </c>
      <c r="P64">
        <f t="shared" si="24"/>
        <v>0.93230000000000013</v>
      </c>
      <c r="Q64" t="str">
        <f t="shared" si="19"/>
        <v>Yes</v>
      </c>
      <c r="R64" t="str">
        <f t="shared" si="22"/>
        <v>Yes</v>
      </c>
    </row>
    <row r="65" spans="1:18" x14ac:dyDescent="0.3">
      <c r="A65" s="16">
        <v>3</v>
      </c>
      <c r="B65" s="5">
        <v>5</v>
      </c>
      <c r="C65">
        <v>2.4</v>
      </c>
      <c r="E65">
        <v>21</v>
      </c>
      <c r="F65">
        <v>22</v>
      </c>
      <c r="G65">
        <v>23</v>
      </c>
      <c r="H65">
        <v>24</v>
      </c>
      <c r="I65">
        <v>0.34</v>
      </c>
      <c r="J65">
        <v>0.71</v>
      </c>
      <c r="K65">
        <v>0.6</v>
      </c>
      <c r="L65">
        <f t="shared" si="23"/>
        <v>22.5</v>
      </c>
      <c r="M65">
        <f t="shared" si="26"/>
        <v>0.10666666666666676</v>
      </c>
      <c r="N65" s="6">
        <f t="shared" si="25"/>
        <v>2.4000000000000021</v>
      </c>
      <c r="P65">
        <f t="shared" si="24"/>
        <v>0.97970000000000002</v>
      </c>
      <c r="Q65" t="str">
        <f t="shared" si="19"/>
        <v>Yes</v>
      </c>
      <c r="R65" t="str">
        <f t="shared" si="22"/>
        <v>Yes</v>
      </c>
    </row>
    <row r="66" spans="1:18" x14ac:dyDescent="0.3">
      <c r="A66" s="16">
        <v>3</v>
      </c>
      <c r="B66" s="18">
        <v>6</v>
      </c>
      <c r="C66">
        <v>3.2</v>
      </c>
      <c r="E66">
        <v>5.51</v>
      </c>
      <c r="F66">
        <v>6.51</v>
      </c>
      <c r="G66">
        <v>7.81</v>
      </c>
      <c r="H66">
        <v>9.01</v>
      </c>
      <c r="I66">
        <v>0.34</v>
      </c>
      <c r="J66">
        <v>0.48</v>
      </c>
      <c r="K66">
        <v>0.05</v>
      </c>
      <c r="L66">
        <f t="shared" si="23"/>
        <v>7.2176388888888861</v>
      </c>
      <c r="M66">
        <f t="shared" si="26"/>
        <v>0.44333333333333336</v>
      </c>
      <c r="N66" s="6">
        <f t="shared" si="25"/>
        <v>3.1998199074074063</v>
      </c>
      <c r="P66">
        <f t="shared" si="24"/>
        <v>0.34850000000000003</v>
      </c>
      <c r="Q66" t="str">
        <f t="shared" si="19"/>
        <v>Yes</v>
      </c>
      <c r="R66" t="str">
        <f t="shared" si="22"/>
        <v>Yes</v>
      </c>
    </row>
    <row r="67" spans="1:18" x14ac:dyDescent="0.3">
      <c r="N67" s="6"/>
    </row>
    <row r="68" spans="1:18" x14ac:dyDescent="0.3">
      <c r="N68" s="6"/>
    </row>
    <row r="70" spans="1:18" x14ac:dyDescent="0.3">
      <c r="A70" t="s">
        <v>32</v>
      </c>
    </row>
    <row r="71" spans="1:18" x14ac:dyDescent="0.3">
      <c r="A71" s="10" t="s">
        <v>33</v>
      </c>
    </row>
    <row r="72" spans="1:18" x14ac:dyDescent="0.3">
      <c r="A72" s="11" t="s">
        <v>34</v>
      </c>
    </row>
    <row r="73" spans="1:18" x14ac:dyDescent="0.3">
      <c r="A73" s="11" t="s">
        <v>35</v>
      </c>
    </row>
    <row r="75" spans="1:18" x14ac:dyDescent="0.3">
      <c r="A75" t="s">
        <v>28</v>
      </c>
      <c r="B75" t="s">
        <v>10</v>
      </c>
      <c r="C75" t="s">
        <v>36</v>
      </c>
      <c r="E75" s="2" t="s">
        <v>4</v>
      </c>
      <c r="F75" s="2" t="s">
        <v>5</v>
      </c>
      <c r="G75" s="2" t="s">
        <v>6</v>
      </c>
      <c r="H75" s="2" t="s">
        <v>7</v>
      </c>
      <c r="I75" s="3" t="s">
        <v>8</v>
      </c>
      <c r="J75" s="3" t="s">
        <v>9</v>
      </c>
      <c r="K75" s="3" t="s">
        <v>10</v>
      </c>
      <c r="L75" s="4" t="s">
        <v>13</v>
      </c>
      <c r="M75" s="4" t="s">
        <v>12</v>
      </c>
      <c r="N75" s="9" t="s">
        <v>11</v>
      </c>
      <c r="P75" t="s">
        <v>14</v>
      </c>
      <c r="Q75" t="s">
        <v>30</v>
      </c>
      <c r="R75" t="s">
        <v>31</v>
      </c>
    </row>
    <row r="76" spans="1:18" x14ac:dyDescent="0.3">
      <c r="A76" s="15">
        <v>1</v>
      </c>
      <c r="B76" s="15">
        <v>1</v>
      </c>
      <c r="C76">
        <v>5.7</v>
      </c>
      <c r="E76">
        <v>16.690000000000001</v>
      </c>
      <c r="F76">
        <v>17.690000000000001</v>
      </c>
      <c r="G76">
        <v>18.690000000000001</v>
      </c>
      <c r="H76">
        <v>19.7</v>
      </c>
      <c r="I76">
        <v>0.23</v>
      </c>
      <c r="J76">
        <v>0.34</v>
      </c>
      <c r="K76">
        <v>0.61</v>
      </c>
      <c r="L76">
        <f>((G76^2)+(G76*H76)+(H76^2)-(E76^2)-(E76*F76)-(F76^2))/(3*(H76+G76-E76-F76))</f>
        <v>18.192917705735649</v>
      </c>
      <c r="M76">
        <f>(I76-(2*J76)-K76+2)/3</f>
        <v>0.3133333333333333</v>
      </c>
      <c r="N76" s="6">
        <f>L76*M76</f>
        <v>5.700447547797169</v>
      </c>
      <c r="P76">
        <f>I76^2+J76^2+K76^2</f>
        <v>0.54059999999999997</v>
      </c>
      <c r="Q76" t="str">
        <f>IF(AND(P76&gt;=0,P76&lt;=1),"Yes","No")</f>
        <v>Yes</v>
      </c>
      <c r="R76" t="str">
        <f>IF(ROUND(N76,2)=C76,"Yes","No")</f>
        <v>Yes</v>
      </c>
    </row>
    <row r="77" spans="1:18" x14ac:dyDescent="0.3">
      <c r="A77" s="15">
        <v>1</v>
      </c>
      <c r="B77" s="3">
        <v>2</v>
      </c>
      <c r="C77">
        <v>4.2</v>
      </c>
      <c r="E77">
        <v>4.9000000000000004</v>
      </c>
      <c r="F77">
        <v>5.7</v>
      </c>
      <c r="G77">
        <v>6.6</v>
      </c>
      <c r="H77">
        <v>7.7</v>
      </c>
      <c r="I77">
        <v>0.53</v>
      </c>
      <c r="J77">
        <v>0.05</v>
      </c>
      <c r="K77">
        <v>0.41</v>
      </c>
      <c r="L77">
        <f>((G77^2)+(G77*H77)+(H77^2)-(E77^2)-(E77*F77)-(F77^2))/(3*(H77+G77-E77-F77))</f>
        <v>6.2378378378378381</v>
      </c>
      <c r="M77">
        <f>(I77-(2*J77)-K77+2)/3</f>
        <v>0.67333333333333334</v>
      </c>
      <c r="N77" s="6">
        <f t="shared" ref="N77:N93" si="27">L77*M77</f>
        <v>4.2001441441441445</v>
      </c>
      <c r="P77">
        <f>I77^2+J77^2+K77^2</f>
        <v>0.45150000000000001</v>
      </c>
      <c r="Q77" t="str">
        <f t="shared" ref="Q77:Q93" si="28">IF(AND(P77&gt;=0,P77&lt;=1),"Yes","No")</f>
        <v>Yes</v>
      </c>
      <c r="R77" t="str">
        <f>IF(ROUND(N77,2)=C77,"Yes","No")</f>
        <v>Yes</v>
      </c>
    </row>
    <row r="78" spans="1:18" x14ac:dyDescent="0.3">
      <c r="A78" s="15">
        <v>1</v>
      </c>
      <c r="B78" s="16">
        <v>3</v>
      </c>
      <c r="C78">
        <v>4.5999999999999996</v>
      </c>
      <c r="E78">
        <v>8.9</v>
      </c>
      <c r="F78">
        <v>9.8000000000000007</v>
      </c>
      <c r="G78">
        <v>11.09</v>
      </c>
      <c r="H78">
        <v>12.02</v>
      </c>
      <c r="I78">
        <v>0.26</v>
      </c>
      <c r="J78">
        <v>0.38</v>
      </c>
      <c r="K78">
        <v>0.18</v>
      </c>
      <c r="L78">
        <f>((G78^2)+(G78*H78)+(H78^2)-(E78^2)-(E78*F78)-(F78^2))/(3*(H78+G78-E78-F78))</f>
        <v>10.453537414965986</v>
      </c>
      <c r="M78">
        <f t="shared" ref="M78" si="29">(I78-(2*J78)-K78+2)/3</f>
        <v>0.44</v>
      </c>
      <c r="N78" s="6">
        <f t="shared" si="27"/>
        <v>4.599556462585034</v>
      </c>
      <c r="P78">
        <f t="shared" ref="P78:P93" si="30">I78^2+J78^2+K78^2</f>
        <v>0.24440000000000001</v>
      </c>
      <c r="Q78" t="str">
        <f t="shared" si="28"/>
        <v>Yes</v>
      </c>
      <c r="R78" t="str">
        <f t="shared" ref="R78:R93" si="31">IF(ROUND(N78,2)=C78,"Yes","No")</f>
        <v>Yes</v>
      </c>
    </row>
    <row r="79" spans="1:18" x14ac:dyDescent="0.3">
      <c r="A79" s="15">
        <v>1</v>
      </c>
      <c r="B79" s="17">
        <v>4</v>
      </c>
      <c r="C79">
        <v>6.4</v>
      </c>
      <c r="E79">
        <v>17.7</v>
      </c>
      <c r="F79">
        <v>18.7</v>
      </c>
      <c r="G79">
        <v>19.7</v>
      </c>
      <c r="H79">
        <v>20.7</v>
      </c>
      <c r="I79">
        <v>0.54</v>
      </c>
      <c r="J79">
        <v>0.67</v>
      </c>
      <c r="K79">
        <v>0.2</v>
      </c>
      <c r="L79">
        <f>((G79^2)+(G79*H79)+(H79^2)-(E79^2)-(E79*F79)-(F79^2))/(3*(H79+G79-E79-F79))</f>
        <v>19.199999999999992</v>
      </c>
      <c r="M79">
        <f>(I79-(2*J79)-K79+2)/3</f>
        <v>0.33333333333333331</v>
      </c>
      <c r="N79" s="6">
        <f t="shared" si="27"/>
        <v>6.3999999999999968</v>
      </c>
      <c r="P79">
        <f t="shared" si="30"/>
        <v>0.78050000000000019</v>
      </c>
      <c r="Q79" t="str">
        <f t="shared" si="28"/>
        <v>Yes</v>
      </c>
      <c r="R79" t="str">
        <f t="shared" si="31"/>
        <v>Yes</v>
      </c>
    </row>
    <row r="80" spans="1:18" x14ac:dyDescent="0.3">
      <c r="A80" s="15">
        <v>1</v>
      </c>
      <c r="B80" s="5">
        <v>5</v>
      </c>
      <c r="C80">
        <v>4.5999999999999996</v>
      </c>
      <c r="E80">
        <v>7.29</v>
      </c>
      <c r="F80">
        <v>8.4</v>
      </c>
      <c r="G80">
        <v>9.3000000000000007</v>
      </c>
      <c r="H80">
        <v>10.4</v>
      </c>
      <c r="I80">
        <v>0.4</v>
      </c>
      <c r="J80">
        <v>0.35</v>
      </c>
      <c r="K80">
        <v>0.14000000000000001</v>
      </c>
      <c r="L80">
        <f t="shared" ref="L80:L93" si="32">((G80^2)+(G80*H80)+(H80^2)-(E80^2)-(E80*F80)-(F80^2))/(3*(H80+G80-E80-F80))</f>
        <v>8.8470407315045669</v>
      </c>
      <c r="M80">
        <f t="shared" ref="M80:M93" si="33">(I80-(2*J80)-K80+2)/3</f>
        <v>0.52</v>
      </c>
      <c r="N80" s="6">
        <f t="shared" si="27"/>
        <v>4.6004611803823749</v>
      </c>
      <c r="P80">
        <f t="shared" si="30"/>
        <v>0.30210000000000004</v>
      </c>
      <c r="Q80" t="str">
        <f t="shared" si="28"/>
        <v>Yes</v>
      </c>
      <c r="R80" t="str">
        <f t="shared" si="31"/>
        <v>Yes</v>
      </c>
    </row>
    <row r="81" spans="1:18" x14ac:dyDescent="0.3">
      <c r="A81" s="15">
        <v>1</v>
      </c>
      <c r="B81" s="18">
        <v>6</v>
      </c>
      <c r="C81">
        <v>4.2</v>
      </c>
      <c r="E81">
        <v>9.49</v>
      </c>
      <c r="F81">
        <v>10</v>
      </c>
      <c r="G81">
        <v>10.49</v>
      </c>
      <c r="H81">
        <v>11</v>
      </c>
      <c r="I81">
        <v>0.56999999999999995</v>
      </c>
      <c r="J81">
        <v>0.53</v>
      </c>
      <c r="K81">
        <v>0.28000000000000003</v>
      </c>
      <c r="L81">
        <f t="shared" si="32"/>
        <v>10.24499999999999</v>
      </c>
      <c r="M81">
        <f t="shared" si="33"/>
        <v>0.41</v>
      </c>
      <c r="N81" s="6">
        <f t="shared" si="27"/>
        <v>4.2004499999999956</v>
      </c>
      <c r="P81">
        <f t="shared" si="30"/>
        <v>0.68420000000000003</v>
      </c>
      <c r="Q81" t="str">
        <f t="shared" si="28"/>
        <v>Yes</v>
      </c>
      <c r="R81" t="str">
        <f t="shared" si="31"/>
        <v>Yes</v>
      </c>
    </row>
    <row r="82" spans="1:18" x14ac:dyDescent="0.3">
      <c r="A82" s="3">
        <v>2</v>
      </c>
      <c r="B82" s="15">
        <v>1</v>
      </c>
      <c r="C82">
        <v>5.0999999999999996</v>
      </c>
      <c r="E82">
        <v>10.51</v>
      </c>
      <c r="F82">
        <v>11.6</v>
      </c>
      <c r="G82">
        <v>12.6</v>
      </c>
      <c r="H82">
        <v>13.51</v>
      </c>
      <c r="I82">
        <v>0.62</v>
      </c>
      <c r="J82">
        <v>0.55000000000000004</v>
      </c>
      <c r="K82">
        <v>0.25</v>
      </c>
      <c r="L82">
        <f t="shared" si="32"/>
        <v>12.047499999999994</v>
      </c>
      <c r="M82">
        <f t="shared" si="33"/>
        <v>0.42333333333333334</v>
      </c>
      <c r="N82" s="6">
        <f t="shared" si="27"/>
        <v>5.1001083333333312</v>
      </c>
      <c r="P82">
        <f t="shared" si="30"/>
        <v>0.74940000000000007</v>
      </c>
      <c r="Q82" t="str">
        <f t="shared" si="28"/>
        <v>Yes</v>
      </c>
      <c r="R82" t="str">
        <f t="shared" si="31"/>
        <v>Yes</v>
      </c>
    </row>
    <row r="83" spans="1:18" x14ac:dyDescent="0.3">
      <c r="A83" s="3">
        <v>2</v>
      </c>
      <c r="B83" s="3">
        <v>2</v>
      </c>
      <c r="C83">
        <v>5.5</v>
      </c>
      <c r="E83">
        <v>11.4</v>
      </c>
      <c r="F83">
        <v>12.4</v>
      </c>
      <c r="G83">
        <v>14.4</v>
      </c>
      <c r="H83">
        <v>15.1</v>
      </c>
      <c r="I83">
        <v>0.23</v>
      </c>
      <c r="J83">
        <v>0.43</v>
      </c>
      <c r="K83">
        <v>0.13</v>
      </c>
      <c r="L83">
        <f t="shared" si="32"/>
        <v>13.317543859649115</v>
      </c>
      <c r="M83">
        <f t="shared" si="33"/>
        <v>0.41333333333333333</v>
      </c>
      <c r="N83" s="6">
        <f t="shared" si="27"/>
        <v>5.5045847953216338</v>
      </c>
      <c r="P83">
        <f t="shared" si="30"/>
        <v>0.25469999999999998</v>
      </c>
      <c r="Q83" t="str">
        <f t="shared" si="28"/>
        <v>Yes</v>
      </c>
      <c r="R83" t="str">
        <f t="shared" si="31"/>
        <v>Yes</v>
      </c>
    </row>
    <row r="84" spans="1:18" x14ac:dyDescent="0.3">
      <c r="A84" s="3">
        <v>2</v>
      </c>
      <c r="B84" s="16">
        <v>3</v>
      </c>
      <c r="C84">
        <v>4.8</v>
      </c>
      <c r="E84">
        <v>9.6999999999999993</v>
      </c>
      <c r="F84">
        <v>10.8</v>
      </c>
      <c r="G84">
        <v>11.7</v>
      </c>
      <c r="H84">
        <v>12.8</v>
      </c>
      <c r="I84">
        <v>0.32</v>
      </c>
      <c r="J84">
        <v>0.22</v>
      </c>
      <c r="K84">
        <v>0.6</v>
      </c>
      <c r="L84">
        <f t="shared" si="32"/>
        <v>11.250000000000002</v>
      </c>
      <c r="M84">
        <f t="shared" si="33"/>
        <v>0.42666666666666669</v>
      </c>
      <c r="N84" s="6">
        <f t="shared" si="27"/>
        <v>4.8000000000000007</v>
      </c>
      <c r="P84">
        <f t="shared" si="30"/>
        <v>0.51079999999999992</v>
      </c>
      <c r="Q84" t="str">
        <f t="shared" si="28"/>
        <v>Yes</v>
      </c>
      <c r="R84" t="str">
        <f t="shared" si="31"/>
        <v>Yes</v>
      </c>
    </row>
    <row r="85" spans="1:18" x14ac:dyDescent="0.3">
      <c r="A85" s="3">
        <v>2</v>
      </c>
      <c r="B85" s="17">
        <v>4</v>
      </c>
      <c r="C85">
        <v>4.3</v>
      </c>
      <c r="E85">
        <v>8.5</v>
      </c>
      <c r="F85">
        <v>9.6999999999999993</v>
      </c>
      <c r="G85">
        <v>10.5</v>
      </c>
      <c r="H85">
        <v>11.1</v>
      </c>
      <c r="I85">
        <v>0.61</v>
      </c>
      <c r="J85">
        <v>0.45</v>
      </c>
      <c r="K85">
        <v>0.41</v>
      </c>
      <c r="L85">
        <f t="shared" si="32"/>
        <v>9.9235294117647008</v>
      </c>
      <c r="M85">
        <f t="shared" si="33"/>
        <v>0.43333333333333335</v>
      </c>
      <c r="N85" s="6">
        <f t="shared" si="27"/>
        <v>4.3001960784313704</v>
      </c>
      <c r="P85">
        <f t="shared" si="30"/>
        <v>0.74269999999999992</v>
      </c>
      <c r="Q85" t="str">
        <f t="shared" si="28"/>
        <v>Yes</v>
      </c>
      <c r="R85" t="str">
        <f t="shared" si="31"/>
        <v>Yes</v>
      </c>
    </row>
    <row r="86" spans="1:18" x14ac:dyDescent="0.3">
      <c r="A86" s="3">
        <v>2</v>
      </c>
      <c r="B86" s="5">
        <v>5</v>
      </c>
      <c r="C86">
        <v>5.3</v>
      </c>
      <c r="E86">
        <v>11.79</v>
      </c>
      <c r="F86">
        <v>13.48</v>
      </c>
      <c r="G86">
        <v>14.58</v>
      </c>
      <c r="H86">
        <v>15.99</v>
      </c>
      <c r="I86">
        <v>0.47</v>
      </c>
      <c r="J86">
        <v>0.45</v>
      </c>
      <c r="K86">
        <v>0.43</v>
      </c>
      <c r="L86">
        <f>((G86^2)+(G86*H86)+(H86^2)-(E86^2)-(E86*F86)-(F86^2))/(3*(H86+G86-E86-F86))</f>
        <v>13.946352201257863</v>
      </c>
      <c r="M86">
        <f>(I86-(2*J86)-K86+2)/3</f>
        <v>0.37999999999999995</v>
      </c>
      <c r="N86" s="6">
        <f t="shared" si="27"/>
        <v>5.2996138364779872</v>
      </c>
      <c r="P86">
        <f>I86^2+J86^2+K86^2</f>
        <v>0.60829999999999995</v>
      </c>
      <c r="Q86" t="str">
        <f t="shared" si="28"/>
        <v>Yes</v>
      </c>
      <c r="R86" t="str">
        <f t="shared" si="31"/>
        <v>Yes</v>
      </c>
    </row>
    <row r="87" spans="1:18" x14ac:dyDescent="0.3">
      <c r="A87" s="3">
        <v>2</v>
      </c>
      <c r="B87" s="18">
        <v>6</v>
      </c>
      <c r="C87">
        <v>4.0999999999999996</v>
      </c>
      <c r="E87">
        <v>9.91</v>
      </c>
      <c r="F87">
        <v>11.55</v>
      </c>
      <c r="G87">
        <v>11.91</v>
      </c>
      <c r="H87">
        <v>13.5</v>
      </c>
      <c r="I87">
        <v>0.56000000000000005</v>
      </c>
      <c r="J87">
        <v>0.43</v>
      </c>
      <c r="K87">
        <v>0.65</v>
      </c>
      <c r="L87">
        <f t="shared" si="32"/>
        <v>11.714092827004221</v>
      </c>
      <c r="M87">
        <f t="shared" si="33"/>
        <v>0.35000000000000003</v>
      </c>
      <c r="N87" s="6">
        <f t="shared" si="27"/>
        <v>4.0999324894514775</v>
      </c>
      <c r="P87">
        <f t="shared" si="30"/>
        <v>0.92100000000000004</v>
      </c>
      <c r="Q87" t="str">
        <f t="shared" si="28"/>
        <v>Yes</v>
      </c>
      <c r="R87" t="str">
        <f t="shared" si="31"/>
        <v>Yes</v>
      </c>
    </row>
    <row r="88" spans="1:18" x14ac:dyDescent="0.3">
      <c r="A88" s="16">
        <v>3</v>
      </c>
      <c r="B88" s="15">
        <v>1</v>
      </c>
      <c r="C88">
        <v>4.3</v>
      </c>
      <c r="E88">
        <v>8.58</v>
      </c>
      <c r="F88">
        <v>9.7799999999999994</v>
      </c>
      <c r="G88">
        <v>11.7</v>
      </c>
      <c r="H88">
        <v>12.3</v>
      </c>
      <c r="I88">
        <v>0.15</v>
      </c>
      <c r="J88">
        <v>0.16</v>
      </c>
      <c r="K88">
        <v>0.61</v>
      </c>
      <c r="L88">
        <f t="shared" si="32"/>
        <v>10.574042553191488</v>
      </c>
      <c r="M88">
        <f t="shared" si="33"/>
        <v>0.40666666666666668</v>
      </c>
      <c r="N88" s="6">
        <f t="shared" si="27"/>
        <v>4.3001106382978715</v>
      </c>
      <c r="P88">
        <f t="shared" si="30"/>
        <v>0.42020000000000002</v>
      </c>
      <c r="Q88" t="str">
        <f t="shared" si="28"/>
        <v>Yes</v>
      </c>
      <c r="R88" t="str">
        <f t="shared" si="31"/>
        <v>Yes</v>
      </c>
    </row>
    <row r="89" spans="1:18" x14ac:dyDescent="0.3">
      <c r="A89" s="16">
        <v>3</v>
      </c>
      <c r="B89" s="3">
        <v>2</v>
      </c>
      <c r="C89">
        <v>3.7</v>
      </c>
      <c r="E89">
        <v>12.41</v>
      </c>
      <c r="F89">
        <v>13.61</v>
      </c>
      <c r="G89">
        <v>14.61</v>
      </c>
      <c r="H89">
        <v>15.61</v>
      </c>
      <c r="I89">
        <v>0.45</v>
      </c>
      <c r="J89">
        <v>0.48</v>
      </c>
      <c r="K89">
        <v>0.7</v>
      </c>
      <c r="L89">
        <f>((G89^2)+(G89*H89)+(H89^2)-(E89^2)-(E89*F89)-(F89^2))/(3*(H89+G89-E89-F89))</f>
        <v>14.051269841269841</v>
      </c>
      <c r="M89">
        <f>(I89-(2*J89)-K89+2)/3</f>
        <v>0.26333333333333336</v>
      </c>
      <c r="N89" s="6">
        <f t="shared" si="27"/>
        <v>3.7001677248677254</v>
      </c>
      <c r="P89">
        <f>I89^2+J89^2+K89^2</f>
        <v>0.92289999999999994</v>
      </c>
      <c r="Q89" t="str">
        <f t="shared" si="28"/>
        <v>Yes</v>
      </c>
      <c r="R89" t="str">
        <f t="shared" si="31"/>
        <v>Yes</v>
      </c>
    </row>
    <row r="90" spans="1:18" x14ac:dyDescent="0.3">
      <c r="A90" s="16">
        <v>3</v>
      </c>
      <c r="B90" s="16">
        <v>3</v>
      </c>
      <c r="C90">
        <v>4.8</v>
      </c>
      <c r="E90">
        <v>21.69</v>
      </c>
      <c r="F90">
        <v>22.69</v>
      </c>
      <c r="G90">
        <v>23.7</v>
      </c>
      <c r="H90">
        <v>24.8</v>
      </c>
      <c r="I90">
        <v>0.35</v>
      </c>
      <c r="J90">
        <v>0.76</v>
      </c>
      <c r="K90">
        <v>0.21</v>
      </c>
      <c r="L90">
        <f t="shared" si="32"/>
        <v>23.224247572815511</v>
      </c>
      <c r="M90">
        <f t="shared" si="33"/>
        <v>0.20666666666666669</v>
      </c>
      <c r="N90" s="6">
        <f t="shared" si="27"/>
        <v>4.799677831715206</v>
      </c>
      <c r="P90">
        <f t="shared" si="30"/>
        <v>0.74419999999999997</v>
      </c>
      <c r="Q90" t="str">
        <f t="shared" si="28"/>
        <v>Yes</v>
      </c>
      <c r="R90" t="str">
        <f t="shared" si="31"/>
        <v>Yes</v>
      </c>
    </row>
    <row r="91" spans="1:18" x14ac:dyDescent="0.3">
      <c r="A91" s="16">
        <v>3</v>
      </c>
      <c r="B91" s="17">
        <v>4</v>
      </c>
      <c r="C91">
        <v>5.0999999999999996</v>
      </c>
      <c r="E91">
        <v>12.17</v>
      </c>
      <c r="F91">
        <v>13.11</v>
      </c>
      <c r="G91">
        <v>14.21</v>
      </c>
      <c r="H91">
        <v>15.15</v>
      </c>
      <c r="I91">
        <v>0.44</v>
      </c>
      <c r="J91">
        <v>0.54</v>
      </c>
      <c r="K91">
        <v>0.24</v>
      </c>
      <c r="L91">
        <f t="shared" si="32"/>
        <v>13.660000000000009</v>
      </c>
      <c r="M91">
        <f t="shared" si="33"/>
        <v>0.37333333333333329</v>
      </c>
      <c r="N91" s="6">
        <f t="shared" si="27"/>
        <v>5.0997333333333366</v>
      </c>
      <c r="P91">
        <f t="shared" si="30"/>
        <v>0.54280000000000006</v>
      </c>
      <c r="Q91" t="str">
        <f t="shared" si="28"/>
        <v>Yes</v>
      </c>
      <c r="R91" t="str">
        <f t="shared" si="31"/>
        <v>Yes</v>
      </c>
    </row>
    <row r="92" spans="1:18" x14ac:dyDescent="0.3">
      <c r="A92" s="16">
        <v>3</v>
      </c>
      <c r="B92" s="5">
        <v>5</v>
      </c>
      <c r="C92" s="8">
        <v>4</v>
      </c>
      <c r="E92">
        <v>11.99</v>
      </c>
      <c r="F92">
        <v>12.98</v>
      </c>
      <c r="G92">
        <v>13.98</v>
      </c>
      <c r="H92">
        <v>14.98</v>
      </c>
      <c r="I92">
        <v>0.42</v>
      </c>
      <c r="J92">
        <v>0.61</v>
      </c>
      <c r="K92">
        <v>0.31</v>
      </c>
      <c r="L92">
        <f t="shared" si="32"/>
        <v>13.482915622389317</v>
      </c>
      <c r="M92">
        <f t="shared" si="33"/>
        <v>0.29666666666666663</v>
      </c>
      <c r="N92" s="6">
        <f t="shared" si="27"/>
        <v>3.9999316346421638</v>
      </c>
      <c r="P92">
        <f t="shared" si="30"/>
        <v>0.64459999999999995</v>
      </c>
      <c r="Q92" t="str">
        <f t="shared" si="28"/>
        <v>Yes</v>
      </c>
      <c r="R92" t="str">
        <f>IF(ROUND(N92,2)=C92,"Yes","No")</f>
        <v>Yes</v>
      </c>
    </row>
    <row r="93" spans="1:18" x14ac:dyDescent="0.3">
      <c r="A93" s="16">
        <v>3</v>
      </c>
      <c r="B93" s="18">
        <v>6</v>
      </c>
      <c r="C93">
        <v>5.6</v>
      </c>
      <c r="E93">
        <v>7.51</v>
      </c>
      <c r="F93">
        <v>8.51</v>
      </c>
      <c r="G93">
        <v>9.4</v>
      </c>
      <c r="H93">
        <v>10.5</v>
      </c>
      <c r="I93">
        <v>0.56000000000000005</v>
      </c>
      <c r="J93">
        <v>0.12</v>
      </c>
      <c r="K93">
        <v>0.45</v>
      </c>
      <c r="L93">
        <f t="shared" si="32"/>
        <v>8.9845103092783525</v>
      </c>
      <c r="M93">
        <f t="shared" si="33"/>
        <v>0.62333333333333341</v>
      </c>
      <c r="N93" s="6">
        <f t="shared" si="27"/>
        <v>5.6003447594501736</v>
      </c>
      <c r="P93">
        <f t="shared" si="30"/>
        <v>0.53050000000000008</v>
      </c>
      <c r="Q93" t="str">
        <f t="shared" si="28"/>
        <v>Yes</v>
      </c>
      <c r="R93" t="str">
        <f t="shared" si="31"/>
        <v>Yes</v>
      </c>
    </row>
    <row r="97" spans="1:19" x14ac:dyDescent="0.3">
      <c r="A97" t="s">
        <v>37</v>
      </c>
    </row>
    <row r="98" spans="1:19" x14ac:dyDescent="0.3">
      <c r="A98" s="10" t="s">
        <v>38</v>
      </c>
    </row>
    <row r="99" spans="1:19" x14ac:dyDescent="0.3">
      <c r="A99" s="11" t="s">
        <v>39</v>
      </c>
    </row>
    <row r="101" spans="1:19" x14ac:dyDescent="0.3">
      <c r="A101" t="s">
        <v>19</v>
      </c>
      <c r="B101" t="s">
        <v>2</v>
      </c>
      <c r="C101" t="s">
        <v>40</v>
      </c>
      <c r="D101" t="s">
        <v>41</v>
      </c>
      <c r="F101" s="2" t="s">
        <v>4</v>
      </c>
      <c r="G101" s="2" t="s">
        <v>5</v>
      </c>
      <c r="H101" s="2" t="s">
        <v>6</v>
      </c>
      <c r="I101" s="2" t="s">
        <v>7</v>
      </c>
      <c r="J101" s="3" t="s">
        <v>8</v>
      </c>
      <c r="K101" s="3" t="s">
        <v>9</v>
      </c>
      <c r="L101" s="3" t="s">
        <v>10</v>
      </c>
      <c r="M101" s="4" t="s">
        <v>13</v>
      </c>
      <c r="N101" s="4" t="s">
        <v>12</v>
      </c>
      <c r="O101" s="9" t="s">
        <v>11</v>
      </c>
      <c r="Q101" t="s">
        <v>14</v>
      </c>
      <c r="R101" t="s">
        <v>30</v>
      </c>
      <c r="S101" t="s">
        <v>31</v>
      </c>
    </row>
    <row r="102" spans="1:19" x14ac:dyDescent="0.3">
      <c r="A102" s="15">
        <v>1</v>
      </c>
      <c r="B102" s="15">
        <v>1</v>
      </c>
      <c r="C102" s="15">
        <v>1</v>
      </c>
      <c r="D102">
        <v>9.4</v>
      </c>
      <c r="F102">
        <v>28.7</v>
      </c>
      <c r="G102">
        <v>29.6</v>
      </c>
      <c r="H102">
        <v>30.4</v>
      </c>
      <c r="I102">
        <v>31.3</v>
      </c>
      <c r="J102" s="12">
        <v>0.37</v>
      </c>
      <c r="K102" s="12">
        <v>0.54</v>
      </c>
      <c r="L102" s="12">
        <v>0.35</v>
      </c>
      <c r="M102">
        <f>((H102^2)+(H102*I102)+(I102^2)-(F102^2)-(F102*G102)-(G102^2))/(3*(I102+H102-F102-G102))</f>
        <v>29.999999999999989</v>
      </c>
      <c r="N102">
        <f>(J102-(2*K102)-L102+2)/3</f>
        <v>0.3133333333333333</v>
      </c>
      <c r="O102" s="6">
        <f>M102*N102</f>
        <v>9.399999999999995</v>
      </c>
      <c r="Q102">
        <f>J102^2+K102^2+L102^2</f>
        <v>0.55099999999999993</v>
      </c>
      <c r="R102" t="str">
        <f>IF(AND(Q102&gt;=0,Q102&lt;=1),"Yes","No")</f>
        <v>Yes</v>
      </c>
      <c r="S102" t="str">
        <f>IF(ROUND(O102,2)=D102,"Yes","No")</f>
        <v>Yes</v>
      </c>
    </row>
    <row r="103" spans="1:19" x14ac:dyDescent="0.3">
      <c r="A103" s="15">
        <v>1</v>
      </c>
      <c r="B103" s="15">
        <v>1</v>
      </c>
      <c r="C103" s="3">
        <v>2</v>
      </c>
      <c r="D103">
        <v>7.5</v>
      </c>
      <c r="F103">
        <v>9.58</v>
      </c>
      <c r="G103">
        <v>10.6</v>
      </c>
      <c r="H103">
        <v>11.8</v>
      </c>
      <c r="I103">
        <v>12.8</v>
      </c>
      <c r="J103" s="12">
        <v>0.83</v>
      </c>
      <c r="K103" s="12">
        <v>0.18</v>
      </c>
      <c r="L103" s="12">
        <v>0.46</v>
      </c>
      <c r="M103">
        <f>((H103^2)+(H103*I103)+(I103^2)-(F103^2)-(F103*G103)-(G103^2))/(3*(I103+H103-F103-G103))</f>
        <v>11.194238310708895</v>
      </c>
      <c r="N103">
        <f>(J103-(2*K103)-L103+2)/3</f>
        <v>0.66999999999999993</v>
      </c>
      <c r="O103" s="6">
        <f t="shared" ref="O103:O119" si="34">M103*N103</f>
        <v>7.5001396681749588</v>
      </c>
      <c r="Q103">
        <f>J103^2+K103^2+L103^2</f>
        <v>0.93289999999999995</v>
      </c>
      <c r="R103" t="str">
        <f t="shared" ref="R103:R119" si="35">IF(AND(Q103&gt;=0,Q103&lt;=1),"Yes","No")</f>
        <v>Yes</v>
      </c>
      <c r="S103" t="str">
        <f>IF(ROUND(O103,2)=D103,"Yes","No")</f>
        <v>Yes</v>
      </c>
    </row>
    <row r="104" spans="1:19" x14ac:dyDescent="0.3">
      <c r="A104" s="15">
        <v>1</v>
      </c>
      <c r="B104" s="15">
        <v>1</v>
      </c>
      <c r="C104" s="16">
        <v>3</v>
      </c>
      <c r="D104">
        <v>4.5999999999999996</v>
      </c>
      <c r="F104">
        <v>8.8000000000000007</v>
      </c>
      <c r="G104">
        <v>9.8000000000000007</v>
      </c>
      <c r="H104">
        <v>11.11</v>
      </c>
      <c r="I104">
        <v>12.11</v>
      </c>
      <c r="J104" s="12">
        <v>0.54</v>
      </c>
      <c r="K104" s="12">
        <v>0.34</v>
      </c>
      <c r="L104" s="12">
        <v>0.54</v>
      </c>
      <c r="M104">
        <f>((H104^2)+(H104*I104)+(I104^2)-(F104^2)-(F104*G104)-(G104^2))/(3*(I104+H104-F104-G104))</f>
        <v>10.455000000000005</v>
      </c>
      <c r="N104">
        <f t="shared" ref="N104" si="36">(J104-(2*K104)-L104+2)/3</f>
        <v>0.43999999999999995</v>
      </c>
      <c r="O104" s="6">
        <f t="shared" si="34"/>
        <v>4.6002000000000018</v>
      </c>
      <c r="Q104">
        <f t="shared" ref="Q104:Q119" si="37">J104^2+K104^2+L104^2</f>
        <v>0.69880000000000009</v>
      </c>
      <c r="R104" t="str">
        <f t="shared" si="35"/>
        <v>Yes</v>
      </c>
      <c r="S104" t="str">
        <f t="shared" ref="S104:S119" si="38">IF(ROUND(O104,2)=D104,"Yes","No")</f>
        <v>Yes</v>
      </c>
    </row>
    <row r="105" spans="1:19" x14ac:dyDescent="0.3">
      <c r="A105" s="15">
        <v>1</v>
      </c>
      <c r="B105" s="3">
        <v>2</v>
      </c>
      <c r="C105" s="15">
        <v>1</v>
      </c>
      <c r="D105">
        <v>9.6</v>
      </c>
      <c r="F105">
        <v>21.52</v>
      </c>
      <c r="G105">
        <v>22.52</v>
      </c>
      <c r="H105">
        <v>23.5</v>
      </c>
      <c r="I105">
        <v>24.6</v>
      </c>
      <c r="J105" s="12">
        <v>0.67</v>
      </c>
      <c r="K105" s="12">
        <v>0.43</v>
      </c>
      <c r="L105" s="12">
        <v>0.56000000000000005</v>
      </c>
      <c r="M105">
        <f>((H105^2)+(H105*I105)+(I105^2)-(F105^2)-(F105*G105)-(G105^2))/(3*(I105+H105-F105-G105))</f>
        <v>23.03931034482757</v>
      </c>
      <c r="N105">
        <f>(J105-(2*K105)-L105+2)/3</f>
        <v>0.41666666666666669</v>
      </c>
      <c r="O105" s="6">
        <f t="shared" si="34"/>
        <v>9.5997126436781546</v>
      </c>
      <c r="Q105">
        <f t="shared" si="37"/>
        <v>0.94740000000000002</v>
      </c>
      <c r="R105" t="str">
        <f t="shared" si="35"/>
        <v>Yes</v>
      </c>
      <c r="S105" t="str">
        <f t="shared" si="38"/>
        <v>Yes</v>
      </c>
    </row>
    <row r="106" spans="1:19" x14ac:dyDescent="0.3">
      <c r="A106" s="15">
        <v>1</v>
      </c>
      <c r="B106" s="3">
        <v>2</v>
      </c>
      <c r="C106" s="3">
        <v>2</v>
      </c>
      <c r="D106">
        <v>4.5999999999999996</v>
      </c>
      <c r="F106">
        <v>8.59</v>
      </c>
      <c r="G106">
        <v>9.6999999999999993</v>
      </c>
      <c r="H106">
        <v>10.6</v>
      </c>
      <c r="I106">
        <v>11.7</v>
      </c>
      <c r="J106" s="12">
        <v>0.34</v>
      </c>
      <c r="K106" s="12">
        <v>0.43</v>
      </c>
      <c r="L106" s="12">
        <v>0.12</v>
      </c>
      <c r="M106">
        <f t="shared" ref="M106:M119" si="39">((H106^2)+(H106*I106)+(I106^2)-(F106^2)-(F106*G106)-(G106^2))/(3*(I106+H106-F106-G106))</f>
        <v>10.14704073150458</v>
      </c>
      <c r="N106">
        <f t="shared" ref="N106:N119" si="40">(J106-(2*K106)-L106+2)/3</f>
        <v>0.45333333333333331</v>
      </c>
      <c r="O106" s="6">
        <f t="shared" si="34"/>
        <v>4.5999917982820762</v>
      </c>
      <c r="Q106">
        <f t="shared" si="37"/>
        <v>0.31490000000000001</v>
      </c>
      <c r="R106" t="str">
        <f t="shared" si="35"/>
        <v>Yes</v>
      </c>
      <c r="S106" t="str">
        <f t="shared" si="38"/>
        <v>Yes</v>
      </c>
    </row>
    <row r="107" spans="1:19" x14ac:dyDescent="0.3">
      <c r="A107" s="15">
        <v>1</v>
      </c>
      <c r="B107" s="3">
        <v>2</v>
      </c>
      <c r="C107" s="16">
        <v>3</v>
      </c>
      <c r="D107">
        <v>7.8</v>
      </c>
      <c r="F107">
        <v>23.6</v>
      </c>
      <c r="G107">
        <v>24.68</v>
      </c>
      <c r="H107">
        <v>25.68</v>
      </c>
      <c r="I107">
        <v>26.7</v>
      </c>
      <c r="J107" s="12">
        <v>0.45</v>
      </c>
      <c r="K107" s="12">
        <v>0.65</v>
      </c>
      <c r="L107" s="12">
        <v>0.22</v>
      </c>
      <c r="M107">
        <f t="shared" si="39"/>
        <v>25.162439024390256</v>
      </c>
      <c r="N107">
        <f t="shared" si="40"/>
        <v>0.31</v>
      </c>
      <c r="O107" s="6">
        <f t="shared" si="34"/>
        <v>7.8003560975609796</v>
      </c>
      <c r="Q107">
        <f t="shared" si="37"/>
        <v>0.6734</v>
      </c>
      <c r="R107" t="str">
        <f t="shared" si="35"/>
        <v>Yes</v>
      </c>
      <c r="S107" t="str">
        <f t="shared" si="38"/>
        <v>Yes</v>
      </c>
    </row>
    <row r="108" spans="1:19" x14ac:dyDescent="0.3">
      <c r="A108" s="15">
        <v>1</v>
      </c>
      <c r="B108" s="16">
        <v>3</v>
      </c>
      <c r="C108" s="15">
        <v>1</v>
      </c>
      <c r="D108">
        <v>6.7</v>
      </c>
      <c r="F108">
        <v>10.81</v>
      </c>
      <c r="G108">
        <v>11.8</v>
      </c>
      <c r="H108">
        <v>12.8</v>
      </c>
      <c r="I108">
        <v>13.9</v>
      </c>
      <c r="J108" s="12">
        <v>0.67</v>
      </c>
      <c r="K108" s="12">
        <v>0.24</v>
      </c>
      <c r="L108" s="12">
        <v>0.56000000000000005</v>
      </c>
      <c r="M108">
        <f t="shared" si="39"/>
        <v>12.332184189079049</v>
      </c>
      <c r="N108">
        <f t="shared" si="40"/>
        <v>0.54333333333333333</v>
      </c>
      <c r="O108" s="6">
        <f t="shared" si="34"/>
        <v>6.7004867427329504</v>
      </c>
      <c r="Q108">
        <f t="shared" si="37"/>
        <v>0.82010000000000005</v>
      </c>
      <c r="R108" t="str">
        <f t="shared" si="35"/>
        <v>Yes</v>
      </c>
      <c r="S108" t="str">
        <f t="shared" si="38"/>
        <v>Yes</v>
      </c>
    </row>
    <row r="109" spans="1:19" x14ac:dyDescent="0.3">
      <c r="A109" s="15">
        <v>1</v>
      </c>
      <c r="B109" s="16">
        <v>3</v>
      </c>
      <c r="C109" s="3">
        <v>2</v>
      </c>
      <c r="D109">
        <v>4.5</v>
      </c>
      <c r="F109">
        <v>12.28</v>
      </c>
      <c r="G109">
        <v>13.26</v>
      </c>
      <c r="H109">
        <v>14</v>
      </c>
      <c r="I109">
        <v>15</v>
      </c>
      <c r="J109" s="12">
        <v>0.23</v>
      </c>
      <c r="K109" s="12">
        <v>0.35</v>
      </c>
      <c r="L109" s="12">
        <v>0.54</v>
      </c>
      <c r="M109">
        <f t="shared" si="39"/>
        <v>13.635953757225435</v>
      </c>
      <c r="N109">
        <f t="shared" si="40"/>
        <v>0.33</v>
      </c>
      <c r="O109" s="6">
        <f t="shared" si="34"/>
        <v>4.4998647398843934</v>
      </c>
      <c r="Q109">
        <f t="shared" si="37"/>
        <v>0.46700000000000003</v>
      </c>
      <c r="R109" t="str">
        <f t="shared" si="35"/>
        <v>Yes</v>
      </c>
      <c r="S109" t="str">
        <f t="shared" si="38"/>
        <v>Yes</v>
      </c>
    </row>
    <row r="110" spans="1:19" x14ac:dyDescent="0.3">
      <c r="A110" s="15">
        <v>1</v>
      </c>
      <c r="B110" s="16">
        <v>3</v>
      </c>
      <c r="C110" s="16">
        <v>3</v>
      </c>
      <c r="D110">
        <v>5.7</v>
      </c>
      <c r="F110">
        <v>10.220000000000001</v>
      </c>
      <c r="G110">
        <v>11.21</v>
      </c>
      <c r="H110">
        <v>12.21</v>
      </c>
      <c r="I110">
        <v>13.21</v>
      </c>
      <c r="J110" s="12">
        <v>0.7</v>
      </c>
      <c r="K110" s="12">
        <v>0.31</v>
      </c>
      <c r="L110" s="12">
        <v>0.62</v>
      </c>
      <c r="M110">
        <f t="shared" si="39"/>
        <v>11.712915622389316</v>
      </c>
      <c r="N110">
        <f t="shared" si="40"/>
        <v>0.48666666666666664</v>
      </c>
      <c r="O110" s="6">
        <f t="shared" si="34"/>
        <v>5.7002856028961331</v>
      </c>
      <c r="Q110">
        <f t="shared" si="37"/>
        <v>0.97049999999999992</v>
      </c>
      <c r="R110" t="str">
        <f t="shared" si="35"/>
        <v>Yes</v>
      </c>
      <c r="S110" t="str">
        <f>IF(ROUND(O110,2)=D110,"Yes","No")</f>
        <v>Yes</v>
      </c>
    </row>
    <row r="111" spans="1:19" x14ac:dyDescent="0.3">
      <c r="A111" s="15">
        <v>1</v>
      </c>
      <c r="B111" s="17">
        <v>4</v>
      </c>
      <c r="C111" s="15">
        <v>1</v>
      </c>
      <c r="D111">
        <v>6.7</v>
      </c>
      <c r="F111">
        <v>16</v>
      </c>
      <c r="G111">
        <v>17.149999999999999</v>
      </c>
      <c r="H111">
        <v>18.2</v>
      </c>
      <c r="I111">
        <v>19.2</v>
      </c>
      <c r="J111" s="12">
        <v>0.39</v>
      </c>
      <c r="K111" s="12">
        <v>0.23</v>
      </c>
      <c r="L111" s="12">
        <v>0.79</v>
      </c>
      <c r="M111">
        <f t="shared" si="39"/>
        <v>17.631176470588237</v>
      </c>
      <c r="N111">
        <f t="shared" si="40"/>
        <v>0.37999999999999995</v>
      </c>
      <c r="O111" s="6">
        <f t="shared" si="34"/>
        <v>6.6998470588235293</v>
      </c>
      <c r="Q111">
        <f t="shared" si="37"/>
        <v>0.82910000000000017</v>
      </c>
      <c r="R111" t="str">
        <f t="shared" si="35"/>
        <v>Yes</v>
      </c>
      <c r="S111" t="str">
        <f t="shared" si="38"/>
        <v>Yes</v>
      </c>
    </row>
    <row r="112" spans="1:19" x14ac:dyDescent="0.3">
      <c r="A112" s="15">
        <v>1</v>
      </c>
      <c r="B112" s="17">
        <v>4</v>
      </c>
      <c r="C112" s="3">
        <v>2</v>
      </c>
      <c r="D112">
        <v>5.2</v>
      </c>
      <c r="F112">
        <v>7.32</v>
      </c>
      <c r="G112">
        <v>8.3000000000000007</v>
      </c>
      <c r="H112">
        <v>9.0500000000000007</v>
      </c>
      <c r="I112">
        <v>10</v>
      </c>
      <c r="J112" s="12">
        <v>0.59</v>
      </c>
      <c r="K112" s="12">
        <v>0.15</v>
      </c>
      <c r="L112" s="12">
        <v>0.49</v>
      </c>
      <c r="M112">
        <f t="shared" si="39"/>
        <v>8.6660932944606426</v>
      </c>
      <c r="N112">
        <f t="shared" si="40"/>
        <v>0.6</v>
      </c>
      <c r="O112" s="6">
        <f t="shared" si="34"/>
        <v>5.199655976676385</v>
      </c>
      <c r="Q112">
        <f t="shared" si="37"/>
        <v>0.61070000000000002</v>
      </c>
      <c r="R112" t="str">
        <f t="shared" si="35"/>
        <v>Yes</v>
      </c>
      <c r="S112" t="str">
        <f t="shared" si="38"/>
        <v>Yes</v>
      </c>
    </row>
    <row r="113" spans="1:19" x14ac:dyDescent="0.3">
      <c r="A113" s="15">
        <v>1</v>
      </c>
      <c r="B113" s="17">
        <v>4</v>
      </c>
      <c r="C113" s="16">
        <v>3</v>
      </c>
      <c r="D113">
        <v>7.4</v>
      </c>
      <c r="F113">
        <v>10.77</v>
      </c>
      <c r="G113">
        <v>11.68</v>
      </c>
      <c r="H113">
        <v>12.65</v>
      </c>
      <c r="I113">
        <v>13.67</v>
      </c>
      <c r="J113" s="12">
        <v>0.61</v>
      </c>
      <c r="K113" s="12">
        <v>0.15</v>
      </c>
      <c r="L113" s="12">
        <v>0.49</v>
      </c>
      <c r="M113">
        <f t="shared" si="39"/>
        <v>12.197071490094753</v>
      </c>
      <c r="N113">
        <f t="shared" si="40"/>
        <v>0.60666666666666669</v>
      </c>
      <c r="O113" s="6">
        <f t="shared" si="34"/>
        <v>7.3995567039908172</v>
      </c>
      <c r="Q113">
        <f t="shared" si="37"/>
        <v>0.63470000000000004</v>
      </c>
      <c r="R113" t="str">
        <f t="shared" si="35"/>
        <v>Yes</v>
      </c>
      <c r="S113" t="str">
        <f t="shared" si="38"/>
        <v>Yes</v>
      </c>
    </row>
    <row r="114" spans="1:19" x14ac:dyDescent="0.3">
      <c r="A114" s="3">
        <v>2</v>
      </c>
      <c r="B114" s="15">
        <v>1</v>
      </c>
      <c r="C114" s="15">
        <v>1</v>
      </c>
      <c r="D114">
        <v>6.8</v>
      </c>
      <c r="F114">
        <v>11.71</v>
      </c>
      <c r="G114">
        <v>12.58</v>
      </c>
      <c r="H114">
        <v>13.69</v>
      </c>
      <c r="I114">
        <v>14.65</v>
      </c>
      <c r="J114" s="12">
        <v>0.56000000000000005</v>
      </c>
      <c r="K114" s="12">
        <v>0.3</v>
      </c>
      <c r="L114" s="12">
        <v>0.41</v>
      </c>
      <c r="M114">
        <f t="shared" si="39"/>
        <v>13.160888888888888</v>
      </c>
      <c r="N114">
        <f t="shared" si="40"/>
        <v>0.51666666666666672</v>
      </c>
      <c r="O114" s="6">
        <f t="shared" si="34"/>
        <v>6.7997925925925928</v>
      </c>
      <c r="Q114">
        <f t="shared" si="37"/>
        <v>0.5717000000000001</v>
      </c>
      <c r="R114" t="str">
        <f t="shared" si="35"/>
        <v>Yes</v>
      </c>
      <c r="S114" t="str">
        <f t="shared" si="38"/>
        <v>Yes</v>
      </c>
    </row>
    <row r="115" spans="1:19" x14ac:dyDescent="0.3">
      <c r="A115" s="3">
        <v>2</v>
      </c>
      <c r="B115" s="15">
        <v>1</v>
      </c>
      <c r="C115" s="3">
        <v>2</v>
      </c>
      <c r="D115">
        <v>7.9</v>
      </c>
      <c r="F115">
        <v>12.45</v>
      </c>
      <c r="G115">
        <v>13.46</v>
      </c>
      <c r="H115">
        <v>14.75</v>
      </c>
      <c r="I115">
        <v>15.77</v>
      </c>
      <c r="J115" s="12">
        <v>0.76</v>
      </c>
      <c r="K115" s="12">
        <v>0.48</v>
      </c>
      <c r="L115" s="12">
        <v>0.12</v>
      </c>
      <c r="M115">
        <f t="shared" si="39"/>
        <v>14.107866955892989</v>
      </c>
      <c r="N115">
        <f t="shared" si="40"/>
        <v>0.56000000000000005</v>
      </c>
      <c r="O115" s="6">
        <f t="shared" si="34"/>
        <v>7.9004054953000749</v>
      </c>
      <c r="Q115">
        <f t="shared" si="37"/>
        <v>0.82240000000000002</v>
      </c>
      <c r="R115" t="str">
        <f t="shared" si="35"/>
        <v>Yes</v>
      </c>
      <c r="S115" t="str">
        <f t="shared" si="38"/>
        <v>Yes</v>
      </c>
    </row>
    <row r="116" spans="1:19" x14ac:dyDescent="0.3">
      <c r="A116" s="3">
        <v>2</v>
      </c>
      <c r="B116" s="15">
        <v>1</v>
      </c>
      <c r="C116" s="16">
        <v>3</v>
      </c>
      <c r="D116">
        <v>5.8</v>
      </c>
      <c r="F116">
        <v>21.69</v>
      </c>
      <c r="G116">
        <v>22.68</v>
      </c>
      <c r="H116">
        <v>23.59</v>
      </c>
      <c r="I116">
        <v>24.8</v>
      </c>
      <c r="J116" s="12">
        <v>0.19</v>
      </c>
      <c r="K116" s="12">
        <v>0.66</v>
      </c>
      <c r="L116" s="12">
        <v>0.12</v>
      </c>
      <c r="M116">
        <f t="shared" si="39"/>
        <v>23.20003316749586</v>
      </c>
      <c r="N116">
        <f t="shared" si="40"/>
        <v>0.25</v>
      </c>
      <c r="O116" s="6">
        <f t="shared" si="34"/>
        <v>5.800008291873965</v>
      </c>
      <c r="Q116">
        <f t="shared" si="37"/>
        <v>0.48610000000000009</v>
      </c>
      <c r="R116" t="str">
        <f t="shared" si="35"/>
        <v>Yes</v>
      </c>
      <c r="S116" t="str">
        <f t="shared" si="38"/>
        <v>Yes</v>
      </c>
    </row>
    <row r="117" spans="1:19" x14ac:dyDescent="0.3">
      <c r="A117" s="3">
        <v>2</v>
      </c>
      <c r="B117" s="3">
        <v>2</v>
      </c>
      <c r="C117" s="15">
        <v>1</v>
      </c>
      <c r="D117">
        <v>6.9</v>
      </c>
      <c r="F117">
        <v>14.59</v>
      </c>
      <c r="G117">
        <v>15.65</v>
      </c>
      <c r="H117">
        <v>16.75</v>
      </c>
      <c r="I117">
        <v>17.71</v>
      </c>
      <c r="J117" s="12">
        <v>0.65</v>
      </c>
      <c r="K117" s="12">
        <v>0.55000000000000004</v>
      </c>
      <c r="L117" s="12">
        <v>0.27</v>
      </c>
      <c r="M117">
        <f t="shared" si="39"/>
        <v>16.171011058451821</v>
      </c>
      <c r="N117">
        <f t="shared" si="40"/>
        <v>0.42666666666666658</v>
      </c>
      <c r="O117" s="6">
        <f t="shared" si="34"/>
        <v>6.8996313849394424</v>
      </c>
      <c r="Q117">
        <f t="shared" si="37"/>
        <v>0.79790000000000005</v>
      </c>
      <c r="R117" t="str">
        <f t="shared" si="35"/>
        <v>Yes</v>
      </c>
      <c r="S117" t="str">
        <f t="shared" si="38"/>
        <v>Yes</v>
      </c>
    </row>
    <row r="118" spans="1:19" x14ac:dyDescent="0.3">
      <c r="A118" s="3">
        <v>2</v>
      </c>
      <c r="B118" s="3">
        <v>2</v>
      </c>
      <c r="C118" s="3">
        <v>2</v>
      </c>
      <c r="D118">
        <v>9.1</v>
      </c>
      <c r="F118">
        <v>18.7</v>
      </c>
      <c r="G118">
        <v>19.71</v>
      </c>
      <c r="H118">
        <v>20.7</v>
      </c>
      <c r="I118">
        <v>21.77</v>
      </c>
      <c r="J118" s="12">
        <v>0.27</v>
      </c>
      <c r="K118" s="12">
        <v>0.28000000000000003</v>
      </c>
      <c r="L118" s="12">
        <v>0.36</v>
      </c>
      <c r="M118">
        <f t="shared" si="39"/>
        <v>20.222561576354675</v>
      </c>
      <c r="N118">
        <f t="shared" si="40"/>
        <v>0.45</v>
      </c>
      <c r="O118" s="6">
        <f t="shared" si="34"/>
        <v>9.1001527093596035</v>
      </c>
      <c r="Q118">
        <f t="shared" si="37"/>
        <v>0.28090000000000004</v>
      </c>
      <c r="R118" t="str">
        <f t="shared" si="35"/>
        <v>Yes</v>
      </c>
      <c r="S118" t="str">
        <f t="shared" si="38"/>
        <v>Yes</v>
      </c>
    </row>
    <row r="119" spans="1:19" x14ac:dyDescent="0.3">
      <c r="A119" s="3">
        <v>2</v>
      </c>
      <c r="B119" s="3">
        <v>2</v>
      </c>
      <c r="C119" s="16">
        <v>3</v>
      </c>
      <c r="D119">
        <v>8.4</v>
      </c>
      <c r="F119">
        <v>18.21</v>
      </c>
      <c r="G119">
        <v>19.22</v>
      </c>
      <c r="H119">
        <v>20.100000000000001</v>
      </c>
      <c r="I119">
        <v>21.2</v>
      </c>
      <c r="J119" s="12">
        <v>0.36</v>
      </c>
      <c r="K119" s="12">
        <v>0.21</v>
      </c>
      <c r="L119" s="12">
        <v>0.66</v>
      </c>
      <c r="M119">
        <f t="shared" si="39"/>
        <v>19.686589147286846</v>
      </c>
      <c r="N119">
        <f t="shared" si="40"/>
        <v>0.42666666666666669</v>
      </c>
      <c r="O119" s="6">
        <f t="shared" si="34"/>
        <v>8.3996113695090546</v>
      </c>
      <c r="Q119">
        <f t="shared" si="37"/>
        <v>0.60930000000000006</v>
      </c>
      <c r="R119" t="str">
        <f t="shared" si="35"/>
        <v>Yes</v>
      </c>
      <c r="S119" t="str">
        <f t="shared" si="38"/>
        <v>Yes</v>
      </c>
    </row>
    <row r="120" spans="1:19" x14ac:dyDescent="0.3">
      <c r="A120" s="3">
        <v>2</v>
      </c>
      <c r="B120" s="16">
        <v>3</v>
      </c>
      <c r="C120" s="15">
        <v>1</v>
      </c>
      <c r="D120">
        <v>6.8</v>
      </c>
      <c r="F120">
        <v>10.41</v>
      </c>
      <c r="G120">
        <v>12.2</v>
      </c>
      <c r="H120">
        <v>13.01</v>
      </c>
      <c r="I120">
        <v>14</v>
      </c>
      <c r="J120" s="12">
        <v>0.76</v>
      </c>
      <c r="K120" s="12">
        <v>0.45</v>
      </c>
      <c r="L120" s="12">
        <v>0.21</v>
      </c>
      <c r="M120">
        <f t="shared" ref="M120:M125" si="41">((H120^2)+(H120*I120)+(I120^2)-(F120^2)-(F120*G120)-(G120^2))/(3*(I120+H120-F120-G120))</f>
        <v>12.362878787878788</v>
      </c>
      <c r="N120">
        <f t="shared" ref="N120:N125" si="42">(J120-(2*K120)-L120+2)/3</f>
        <v>0.54999999999999993</v>
      </c>
      <c r="O120" s="6">
        <f t="shared" ref="O120:O125" si="43">M120*N120</f>
        <v>6.7995833333333326</v>
      </c>
      <c r="Q120">
        <f t="shared" ref="Q120:Q125" si="44">J120^2+K120^2+L120^2</f>
        <v>0.82420000000000004</v>
      </c>
      <c r="R120" t="str">
        <f t="shared" ref="R120:R125" si="45">IF(AND(Q120&gt;=0,Q120&lt;=1),"Yes","No")</f>
        <v>Yes</v>
      </c>
      <c r="S120" t="str">
        <f t="shared" ref="S120:S125" si="46">IF(ROUND(O120,2)=D120,"Yes","No")</f>
        <v>Yes</v>
      </c>
    </row>
    <row r="121" spans="1:19" x14ac:dyDescent="0.3">
      <c r="A121" s="3">
        <v>2</v>
      </c>
      <c r="B121" s="16">
        <v>3</v>
      </c>
      <c r="C121" s="3">
        <v>2</v>
      </c>
      <c r="D121">
        <v>4.9000000000000004</v>
      </c>
      <c r="F121">
        <v>6</v>
      </c>
      <c r="G121">
        <v>7</v>
      </c>
      <c r="H121">
        <v>8</v>
      </c>
      <c r="I121">
        <v>9</v>
      </c>
      <c r="J121" s="12">
        <v>0.84</v>
      </c>
      <c r="K121" s="12">
        <v>0.32</v>
      </c>
      <c r="L121" s="12">
        <v>0.24</v>
      </c>
      <c r="M121">
        <f t="shared" si="41"/>
        <v>7.5</v>
      </c>
      <c r="N121">
        <f t="shared" si="42"/>
        <v>0.65333333333333332</v>
      </c>
      <c r="O121" s="6">
        <f t="shared" si="43"/>
        <v>4.9000000000000004</v>
      </c>
      <c r="Q121">
        <f t="shared" si="44"/>
        <v>0.86559999999999993</v>
      </c>
      <c r="R121" t="str">
        <f t="shared" si="45"/>
        <v>Yes</v>
      </c>
      <c r="S121" t="str">
        <f t="shared" si="46"/>
        <v>Yes</v>
      </c>
    </row>
    <row r="122" spans="1:19" x14ac:dyDescent="0.3">
      <c r="A122" s="3">
        <v>2</v>
      </c>
      <c r="B122" s="16">
        <v>3</v>
      </c>
      <c r="C122" s="16">
        <v>3</v>
      </c>
      <c r="D122">
        <v>8.1</v>
      </c>
      <c r="F122">
        <v>18.899999999999999</v>
      </c>
      <c r="G122">
        <v>19.8</v>
      </c>
      <c r="H122">
        <v>20.7</v>
      </c>
      <c r="I122">
        <v>22.17</v>
      </c>
      <c r="J122" s="12">
        <v>0.31</v>
      </c>
      <c r="K122" s="12">
        <v>0.28999999999999998</v>
      </c>
      <c r="L122" s="12">
        <v>0.54</v>
      </c>
      <c r="M122">
        <f t="shared" si="41"/>
        <v>20.419496402877694</v>
      </c>
      <c r="N122">
        <f t="shared" si="42"/>
        <v>0.39666666666666667</v>
      </c>
      <c r="O122" s="6">
        <f t="shared" si="43"/>
        <v>8.099733573141485</v>
      </c>
      <c r="Q122">
        <f t="shared" si="44"/>
        <v>0.4718</v>
      </c>
      <c r="R122" t="str">
        <f t="shared" si="45"/>
        <v>Yes</v>
      </c>
      <c r="S122" t="str">
        <f t="shared" si="46"/>
        <v>Yes</v>
      </c>
    </row>
    <row r="123" spans="1:19" x14ac:dyDescent="0.3">
      <c r="A123" s="3">
        <v>2</v>
      </c>
      <c r="B123" s="17">
        <v>4</v>
      </c>
      <c r="C123" s="15">
        <v>1</v>
      </c>
      <c r="D123">
        <v>5.7</v>
      </c>
      <c r="F123">
        <v>28.01</v>
      </c>
      <c r="G123">
        <v>29.02</v>
      </c>
      <c r="H123">
        <v>30.02</v>
      </c>
      <c r="I123">
        <v>30.9</v>
      </c>
      <c r="J123" s="12">
        <v>0.28000000000000003</v>
      </c>
      <c r="K123" s="12">
        <v>0.45</v>
      </c>
      <c r="L123" s="12">
        <v>0.8</v>
      </c>
      <c r="M123">
        <f t="shared" si="41"/>
        <v>29.482236503856011</v>
      </c>
      <c r="N123">
        <f t="shared" si="42"/>
        <v>0.19333333333333336</v>
      </c>
      <c r="O123" s="6">
        <f t="shared" si="43"/>
        <v>5.6998990574121633</v>
      </c>
      <c r="Q123">
        <f t="shared" si="44"/>
        <v>0.92090000000000016</v>
      </c>
      <c r="R123" t="str">
        <f t="shared" si="45"/>
        <v>Yes</v>
      </c>
      <c r="S123" t="str">
        <f t="shared" si="46"/>
        <v>Yes</v>
      </c>
    </row>
    <row r="124" spans="1:19" x14ac:dyDescent="0.3">
      <c r="A124" s="3">
        <v>2</v>
      </c>
      <c r="B124" s="17">
        <v>4</v>
      </c>
      <c r="C124" s="3">
        <v>2</v>
      </c>
      <c r="D124">
        <v>8.5</v>
      </c>
      <c r="F124">
        <v>12.78</v>
      </c>
      <c r="G124">
        <v>13.72</v>
      </c>
      <c r="H124">
        <v>14.75</v>
      </c>
      <c r="I124">
        <v>15.73</v>
      </c>
      <c r="J124" s="12">
        <v>0.82</v>
      </c>
      <c r="K124" s="12">
        <v>0.28999999999999998</v>
      </c>
      <c r="L124" s="12">
        <v>0.45</v>
      </c>
      <c r="M124">
        <f t="shared" si="41"/>
        <v>14.246608040201004</v>
      </c>
      <c r="N124">
        <f t="shared" si="42"/>
        <v>0.59666666666666668</v>
      </c>
      <c r="O124" s="6">
        <f t="shared" si="43"/>
        <v>8.500476130653265</v>
      </c>
      <c r="Q124">
        <f t="shared" si="44"/>
        <v>0.95899999999999985</v>
      </c>
      <c r="R124" t="str">
        <f t="shared" si="45"/>
        <v>Yes</v>
      </c>
      <c r="S124" t="str">
        <f t="shared" si="46"/>
        <v>Yes</v>
      </c>
    </row>
    <row r="125" spans="1:19" x14ac:dyDescent="0.3">
      <c r="A125" s="3">
        <v>2</v>
      </c>
      <c r="B125" s="17">
        <v>4</v>
      </c>
      <c r="C125" s="16">
        <v>3</v>
      </c>
      <c r="D125">
        <v>6.9</v>
      </c>
      <c r="F125">
        <v>19.77</v>
      </c>
      <c r="G125">
        <v>20.78</v>
      </c>
      <c r="H125">
        <v>21.83</v>
      </c>
      <c r="I125">
        <v>22.2</v>
      </c>
      <c r="J125" s="12">
        <v>0.35</v>
      </c>
      <c r="K125" s="12">
        <v>0.54</v>
      </c>
      <c r="L125" s="12">
        <v>0.28999999999999998</v>
      </c>
      <c r="M125">
        <f t="shared" si="41"/>
        <v>21.123850574712616</v>
      </c>
      <c r="N125">
        <f t="shared" si="42"/>
        <v>0.32666666666666666</v>
      </c>
      <c r="O125" s="6">
        <f t="shared" si="43"/>
        <v>6.9004578544061212</v>
      </c>
      <c r="Q125">
        <f t="shared" si="44"/>
        <v>0.49820000000000003</v>
      </c>
      <c r="R125" t="str">
        <f t="shared" si="45"/>
        <v>Yes</v>
      </c>
      <c r="S125" t="str">
        <f t="shared" si="46"/>
        <v>Yes</v>
      </c>
    </row>
    <row r="129" spans="1:20" x14ac:dyDescent="0.3">
      <c r="A129" t="s">
        <v>42</v>
      </c>
    </row>
    <row r="130" spans="1:20" x14ac:dyDescent="0.3">
      <c r="A130" s="10" t="s">
        <v>43</v>
      </c>
    </row>
    <row r="131" spans="1:20" x14ac:dyDescent="0.3">
      <c r="A131" s="11" t="s">
        <v>44</v>
      </c>
    </row>
    <row r="132" spans="1:20" x14ac:dyDescent="0.3">
      <c r="A132" s="11" t="s">
        <v>45</v>
      </c>
    </row>
    <row r="133" spans="1:20" x14ac:dyDescent="0.3">
      <c r="A133" s="11" t="s">
        <v>46</v>
      </c>
    </row>
    <row r="134" spans="1:20" x14ac:dyDescent="0.3">
      <c r="A134" s="11" t="s">
        <v>47</v>
      </c>
    </row>
    <row r="135" spans="1:20" x14ac:dyDescent="0.3">
      <c r="A135" s="11" t="s">
        <v>48</v>
      </c>
    </row>
    <row r="136" spans="1:20" x14ac:dyDescent="0.3">
      <c r="A136" s="11" t="s">
        <v>49</v>
      </c>
    </row>
    <row r="137" spans="1:20" x14ac:dyDescent="0.3">
      <c r="A137" s="11" t="s">
        <v>50</v>
      </c>
    </row>
    <row r="138" spans="1:20" x14ac:dyDescent="0.3">
      <c r="A138" s="11" t="s">
        <v>51</v>
      </c>
    </row>
    <row r="139" spans="1:20" x14ac:dyDescent="0.3">
      <c r="A139" s="11" t="s">
        <v>52</v>
      </c>
      <c r="M139" s="12"/>
      <c r="N139" s="12"/>
      <c r="O139" s="12"/>
    </row>
    <row r="140" spans="1:20" x14ac:dyDescent="0.3">
      <c r="A140" s="11" t="s">
        <v>53</v>
      </c>
    </row>
    <row r="141" spans="1:20" x14ac:dyDescent="0.3">
      <c r="A141" s="11" t="s">
        <v>54</v>
      </c>
    </row>
    <row r="143" spans="1:20" x14ac:dyDescent="0.3">
      <c r="A143" s="11" t="s">
        <v>2</v>
      </c>
      <c r="B143" t="s">
        <v>28</v>
      </c>
      <c r="C143" t="s">
        <v>55</v>
      </c>
      <c r="D143" t="s">
        <v>10</v>
      </c>
      <c r="E143" t="s">
        <v>56</v>
      </c>
      <c r="G143" s="2" t="s">
        <v>4</v>
      </c>
      <c r="H143" s="2" t="s">
        <v>5</v>
      </c>
      <c r="I143" s="2" t="s">
        <v>6</v>
      </c>
      <c r="J143" s="2" t="s">
        <v>7</v>
      </c>
      <c r="K143" s="3" t="s">
        <v>8</v>
      </c>
      <c r="L143" s="3" t="s">
        <v>9</v>
      </c>
      <c r="M143" s="3" t="s">
        <v>10</v>
      </c>
      <c r="N143" s="4" t="s">
        <v>13</v>
      </c>
      <c r="O143" s="4" t="s">
        <v>12</v>
      </c>
      <c r="P143" s="9" t="s">
        <v>11</v>
      </c>
      <c r="R143" t="s">
        <v>14</v>
      </c>
      <c r="S143" t="s">
        <v>30</v>
      </c>
      <c r="T143" t="s">
        <v>31</v>
      </c>
    </row>
    <row r="144" spans="1:20" x14ac:dyDescent="0.3">
      <c r="A144" s="15">
        <v>1</v>
      </c>
      <c r="B144" s="15">
        <v>1</v>
      </c>
      <c r="C144" s="15">
        <v>1</v>
      </c>
      <c r="D144" s="15">
        <v>1</v>
      </c>
      <c r="E144">
        <v>8.6</v>
      </c>
      <c r="G144">
        <v>13.08</v>
      </c>
      <c r="H144">
        <v>14.08</v>
      </c>
      <c r="I144">
        <v>15.08</v>
      </c>
      <c r="J144">
        <v>16.07</v>
      </c>
      <c r="K144" s="12">
        <v>0.76</v>
      </c>
      <c r="L144" s="12">
        <v>0.34</v>
      </c>
      <c r="M144" s="12">
        <v>0.31</v>
      </c>
      <c r="N144">
        <f>((I144^2)+(I144*J144)+(J144^2)-(G144^2)-(G144*H144)-(H144^2))/(3*(J144+I144-G144-H144))</f>
        <v>14.577084377610689</v>
      </c>
      <c r="O144">
        <f>(K144-(2*L144)-M144+2)/3</f>
        <v>0.59</v>
      </c>
      <c r="P144" s="6">
        <f>N144*O144</f>
        <v>8.6004797827903054</v>
      </c>
      <c r="R144">
        <f>K144^2+L144^2+M144^2</f>
        <v>0.7893</v>
      </c>
      <c r="S144" t="str">
        <f>IF(AND(R144&gt;=0,R144&lt;=1),"Yes","No")</f>
        <v>Yes</v>
      </c>
      <c r="T144" t="str">
        <f>IF(ROUND(P144,2)=E144,"Yes","No")</f>
        <v>Yes</v>
      </c>
    </row>
    <row r="145" spans="1:20" x14ac:dyDescent="0.3">
      <c r="A145" s="15">
        <v>1</v>
      </c>
      <c r="B145" s="15">
        <v>1</v>
      </c>
      <c r="C145" s="15">
        <v>1</v>
      </c>
      <c r="D145" s="3">
        <v>2</v>
      </c>
      <c r="E145">
        <v>7.2</v>
      </c>
      <c r="G145">
        <v>16.5</v>
      </c>
      <c r="H145">
        <v>17.5</v>
      </c>
      <c r="I145">
        <v>18.5</v>
      </c>
      <c r="J145">
        <v>19.5</v>
      </c>
      <c r="K145" s="12">
        <v>0.56000000000000005</v>
      </c>
      <c r="L145" s="12">
        <v>0.45</v>
      </c>
      <c r="M145" s="12">
        <v>0.46</v>
      </c>
      <c r="N145">
        <f>((I145^2)+(I145*J145)+(J145^2)-(G145^2)-(G145*H145)-(H145^2))/(3*(J145+I145-G145-H145))</f>
        <v>18</v>
      </c>
      <c r="O145">
        <f>(K145-(2*L145)-M145+2)/3</f>
        <v>0.39999999999999997</v>
      </c>
      <c r="P145" s="6">
        <f t="shared" ref="P145:P146" si="47">N145*O145</f>
        <v>7.1999999999999993</v>
      </c>
      <c r="R145">
        <f>K145^2+L145^2+M145^2</f>
        <v>0.72770000000000001</v>
      </c>
      <c r="S145" t="str">
        <f t="shared" ref="S145:S146" si="48">IF(AND(R145&gt;=0,R145&lt;=1),"Yes","No")</f>
        <v>Yes</v>
      </c>
      <c r="T145" t="str">
        <f>IF(ROUND(P145,2)=E145,"Yes","No")</f>
        <v>Yes</v>
      </c>
    </row>
    <row r="146" spans="1:20" x14ac:dyDescent="0.3">
      <c r="A146" s="15">
        <v>1</v>
      </c>
      <c r="B146" s="15">
        <v>1</v>
      </c>
      <c r="C146" s="15">
        <v>1</v>
      </c>
      <c r="D146" s="16">
        <v>3</v>
      </c>
      <c r="E146">
        <v>9.3000000000000007</v>
      </c>
      <c r="G146">
        <v>21.2</v>
      </c>
      <c r="H146">
        <v>22.17</v>
      </c>
      <c r="I146">
        <v>23.2</v>
      </c>
      <c r="J146">
        <v>24.16</v>
      </c>
      <c r="K146" s="12">
        <v>0.56000000000000005</v>
      </c>
      <c r="L146" s="12">
        <v>0.62</v>
      </c>
      <c r="M146" s="12">
        <v>0.09</v>
      </c>
      <c r="N146">
        <f t="shared" ref="N146:N162" si="49">((I146^2)+(I146*J146)+(J146^2)-(G146^2)-(G146*H146)-(H146^2))/(3*(J146+I146-G146-H146))</f>
        <v>22.682096908939005</v>
      </c>
      <c r="O146">
        <f t="shared" ref="O146:O162" si="50">(K146-(2*L146)-M146+2)/3</f>
        <v>0.41</v>
      </c>
      <c r="P146" s="6">
        <f t="shared" si="47"/>
        <v>9.2996597326649919</v>
      </c>
      <c r="R146">
        <f t="shared" ref="R146:R162" si="51">K146^2+L146^2+M146^2</f>
        <v>0.70610000000000006</v>
      </c>
      <c r="S146" t="str">
        <f t="shared" si="48"/>
        <v>Yes</v>
      </c>
      <c r="T146" t="str">
        <f t="shared" ref="T146:T162" si="52">IF(ROUND(P146,2)=E146,"Yes","No")</f>
        <v>Yes</v>
      </c>
    </row>
    <row r="147" spans="1:20" x14ac:dyDescent="0.3">
      <c r="A147" s="15">
        <v>1</v>
      </c>
      <c r="B147" s="15">
        <v>1</v>
      </c>
      <c r="C147" s="15">
        <v>1</v>
      </c>
      <c r="D147" s="17">
        <v>4</v>
      </c>
      <c r="E147">
        <v>5.6</v>
      </c>
      <c r="G147">
        <v>7.8</v>
      </c>
      <c r="H147">
        <v>8.6199999999999992</v>
      </c>
      <c r="I147">
        <v>9.65</v>
      </c>
      <c r="J147">
        <v>10.8</v>
      </c>
      <c r="K147" s="12">
        <v>0.45</v>
      </c>
      <c r="L147">
        <v>0.23</v>
      </c>
      <c r="M147" s="12">
        <v>0.17</v>
      </c>
      <c r="N147">
        <f t="shared" si="49"/>
        <v>9.2309429280397026</v>
      </c>
      <c r="O147">
        <f t="shared" si="50"/>
        <v>0.60666666666666669</v>
      </c>
      <c r="P147" s="6">
        <f t="shared" ref="P147:P163" si="53">N147*O147</f>
        <v>5.6001053763440867</v>
      </c>
      <c r="R147">
        <f t="shared" si="51"/>
        <v>0.2843</v>
      </c>
      <c r="S147" t="str">
        <f t="shared" ref="S147:S163" si="54">IF(AND(R147&gt;=0,R147&lt;=1),"Yes","No")</f>
        <v>Yes</v>
      </c>
      <c r="T147" t="str">
        <f t="shared" si="52"/>
        <v>Yes</v>
      </c>
    </row>
    <row r="148" spans="1:20" x14ac:dyDescent="0.3">
      <c r="A148" s="15">
        <v>1</v>
      </c>
      <c r="B148" s="15">
        <v>1</v>
      </c>
      <c r="C148" s="15">
        <v>1</v>
      </c>
      <c r="D148" s="5">
        <v>5</v>
      </c>
      <c r="E148">
        <v>6.5</v>
      </c>
      <c r="G148">
        <v>9.4499999999999993</v>
      </c>
      <c r="H148">
        <v>10.45</v>
      </c>
      <c r="I148">
        <v>12.4</v>
      </c>
      <c r="J148">
        <v>13.32</v>
      </c>
      <c r="K148" s="12">
        <v>0.67</v>
      </c>
      <c r="L148" s="12">
        <v>0.34</v>
      </c>
      <c r="M148" s="12">
        <v>0.28000000000000003</v>
      </c>
      <c r="N148">
        <f t="shared" si="49"/>
        <v>11.402800687285225</v>
      </c>
      <c r="O148">
        <f t="shared" si="50"/>
        <v>0.56999999999999995</v>
      </c>
      <c r="P148" s="6">
        <f t="shared" si="53"/>
        <v>6.4995963917525774</v>
      </c>
      <c r="R148">
        <f t="shared" si="51"/>
        <v>0.64290000000000014</v>
      </c>
      <c r="S148" t="str">
        <f t="shared" si="54"/>
        <v>Yes</v>
      </c>
      <c r="T148" t="str">
        <f t="shared" si="52"/>
        <v>Yes</v>
      </c>
    </row>
    <row r="149" spans="1:20" x14ac:dyDescent="0.3">
      <c r="A149" s="15">
        <v>1</v>
      </c>
      <c r="B149" s="15">
        <v>1</v>
      </c>
      <c r="C149" s="15">
        <v>1</v>
      </c>
      <c r="D149" s="18">
        <v>6</v>
      </c>
      <c r="E149">
        <v>7.3</v>
      </c>
      <c r="G149">
        <v>17.36</v>
      </c>
      <c r="H149">
        <v>18.3</v>
      </c>
      <c r="I149">
        <v>19.100000000000001</v>
      </c>
      <c r="J149">
        <v>20.100000000000001</v>
      </c>
      <c r="K149" s="12">
        <v>0.49</v>
      </c>
      <c r="L149" s="12">
        <v>0.25</v>
      </c>
      <c r="M149" s="12">
        <v>0.82</v>
      </c>
      <c r="N149">
        <f t="shared" si="49"/>
        <v>18.717740112994356</v>
      </c>
      <c r="O149">
        <f t="shared" si="50"/>
        <v>0.38999999999999996</v>
      </c>
      <c r="P149" s="6">
        <f t="shared" si="53"/>
        <v>7.2999186440677981</v>
      </c>
      <c r="R149">
        <f t="shared" si="51"/>
        <v>0.97499999999999987</v>
      </c>
      <c r="S149" t="str">
        <f t="shared" si="54"/>
        <v>Yes</v>
      </c>
      <c r="T149" t="str">
        <f t="shared" si="52"/>
        <v>Yes</v>
      </c>
    </row>
    <row r="150" spans="1:20" x14ac:dyDescent="0.3">
      <c r="A150" s="15">
        <v>1</v>
      </c>
      <c r="B150" s="15">
        <v>1</v>
      </c>
      <c r="C150" s="3">
        <v>2</v>
      </c>
      <c r="D150" s="15">
        <v>1</v>
      </c>
      <c r="E150">
        <v>5.8</v>
      </c>
      <c r="G150">
        <v>14.03</v>
      </c>
      <c r="H150">
        <v>15.04</v>
      </c>
      <c r="I150">
        <v>16.05</v>
      </c>
      <c r="J150">
        <v>17.03</v>
      </c>
      <c r="K150" s="12">
        <v>0.25</v>
      </c>
      <c r="L150" s="12">
        <v>0.36</v>
      </c>
      <c r="M150" s="12">
        <v>0.41</v>
      </c>
      <c r="N150">
        <f t="shared" si="49"/>
        <v>15.536259351620961</v>
      </c>
      <c r="O150">
        <f t="shared" si="50"/>
        <v>0.37333333333333335</v>
      </c>
      <c r="P150" s="6">
        <f t="shared" si="53"/>
        <v>5.8002034912718257</v>
      </c>
      <c r="R150">
        <f t="shared" si="51"/>
        <v>0.36019999999999996</v>
      </c>
      <c r="S150" t="str">
        <f t="shared" si="54"/>
        <v>Yes</v>
      </c>
      <c r="T150" t="str">
        <f t="shared" si="52"/>
        <v>Yes</v>
      </c>
    </row>
    <row r="151" spans="1:20" x14ac:dyDescent="0.3">
      <c r="A151" s="15">
        <v>1</v>
      </c>
      <c r="B151" s="15">
        <v>1</v>
      </c>
      <c r="C151" s="3">
        <v>2</v>
      </c>
      <c r="D151" s="3">
        <v>2</v>
      </c>
      <c r="E151">
        <v>7.8</v>
      </c>
      <c r="G151">
        <v>11.8</v>
      </c>
      <c r="H151">
        <v>12.9</v>
      </c>
      <c r="I151">
        <v>14.11</v>
      </c>
      <c r="J151">
        <v>15.01</v>
      </c>
      <c r="K151" s="12">
        <v>0.66</v>
      </c>
      <c r="L151" s="12">
        <v>0.34</v>
      </c>
      <c r="M151" s="12">
        <v>0.24</v>
      </c>
      <c r="N151">
        <f t="shared" si="49"/>
        <v>13.447458521870288</v>
      </c>
      <c r="O151">
        <f t="shared" si="50"/>
        <v>0.57999999999999996</v>
      </c>
      <c r="P151" s="6">
        <f t="shared" si="53"/>
        <v>7.7995259426847667</v>
      </c>
      <c r="R151">
        <f t="shared" si="51"/>
        <v>0.60880000000000001</v>
      </c>
      <c r="S151" t="str">
        <f t="shared" si="54"/>
        <v>Yes</v>
      </c>
      <c r="T151" t="str">
        <f t="shared" si="52"/>
        <v>Yes</v>
      </c>
    </row>
    <row r="152" spans="1:20" x14ac:dyDescent="0.3">
      <c r="A152" s="15">
        <v>1</v>
      </c>
      <c r="B152" s="15">
        <v>1</v>
      </c>
      <c r="C152" s="3">
        <v>2</v>
      </c>
      <c r="D152" s="16">
        <v>3</v>
      </c>
      <c r="E152">
        <v>6.8</v>
      </c>
      <c r="G152">
        <v>15.43</v>
      </c>
      <c r="H152">
        <v>16.54</v>
      </c>
      <c r="I152">
        <v>17.54</v>
      </c>
      <c r="J152">
        <v>19.48</v>
      </c>
      <c r="K152" s="12">
        <v>0.34</v>
      </c>
      <c r="L152" s="12">
        <v>0.51</v>
      </c>
      <c r="M152" s="12">
        <v>0.14000000000000001</v>
      </c>
      <c r="N152">
        <f t="shared" si="49"/>
        <v>17.289273927392742</v>
      </c>
      <c r="O152">
        <f t="shared" si="50"/>
        <v>0.39333333333333337</v>
      </c>
      <c r="P152" s="6">
        <f t="shared" si="53"/>
        <v>6.8004477447744787</v>
      </c>
      <c r="R152">
        <f t="shared" si="51"/>
        <v>0.39530000000000004</v>
      </c>
      <c r="S152" t="str">
        <f t="shared" si="54"/>
        <v>Yes</v>
      </c>
      <c r="T152" t="str">
        <f t="shared" si="52"/>
        <v>Yes</v>
      </c>
    </row>
    <row r="153" spans="1:20" x14ac:dyDescent="0.3">
      <c r="A153" s="15">
        <v>1</v>
      </c>
      <c r="B153" s="15">
        <v>1</v>
      </c>
      <c r="C153" s="3">
        <v>2</v>
      </c>
      <c r="D153" s="17">
        <v>4</v>
      </c>
      <c r="E153">
        <v>4.5</v>
      </c>
      <c r="G153">
        <v>6.52</v>
      </c>
      <c r="H153">
        <v>7.52</v>
      </c>
      <c r="I153">
        <v>8.9</v>
      </c>
      <c r="J153">
        <v>9.8000000000000007</v>
      </c>
      <c r="K153" s="12">
        <v>0.67</v>
      </c>
      <c r="L153" s="12">
        <v>0.23</v>
      </c>
      <c r="M153" s="12">
        <v>0.56000000000000005</v>
      </c>
      <c r="N153">
        <f t="shared" si="49"/>
        <v>8.1816022889842603</v>
      </c>
      <c r="O153">
        <f t="shared" si="50"/>
        <v>0.54999999999999993</v>
      </c>
      <c r="P153" s="6">
        <f t="shared" si="53"/>
        <v>4.4998812589413424</v>
      </c>
      <c r="R153">
        <f t="shared" si="51"/>
        <v>0.81540000000000012</v>
      </c>
      <c r="S153" t="str">
        <f t="shared" si="54"/>
        <v>Yes</v>
      </c>
      <c r="T153" t="str">
        <f t="shared" si="52"/>
        <v>Yes</v>
      </c>
    </row>
    <row r="154" spans="1:20" x14ac:dyDescent="0.3">
      <c r="A154" s="15">
        <v>1</v>
      </c>
      <c r="B154" s="15">
        <v>1</v>
      </c>
      <c r="C154" s="3">
        <v>2</v>
      </c>
      <c r="D154" s="5">
        <v>5</v>
      </c>
      <c r="E154">
        <v>8.1</v>
      </c>
      <c r="G154">
        <v>40.380000000000003</v>
      </c>
      <c r="H154">
        <v>41.4</v>
      </c>
      <c r="I154">
        <v>42.4</v>
      </c>
      <c r="J154">
        <v>43.4</v>
      </c>
      <c r="K154" s="12">
        <v>0.36</v>
      </c>
      <c r="L154" s="12">
        <v>0.65</v>
      </c>
      <c r="M154" s="12">
        <v>0.48</v>
      </c>
      <c r="N154">
        <f t="shared" si="49"/>
        <v>41.894162520729687</v>
      </c>
      <c r="O154">
        <f t="shared" si="50"/>
        <v>0.19333333333333336</v>
      </c>
      <c r="P154" s="6">
        <f t="shared" si="53"/>
        <v>8.0995380873410738</v>
      </c>
      <c r="R154">
        <f t="shared" si="51"/>
        <v>0.78249999999999997</v>
      </c>
      <c r="S154" t="str">
        <f t="shared" si="54"/>
        <v>Yes</v>
      </c>
      <c r="T154" t="str">
        <f t="shared" si="52"/>
        <v>Yes</v>
      </c>
    </row>
    <row r="155" spans="1:20" x14ac:dyDescent="0.3">
      <c r="A155" s="15">
        <v>1</v>
      </c>
      <c r="B155" s="15">
        <v>1</v>
      </c>
      <c r="C155" s="3">
        <v>2</v>
      </c>
      <c r="D155" s="18">
        <v>6</v>
      </c>
      <c r="E155">
        <v>6.4</v>
      </c>
      <c r="G155">
        <v>8.84</v>
      </c>
      <c r="H155">
        <v>9.84</v>
      </c>
      <c r="I155">
        <v>10.81</v>
      </c>
      <c r="J155">
        <v>11.8</v>
      </c>
      <c r="K155" s="12">
        <v>0.54</v>
      </c>
      <c r="L155" s="12">
        <v>0.18</v>
      </c>
      <c r="M155" s="12">
        <v>0.32</v>
      </c>
      <c r="N155">
        <f t="shared" si="49"/>
        <v>10.32207803223071</v>
      </c>
      <c r="O155">
        <f t="shared" si="50"/>
        <v>0.62</v>
      </c>
      <c r="P155" s="6">
        <f t="shared" si="53"/>
        <v>6.39968837998304</v>
      </c>
      <c r="R155">
        <f t="shared" si="51"/>
        <v>0.4264</v>
      </c>
      <c r="S155" t="str">
        <f t="shared" si="54"/>
        <v>Yes</v>
      </c>
      <c r="T155" t="str">
        <f t="shared" si="52"/>
        <v>Yes</v>
      </c>
    </row>
    <row r="156" spans="1:20" x14ac:dyDescent="0.3">
      <c r="A156" s="15">
        <v>1</v>
      </c>
      <c r="B156" s="15">
        <v>1</v>
      </c>
      <c r="C156" s="16">
        <v>3</v>
      </c>
      <c r="D156" s="15">
        <v>1</v>
      </c>
      <c r="E156">
        <v>7.3</v>
      </c>
      <c r="G156">
        <v>14.5</v>
      </c>
      <c r="H156">
        <v>15.32</v>
      </c>
      <c r="I156">
        <v>16.32</v>
      </c>
      <c r="J156">
        <v>17.309999999999999</v>
      </c>
      <c r="K156" s="12">
        <v>0.36</v>
      </c>
      <c r="L156" s="12">
        <v>0.41</v>
      </c>
      <c r="M156" s="12">
        <v>0.16</v>
      </c>
      <c r="N156">
        <f t="shared" si="49"/>
        <v>15.869230096237983</v>
      </c>
      <c r="O156">
        <f t="shared" si="50"/>
        <v>0.45999999999999996</v>
      </c>
      <c r="P156" s="6">
        <f t="shared" si="53"/>
        <v>7.2998458442694716</v>
      </c>
      <c r="R156">
        <f t="shared" si="51"/>
        <v>0.32329999999999998</v>
      </c>
      <c r="S156" t="str">
        <f t="shared" si="54"/>
        <v>Yes</v>
      </c>
      <c r="T156" t="str">
        <f t="shared" si="52"/>
        <v>Yes</v>
      </c>
    </row>
    <row r="157" spans="1:20" x14ac:dyDescent="0.3">
      <c r="A157" s="15">
        <v>1</v>
      </c>
      <c r="B157" s="15">
        <v>1</v>
      </c>
      <c r="C157" s="16">
        <v>3</v>
      </c>
      <c r="D157" s="3">
        <v>2</v>
      </c>
      <c r="E157">
        <v>8.4</v>
      </c>
      <c r="G157">
        <v>16.2</v>
      </c>
      <c r="H157">
        <v>17.14</v>
      </c>
      <c r="I157">
        <v>18.14</v>
      </c>
      <c r="J157">
        <v>19.02</v>
      </c>
      <c r="K157" s="12">
        <v>0.63</v>
      </c>
      <c r="L157" s="12">
        <v>0.44</v>
      </c>
      <c r="M157" s="12">
        <v>0.32</v>
      </c>
      <c r="N157">
        <f t="shared" si="49"/>
        <v>17.62261780104712</v>
      </c>
      <c r="O157">
        <f t="shared" si="50"/>
        <v>0.47666666666666663</v>
      </c>
      <c r="P157" s="6">
        <f t="shared" si="53"/>
        <v>8.4001144851657941</v>
      </c>
      <c r="R157">
        <f t="shared" si="51"/>
        <v>0.69290000000000007</v>
      </c>
      <c r="S157" t="str">
        <f t="shared" si="54"/>
        <v>Yes</v>
      </c>
      <c r="T157" t="str">
        <f t="shared" si="52"/>
        <v>Yes</v>
      </c>
    </row>
    <row r="158" spans="1:20" x14ac:dyDescent="0.3">
      <c r="A158" s="15">
        <v>1</v>
      </c>
      <c r="B158" s="15">
        <v>1</v>
      </c>
      <c r="C158" s="16">
        <v>3</v>
      </c>
      <c r="D158" s="16">
        <v>3</v>
      </c>
      <c r="E158">
        <v>5.5</v>
      </c>
      <c r="G158">
        <v>11.12</v>
      </c>
      <c r="H158">
        <v>12.3</v>
      </c>
      <c r="I158">
        <v>13.3</v>
      </c>
      <c r="J158">
        <v>14.11</v>
      </c>
      <c r="K158" s="12">
        <v>0.12</v>
      </c>
      <c r="L158" s="12">
        <v>0.35</v>
      </c>
      <c r="M158" s="12">
        <v>0.12</v>
      </c>
      <c r="N158">
        <f t="shared" si="49"/>
        <v>12.692121971595654</v>
      </c>
      <c r="O158">
        <f t="shared" si="50"/>
        <v>0.43333333333333335</v>
      </c>
      <c r="P158" s="6">
        <f t="shared" si="53"/>
        <v>5.4999195210247835</v>
      </c>
      <c r="R158">
        <f t="shared" si="51"/>
        <v>0.15129999999999999</v>
      </c>
      <c r="S158" t="str">
        <f t="shared" si="54"/>
        <v>Yes</v>
      </c>
      <c r="T158" t="str">
        <f t="shared" si="52"/>
        <v>Yes</v>
      </c>
    </row>
    <row r="159" spans="1:20" x14ac:dyDescent="0.3">
      <c r="A159" s="15">
        <v>1</v>
      </c>
      <c r="B159" s="15">
        <v>1</v>
      </c>
      <c r="C159" s="16">
        <v>3</v>
      </c>
      <c r="D159" s="17">
        <v>4</v>
      </c>
      <c r="E159">
        <v>7.6</v>
      </c>
      <c r="G159">
        <v>8.32</v>
      </c>
      <c r="H159">
        <v>9.5299999999999994</v>
      </c>
      <c r="I159">
        <v>10.53</v>
      </c>
      <c r="J159">
        <v>11.64</v>
      </c>
      <c r="K159" s="12">
        <v>0.76</v>
      </c>
      <c r="L159" s="12">
        <v>0.11</v>
      </c>
      <c r="M159" s="12">
        <v>0.26</v>
      </c>
      <c r="N159">
        <f t="shared" si="49"/>
        <v>10.000524691358022</v>
      </c>
      <c r="O159">
        <f t="shared" si="50"/>
        <v>0.76000000000000012</v>
      </c>
      <c r="P159" s="6">
        <f t="shared" si="53"/>
        <v>7.6003987654320975</v>
      </c>
      <c r="R159">
        <f t="shared" si="51"/>
        <v>0.6573</v>
      </c>
      <c r="S159" t="str">
        <f t="shared" si="54"/>
        <v>Yes</v>
      </c>
      <c r="T159" t="str">
        <f t="shared" si="52"/>
        <v>Yes</v>
      </c>
    </row>
    <row r="160" spans="1:20" x14ac:dyDescent="0.3">
      <c r="A160" s="15">
        <v>1</v>
      </c>
      <c r="B160" s="15">
        <v>1</v>
      </c>
      <c r="C160" s="16">
        <v>3</v>
      </c>
      <c r="D160" s="5">
        <v>5</v>
      </c>
      <c r="E160">
        <v>5.4</v>
      </c>
      <c r="G160">
        <v>7.4</v>
      </c>
      <c r="H160">
        <v>8.5</v>
      </c>
      <c r="I160">
        <v>9.4</v>
      </c>
      <c r="J160">
        <v>10.5</v>
      </c>
      <c r="K160" s="12">
        <v>0.43</v>
      </c>
      <c r="L160" s="12">
        <v>0.18</v>
      </c>
      <c r="M160" s="12">
        <v>0.26</v>
      </c>
      <c r="N160">
        <f t="shared" si="49"/>
        <v>8.9500000000000046</v>
      </c>
      <c r="O160">
        <f t="shared" si="50"/>
        <v>0.60333333333333339</v>
      </c>
      <c r="P160" s="6">
        <f t="shared" si="53"/>
        <v>5.399833333333337</v>
      </c>
      <c r="R160">
        <f t="shared" si="51"/>
        <v>0.28489999999999999</v>
      </c>
      <c r="S160" t="str">
        <f t="shared" si="54"/>
        <v>Yes</v>
      </c>
      <c r="T160" t="str">
        <f t="shared" si="52"/>
        <v>Yes</v>
      </c>
    </row>
    <row r="161" spans="1:20" x14ac:dyDescent="0.3">
      <c r="A161" s="15">
        <v>1</v>
      </c>
      <c r="B161" s="15">
        <v>1</v>
      </c>
      <c r="C161" s="16">
        <v>3</v>
      </c>
      <c r="D161" s="18">
        <v>6</v>
      </c>
      <c r="E161">
        <v>8.1999999999999993</v>
      </c>
      <c r="G161">
        <v>12.57</v>
      </c>
      <c r="H161">
        <v>13.56</v>
      </c>
      <c r="I161">
        <v>14.55</v>
      </c>
      <c r="J161">
        <v>15.55</v>
      </c>
      <c r="K161" s="12">
        <v>0.56000000000000005</v>
      </c>
      <c r="L161" s="12">
        <v>0.25</v>
      </c>
      <c r="M161" s="12">
        <v>0.31</v>
      </c>
      <c r="N161">
        <f t="shared" si="49"/>
        <v>14.057917716204868</v>
      </c>
      <c r="O161">
        <f t="shared" si="50"/>
        <v>0.58333333333333337</v>
      </c>
      <c r="P161" s="6">
        <f t="shared" si="53"/>
        <v>8.2004520011195066</v>
      </c>
      <c r="R161">
        <f t="shared" si="51"/>
        <v>0.47220000000000006</v>
      </c>
      <c r="S161" t="str">
        <f t="shared" si="54"/>
        <v>Yes</v>
      </c>
      <c r="T161" t="str">
        <f t="shared" si="52"/>
        <v>Yes</v>
      </c>
    </row>
    <row r="162" spans="1:20" x14ac:dyDescent="0.3">
      <c r="A162" s="15">
        <v>1</v>
      </c>
      <c r="B162" s="3">
        <v>2</v>
      </c>
      <c r="C162" s="15">
        <v>1</v>
      </c>
      <c r="D162" s="15">
        <v>1</v>
      </c>
      <c r="E162">
        <v>4.7</v>
      </c>
      <c r="G162">
        <v>16.2</v>
      </c>
      <c r="H162">
        <v>17.100000000000001</v>
      </c>
      <c r="I162">
        <v>18.2</v>
      </c>
      <c r="J162">
        <v>19.010000000000002</v>
      </c>
      <c r="K162" s="12">
        <v>0.16</v>
      </c>
      <c r="L162" s="12">
        <v>0.45</v>
      </c>
      <c r="M162" s="12">
        <v>0.46</v>
      </c>
      <c r="N162">
        <f t="shared" si="49"/>
        <v>17.624219948849099</v>
      </c>
      <c r="O162">
        <f t="shared" si="50"/>
        <v>0.26666666666666666</v>
      </c>
      <c r="P162" s="6">
        <f t="shared" si="53"/>
        <v>4.6997919863597595</v>
      </c>
      <c r="R162">
        <f t="shared" si="51"/>
        <v>0.43970000000000004</v>
      </c>
      <c r="S162" t="str">
        <f t="shared" si="54"/>
        <v>Yes</v>
      </c>
      <c r="T162" t="str">
        <f t="shared" si="52"/>
        <v>Yes</v>
      </c>
    </row>
    <row r="163" spans="1:20" x14ac:dyDescent="0.3">
      <c r="A163" s="15">
        <v>1</v>
      </c>
      <c r="B163" s="3">
        <v>2</v>
      </c>
      <c r="C163" s="15">
        <v>1</v>
      </c>
      <c r="D163" s="3">
        <v>2</v>
      </c>
      <c r="E163">
        <v>7.5</v>
      </c>
      <c r="G163">
        <v>11.78</v>
      </c>
      <c r="H163">
        <v>12.4</v>
      </c>
      <c r="I163">
        <v>13.83</v>
      </c>
      <c r="J163">
        <v>14.88</v>
      </c>
      <c r="K163" s="12">
        <v>0.43</v>
      </c>
      <c r="L163" s="12">
        <v>0.16</v>
      </c>
      <c r="M163" s="12">
        <v>0.41</v>
      </c>
      <c r="N163">
        <f t="shared" ref="N163:N197" si="55">((I163^2)+(I163*J163)+(J163^2)-(G163^2)-(G163*H163)-(H163^2))/(3*(J163+I163-G163-H163))</f>
        <v>13.235710080941871</v>
      </c>
      <c r="O163">
        <f t="shared" ref="O163:O197" si="56">(K163-(2*L163)-M163+2)/3</f>
        <v>0.56666666666666665</v>
      </c>
      <c r="P163" s="6">
        <f t="shared" si="53"/>
        <v>7.5002357125337271</v>
      </c>
      <c r="R163">
        <f t="shared" ref="R163:R197" si="57">K163^2+L163^2+M163^2</f>
        <v>0.37859999999999994</v>
      </c>
      <c r="S163" t="str">
        <f t="shared" si="54"/>
        <v>Yes</v>
      </c>
      <c r="T163" t="str">
        <f t="shared" ref="T163:T197" si="58">IF(ROUND(P163,2)=E163,"Yes","No")</f>
        <v>Yes</v>
      </c>
    </row>
    <row r="164" spans="1:20" x14ac:dyDescent="0.3">
      <c r="A164" s="15">
        <v>1</v>
      </c>
      <c r="B164" s="3">
        <v>2</v>
      </c>
      <c r="C164" s="15">
        <v>1</v>
      </c>
      <c r="D164" s="16">
        <v>3</v>
      </c>
      <c r="E164">
        <v>5.7</v>
      </c>
      <c r="G164">
        <v>11.2</v>
      </c>
      <c r="H164">
        <v>12.2</v>
      </c>
      <c r="I164">
        <v>13.14</v>
      </c>
      <c r="J164">
        <v>14.13</v>
      </c>
      <c r="K164" s="12">
        <v>0.49</v>
      </c>
      <c r="L164" s="12">
        <v>0.51</v>
      </c>
      <c r="M164" s="12">
        <v>0.12</v>
      </c>
      <c r="N164">
        <f t="shared" si="55"/>
        <v>12.667071490094742</v>
      </c>
      <c r="O164">
        <f t="shared" si="56"/>
        <v>0.45</v>
      </c>
      <c r="P164" s="6">
        <f t="shared" ref="P164:P198" si="59">N164*O164</f>
        <v>5.7001821705426341</v>
      </c>
      <c r="R164">
        <f t="shared" si="57"/>
        <v>0.51459999999999995</v>
      </c>
      <c r="S164" t="str">
        <f t="shared" ref="S164:S198" si="60">IF(AND(R164&gt;=0,R164&lt;=1),"Yes","No")</f>
        <v>Yes</v>
      </c>
      <c r="T164" t="str">
        <f t="shared" si="58"/>
        <v>Yes</v>
      </c>
    </row>
    <row r="165" spans="1:20" x14ac:dyDescent="0.3">
      <c r="A165" s="15">
        <v>1</v>
      </c>
      <c r="B165" s="3">
        <v>2</v>
      </c>
      <c r="C165" s="15">
        <v>1</v>
      </c>
      <c r="D165" s="17">
        <v>4</v>
      </c>
      <c r="E165">
        <v>7.2</v>
      </c>
      <c r="G165">
        <v>22.5</v>
      </c>
      <c r="H165">
        <v>23.5</v>
      </c>
      <c r="I165">
        <v>24.5</v>
      </c>
      <c r="J165">
        <v>25.5</v>
      </c>
      <c r="K165" s="12">
        <v>0.35</v>
      </c>
      <c r="L165" s="12">
        <v>0.39</v>
      </c>
      <c r="M165" s="12">
        <v>0.67</v>
      </c>
      <c r="N165">
        <f t="shared" si="55"/>
        <v>24</v>
      </c>
      <c r="O165">
        <f t="shared" si="56"/>
        <v>0.3</v>
      </c>
      <c r="P165" s="6">
        <f t="shared" si="59"/>
        <v>7.1999999999999993</v>
      </c>
      <c r="R165">
        <f t="shared" si="57"/>
        <v>0.72350000000000003</v>
      </c>
      <c r="S165" t="str">
        <f t="shared" si="60"/>
        <v>Yes</v>
      </c>
      <c r="T165" t="str">
        <f t="shared" si="58"/>
        <v>Yes</v>
      </c>
    </row>
    <row r="166" spans="1:20" x14ac:dyDescent="0.3">
      <c r="A166" s="15">
        <v>1</v>
      </c>
      <c r="B166" s="3">
        <v>2</v>
      </c>
      <c r="C166" s="15">
        <v>1</v>
      </c>
      <c r="D166" s="5">
        <v>5</v>
      </c>
      <c r="E166">
        <v>5.3</v>
      </c>
      <c r="G166">
        <v>10.54</v>
      </c>
      <c r="H166">
        <v>11.51</v>
      </c>
      <c r="I166">
        <v>12.5</v>
      </c>
      <c r="J166">
        <v>13.3</v>
      </c>
      <c r="K166" s="12">
        <v>0.24</v>
      </c>
      <c r="L166" s="12">
        <v>0.14000000000000001</v>
      </c>
      <c r="M166" s="12">
        <v>0.63</v>
      </c>
      <c r="N166">
        <f t="shared" si="55"/>
        <v>11.955813333333333</v>
      </c>
      <c r="O166">
        <f t="shared" si="56"/>
        <v>0.44333333333333336</v>
      </c>
      <c r="P166" s="6">
        <f t="shared" si="59"/>
        <v>5.3004105777777779</v>
      </c>
      <c r="R166">
        <f t="shared" si="57"/>
        <v>0.47410000000000002</v>
      </c>
      <c r="S166" t="str">
        <f t="shared" si="60"/>
        <v>Yes</v>
      </c>
      <c r="T166" t="str">
        <f t="shared" si="58"/>
        <v>Yes</v>
      </c>
    </row>
    <row r="167" spans="1:20" x14ac:dyDescent="0.3">
      <c r="A167" s="15">
        <v>1</v>
      </c>
      <c r="B167" s="3">
        <v>2</v>
      </c>
      <c r="C167" s="15">
        <v>1</v>
      </c>
      <c r="D167" s="18">
        <v>6</v>
      </c>
      <c r="E167">
        <v>9.4</v>
      </c>
      <c r="G167">
        <v>20.09</v>
      </c>
      <c r="H167">
        <v>21</v>
      </c>
      <c r="I167">
        <v>22</v>
      </c>
      <c r="J167">
        <v>23</v>
      </c>
      <c r="K167" s="12">
        <v>0.51</v>
      </c>
      <c r="L167" s="12">
        <v>0.39</v>
      </c>
      <c r="M167" s="12">
        <v>0.42</v>
      </c>
      <c r="N167">
        <f t="shared" si="55"/>
        <v>21.526163682864457</v>
      </c>
      <c r="O167">
        <f t="shared" si="56"/>
        <v>0.4366666666666667</v>
      </c>
      <c r="P167" s="6">
        <f t="shared" si="59"/>
        <v>9.3997581415174807</v>
      </c>
      <c r="R167">
        <f t="shared" si="57"/>
        <v>0.58860000000000001</v>
      </c>
      <c r="S167" t="str">
        <f t="shared" si="60"/>
        <v>Yes</v>
      </c>
      <c r="T167" t="str">
        <f t="shared" si="58"/>
        <v>Yes</v>
      </c>
    </row>
    <row r="168" spans="1:20" x14ac:dyDescent="0.3">
      <c r="A168" s="15">
        <v>1</v>
      </c>
      <c r="B168" s="3">
        <v>2</v>
      </c>
      <c r="C168" s="3">
        <v>2</v>
      </c>
      <c r="D168" s="15">
        <v>1</v>
      </c>
      <c r="E168">
        <v>5.5</v>
      </c>
      <c r="G168">
        <v>11</v>
      </c>
      <c r="H168">
        <v>12</v>
      </c>
      <c r="I168">
        <v>13</v>
      </c>
      <c r="J168">
        <v>14</v>
      </c>
      <c r="K168" s="12">
        <v>0.5</v>
      </c>
      <c r="L168" s="12">
        <v>0.53</v>
      </c>
      <c r="M168" s="12">
        <v>0.12</v>
      </c>
      <c r="N168">
        <f t="shared" si="55"/>
        <v>12.5</v>
      </c>
      <c r="O168">
        <f t="shared" si="56"/>
        <v>0.43999999999999995</v>
      </c>
      <c r="P168" s="6">
        <f t="shared" si="59"/>
        <v>5.4999999999999991</v>
      </c>
      <c r="R168">
        <f t="shared" si="57"/>
        <v>0.54530000000000001</v>
      </c>
      <c r="S168" t="str">
        <f t="shared" si="60"/>
        <v>Yes</v>
      </c>
      <c r="T168" t="str">
        <f t="shared" si="58"/>
        <v>Yes</v>
      </c>
    </row>
    <row r="169" spans="1:20" x14ac:dyDescent="0.3">
      <c r="A169" s="15">
        <v>1</v>
      </c>
      <c r="B169" s="3">
        <v>2</v>
      </c>
      <c r="C169" s="3">
        <v>2</v>
      </c>
      <c r="D169" s="3">
        <v>2</v>
      </c>
      <c r="E169">
        <v>6.6</v>
      </c>
      <c r="G169">
        <v>14.5</v>
      </c>
      <c r="H169">
        <v>15.12</v>
      </c>
      <c r="I169">
        <v>16.100000000000001</v>
      </c>
      <c r="J169">
        <v>17.510000000000002</v>
      </c>
      <c r="K169" s="12">
        <v>0.35</v>
      </c>
      <c r="L169" s="12">
        <v>0.28000000000000003</v>
      </c>
      <c r="M169" s="12">
        <v>0.54</v>
      </c>
      <c r="N169">
        <f t="shared" si="55"/>
        <v>15.8409941520468</v>
      </c>
      <c r="O169">
        <f t="shared" si="56"/>
        <v>0.41666666666666669</v>
      </c>
      <c r="P169" s="6">
        <f t="shared" si="59"/>
        <v>6.6004142300195001</v>
      </c>
      <c r="R169">
        <f t="shared" si="57"/>
        <v>0.49250000000000005</v>
      </c>
      <c r="S169" t="str">
        <f t="shared" si="60"/>
        <v>Yes</v>
      </c>
      <c r="T169" t="str">
        <f t="shared" si="58"/>
        <v>Yes</v>
      </c>
    </row>
    <row r="170" spans="1:20" x14ac:dyDescent="0.3">
      <c r="A170" s="15">
        <v>1</v>
      </c>
      <c r="B170" s="3">
        <v>2</v>
      </c>
      <c r="C170" s="3">
        <v>2</v>
      </c>
      <c r="D170" s="16">
        <v>3</v>
      </c>
      <c r="E170">
        <v>7.2</v>
      </c>
      <c r="G170">
        <v>15.9</v>
      </c>
      <c r="H170">
        <v>16.71</v>
      </c>
      <c r="I170">
        <v>17.78</v>
      </c>
      <c r="J170">
        <v>18.71</v>
      </c>
      <c r="K170" s="12">
        <v>0.33</v>
      </c>
      <c r="L170" s="12">
        <v>0.26</v>
      </c>
      <c r="M170" s="12">
        <v>0.56000000000000005</v>
      </c>
      <c r="N170">
        <f t="shared" si="55"/>
        <v>17.279484536082478</v>
      </c>
      <c r="O170">
        <f t="shared" si="56"/>
        <v>0.41666666666666669</v>
      </c>
      <c r="P170" s="6">
        <f t="shared" si="59"/>
        <v>7.1997852233676998</v>
      </c>
      <c r="R170">
        <f t="shared" si="57"/>
        <v>0.49010000000000009</v>
      </c>
      <c r="S170" t="str">
        <f t="shared" si="60"/>
        <v>Yes</v>
      </c>
      <c r="T170" t="str">
        <f t="shared" si="58"/>
        <v>Yes</v>
      </c>
    </row>
    <row r="171" spans="1:20" x14ac:dyDescent="0.3">
      <c r="A171" s="15">
        <v>1</v>
      </c>
      <c r="B171" s="3">
        <v>2</v>
      </c>
      <c r="C171" s="3">
        <v>2</v>
      </c>
      <c r="D171" s="17">
        <v>4</v>
      </c>
      <c r="E171">
        <v>8.5</v>
      </c>
      <c r="G171">
        <v>12.11</v>
      </c>
      <c r="H171">
        <v>12.99</v>
      </c>
      <c r="I171">
        <v>14.16</v>
      </c>
      <c r="J171">
        <v>15</v>
      </c>
      <c r="K171" s="12">
        <v>0.62</v>
      </c>
      <c r="L171" s="12">
        <v>0.2</v>
      </c>
      <c r="M171" s="12">
        <v>0.34</v>
      </c>
      <c r="N171">
        <f t="shared" si="55"/>
        <v>13.563587848932677</v>
      </c>
      <c r="O171">
        <f t="shared" si="56"/>
        <v>0.62666666666666659</v>
      </c>
      <c r="P171" s="6">
        <f t="shared" si="59"/>
        <v>8.4998483853311431</v>
      </c>
      <c r="R171">
        <f t="shared" si="57"/>
        <v>0.54</v>
      </c>
      <c r="S171" t="str">
        <f t="shared" si="60"/>
        <v>Yes</v>
      </c>
      <c r="T171" t="str">
        <f t="shared" si="58"/>
        <v>Yes</v>
      </c>
    </row>
    <row r="172" spans="1:20" x14ac:dyDescent="0.3">
      <c r="A172" s="15">
        <v>1</v>
      </c>
      <c r="B172" s="3">
        <v>2</v>
      </c>
      <c r="C172" s="3">
        <v>2</v>
      </c>
      <c r="D172" s="5">
        <v>5</v>
      </c>
      <c r="E172">
        <v>4.7</v>
      </c>
      <c r="G172">
        <v>5.09</v>
      </c>
      <c r="H172">
        <v>6.01</v>
      </c>
      <c r="I172">
        <v>7</v>
      </c>
      <c r="J172">
        <v>8</v>
      </c>
      <c r="K172" s="12">
        <v>0.76</v>
      </c>
      <c r="L172" s="12">
        <v>0.24</v>
      </c>
      <c r="M172" s="12">
        <v>0.12</v>
      </c>
      <c r="N172">
        <f t="shared" si="55"/>
        <v>6.5282820512820505</v>
      </c>
      <c r="O172">
        <f t="shared" si="56"/>
        <v>0.72000000000000008</v>
      </c>
      <c r="P172" s="6">
        <f t="shared" si="59"/>
        <v>4.7003630769230771</v>
      </c>
      <c r="R172">
        <f t="shared" si="57"/>
        <v>0.64959999999999996</v>
      </c>
      <c r="S172" t="str">
        <f t="shared" si="60"/>
        <v>Yes</v>
      </c>
      <c r="T172" t="str">
        <f t="shared" si="58"/>
        <v>Yes</v>
      </c>
    </row>
    <row r="173" spans="1:20" x14ac:dyDescent="0.3">
      <c r="A173" s="15">
        <v>1</v>
      </c>
      <c r="B173" s="3">
        <v>2</v>
      </c>
      <c r="C173" s="3">
        <v>2</v>
      </c>
      <c r="D173" s="18">
        <v>6</v>
      </c>
      <c r="E173">
        <v>6.3</v>
      </c>
      <c r="G173">
        <v>8.35</v>
      </c>
      <c r="H173">
        <v>9.35</v>
      </c>
      <c r="I173">
        <v>10.36</v>
      </c>
      <c r="J173">
        <v>11.32</v>
      </c>
      <c r="K173" s="12">
        <v>0.57999999999999996</v>
      </c>
      <c r="L173" s="12">
        <v>0.14000000000000001</v>
      </c>
      <c r="M173" s="12">
        <v>0.38</v>
      </c>
      <c r="N173">
        <f t="shared" si="55"/>
        <v>9.8433584589614789</v>
      </c>
      <c r="O173">
        <f t="shared" si="56"/>
        <v>0.64</v>
      </c>
      <c r="P173" s="6">
        <f t="shared" si="59"/>
        <v>6.2997494137353467</v>
      </c>
      <c r="R173">
        <f t="shared" si="57"/>
        <v>0.50039999999999996</v>
      </c>
      <c r="S173" t="str">
        <f t="shared" si="60"/>
        <v>Yes</v>
      </c>
      <c r="T173" t="str">
        <f t="shared" si="58"/>
        <v>Yes</v>
      </c>
    </row>
    <row r="174" spans="1:20" x14ac:dyDescent="0.3">
      <c r="A174" s="15">
        <v>1</v>
      </c>
      <c r="B174" s="3">
        <v>2</v>
      </c>
      <c r="C174" s="16">
        <v>3</v>
      </c>
      <c r="D174" s="15">
        <v>1</v>
      </c>
      <c r="E174">
        <v>6.6</v>
      </c>
      <c r="G174">
        <v>9.9600000000000009</v>
      </c>
      <c r="H174">
        <v>10.96</v>
      </c>
      <c r="I174">
        <v>11.96</v>
      </c>
      <c r="J174">
        <v>12.91</v>
      </c>
      <c r="K174" s="12">
        <v>0.64</v>
      </c>
      <c r="L174" s="12">
        <v>0.23</v>
      </c>
      <c r="M174" s="12">
        <v>0.45</v>
      </c>
      <c r="N174">
        <f t="shared" si="55"/>
        <v>11.445443037974684</v>
      </c>
      <c r="O174">
        <f t="shared" si="56"/>
        <v>0.57666666666666666</v>
      </c>
      <c r="P174" s="6">
        <f t="shared" si="59"/>
        <v>6.6002054852320677</v>
      </c>
      <c r="R174">
        <f t="shared" si="57"/>
        <v>0.66500000000000004</v>
      </c>
      <c r="S174" t="str">
        <f t="shared" si="60"/>
        <v>Yes</v>
      </c>
      <c r="T174" t="str">
        <f t="shared" si="58"/>
        <v>Yes</v>
      </c>
    </row>
    <row r="175" spans="1:20" x14ac:dyDescent="0.3">
      <c r="A175" s="15">
        <v>1</v>
      </c>
      <c r="B175" s="3">
        <v>2</v>
      </c>
      <c r="C175" s="16">
        <v>3</v>
      </c>
      <c r="D175" s="3">
        <v>2</v>
      </c>
      <c r="E175">
        <v>7.7</v>
      </c>
      <c r="G175">
        <v>12.5</v>
      </c>
      <c r="H175">
        <v>13.4</v>
      </c>
      <c r="I175">
        <v>14.3</v>
      </c>
      <c r="J175">
        <v>15.14</v>
      </c>
      <c r="K175" s="12">
        <v>0.57999999999999996</v>
      </c>
      <c r="L175" s="12">
        <v>0.28000000000000003</v>
      </c>
      <c r="M175" s="12">
        <v>0.35</v>
      </c>
      <c r="N175">
        <f t="shared" si="55"/>
        <v>13.83254237288136</v>
      </c>
      <c r="O175">
        <f t="shared" si="56"/>
        <v>0.55666666666666664</v>
      </c>
      <c r="P175" s="6">
        <f t="shared" si="59"/>
        <v>7.7001152542372902</v>
      </c>
      <c r="R175">
        <f t="shared" si="57"/>
        <v>0.5373</v>
      </c>
      <c r="S175" t="str">
        <f t="shared" si="60"/>
        <v>Yes</v>
      </c>
      <c r="T175" t="str">
        <f t="shared" si="58"/>
        <v>Yes</v>
      </c>
    </row>
    <row r="176" spans="1:20" x14ac:dyDescent="0.3">
      <c r="A176" s="15">
        <v>1</v>
      </c>
      <c r="B176" s="3">
        <v>2</v>
      </c>
      <c r="C176" s="16">
        <v>3</v>
      </c>
      <c r="D176" s="16">
        <v>3</v>
      </c>
      <c r="E176">
        <v>4.3</v>
      </c>
      <c r="G176">
        <v>20.43</v>
      </c>
      <c r="H176">
        <v>21.45</v>
      </c>
      <c r="I176">
        <v>23.1</v>
      </c>
      <c r="J176">
        <v>24</v>
      </c>
      <c r="K176" s="12">
        <v>0.36</v>
      </c>
      <c r="L176" s="12">
        <v>0.65</v>
      </c>
      <c r="M176" s="12">
        <v>0.48</v>
      </c>
      <c r="N176">
        <f t="shared" si="55"/>
        <v>22.241321839080459</v>
      </c>
      <c r="O176">
        <f t="shared" si="56"/>
        <v>0.19333333333333336</v>
      </c>
      <c r="P176" s="6">
        <f t="shared" si="59"/>
        <v>4.2999888888888895</v>
      </c>
      <c r="R176">
        <f t="shared" si="57"/>
        <v>0.78249999999999997</v>
      </c>
      <c r="S176" t="str">
        <f t="shared" si="60"/>
        <v>Yes</v>
      </c>
      <c r="T176" t="str">
        <f t="shared" si="58"/>
        <v>Yes</v>
      </c>
    </row>
    <row r="177" spans="1:20" x14ac:dyDescent="0.3">
      <c r="A177" s="15">
        <v>1</v>
      </c>
      <c r="B177" s="3">
        <v>2</v>
      </c>
      <c r="C177" s="16">
        <v>3</v>
      </c>
      <c r="D177" s="17">
        <v>4</v>
      </c>
      <c r="E177">
        <v>7.6</v>
      </c>
      <c r="G177">
        <v>8.1</v>
      </c>
      <c r="H177">
        <v>9.02</v>
      </c>
      <c r="I177">
        <v>10.02</v>
      </c>
      <c r="J177">
        <v>11.01</v>
      </c>
      <c r="K177">
        <v>0.76</v>
      </c>
      <c r="L177">
        <v>0.14000000000000001</v>
      </c>
      <c r="M177">
        <v>0.09</v>
      </c>
      <c r="N177">
        <f t="shared" si="55"/>
        <v>9.540349531116787</v>
      </c>
      <c r="O177">
        <f t="shared" si="56"/>
        <v>0.79666666666666675</v>
      </c>
      <c r="P177" s="6">
        <f t="shared" si="59"/>
        <v>7.6004784597897075</v>
      </c>
      <c r="R177">
        <f t="shared" si="57"/>
        <v>0.60529999999999995</v>
      </c>
      <c r="S177" t="str">
        <f t="shared" si="60"/>
        <v>Yes</v>
      </c>
      <c r="T177" t="str">
        <f t="shared" si="58"/>
        <v>Yes</v>
      </c>
    </row>
    <row r="178" spans="1:20" x14ac:dyDescent="0.3">
      <c r="A178" s="15">
        <v>1</v>
      </c>
      <c r="B178" s="3">
        <v>2</v>
      </c>
      <c r="C178" s="16">
        <v>3</v>
      </c>
      <c r="D178" s="5">
        <v>5</v>
      </c>
      <c r="E178">
        <v>4.8</v>
      </c>
      <c r="G178">
        <v>5.5</v>
      </c>
      <c r="H178">
        <v>6.5</v>
      </c>
      <c r="I178">
        <v>7.48</v>
      </c>
      <c r="J178">
        <v>8.48</v>
      </c>
      <c r="K178">
        <v>0.45</v>
      </c>
      <c r="L178">
        <v>0.12</v>
      </c>
      <c r="M178">
        <v>0.15</v>
      </c>
      <c r="N178">
        <f t="shared" si="55"/>
        <v>6.9900000000000011</v>
      </c>
      <c r="O178">
        <f t="shared" si="56"/>
        <v>0.68666666666666665</v>
      </c>
      <c r="P178" s="6">
        <f t="shared" si="59"/>
        <v>4.7998000000000003</v>
      </c>
      <c r="R178">
        <f t="shared" si="57"/>
        <v>0.2394</v>
      </c>
      <c r="S178" t="str">
        <f t="shared" si="60"/>
        <v>Yes</v>
      </c>
      <c r="T178" t="str">
        <f t="shared" si="58"/>
        <v>Yes</v>
      </c>
    </row>
    <row r="179" spans="1:20" x14ac:dyDescent="0.3">
      <c r="A179" s="15">
        <v>1</v>
      </c>
      <c r="B179" s="3">
        <v>2</v>
      </c>
      <c r="C179" s="16">
        <v>3</v>
      </c>
      <c r="D179" s="18">
        <v>6</v>
      </c>
      <c r="E179">
        <v>6.5</v>
      </c>
      <c r="G179">
        <v>10.199999999999999</v>
      </c>
      <c r="H179">
        <v>11.19</v>
      </c>
      <c r="I179">
        <v>12.1</v>
      </c>
      <c r="J179">
        <v>13.2</v>
      </c>
      <c r="K179" s="12">
        <v>0.5</v>
      </c>
      <c r="L179" s="12">
        <v>0.16</v>
      </c>
      <c r="M179" s="12">
        <v>0.51</v>
      </c>
      <c r="N179">
        <f t="shared" si="55"/>
        <v>11.677399829497029</v>
      </c>
      <c r="O179">
        <f t="shared" si="56"/>
        <v>0.55666666666666664</v>
      </c>
      <c r="P179" s="6">
        <f t="shared" si="59"/>
        <v>6.5004192384200126</v>
      </c>
      <c r="R179">
        <f t="shared" si="57"/>
        <v>0.53570000000000007</v>
      </c>
      <c r="S179" t="str">
        <f t="shared" si="60"/>
        <v>Yes</v>
      </c>
      <c r="T179" t="str">
        <f t="shared" si="58"/>
        <v>Yes</v>
      </c>
    </row>
    <row r="180" spans="1:20" x14ac:dyDescent="0.3">
      <c r="A180" s="15">
        <v>1</v>
      </c>
      <c r="B180" s="16">
        <v>3</v>
      </c>
      <c r="C180" s="15">
        <v>1</v>
      </c>
      <c r="D180" s="15">
        <v>1</v>
      </c>
      <c r="E180">
        <v>6.6</v>
      </c>
      <c r="G180">
        <v>5.65</v>
      </c>
      <c r="H180">
        <v>6.77</v>
      </c>
      <c r="I180">
        <v>7.7</v>
      </c>
      <c r="J180">
        <v>8.6999999999999993</v>
      </c>
      <c r="K180">
        <v>0.97</v>
      </c>
      <c r="L180">
        <v>0.03</v>
      </c>
      <c r="M180">
        <v>0.16</v>
      </c>
      <c r="N180">
        <f t="shared" si="55"/>
        <v>7.1996733668341708</v>
      </c>
      <c r="O180">
        <f t="shared" si="56"/>
        <v>0.91666666666666663</v>
      </c>
      <c r="P180" s="6">
        <f t="shared" si="59"/>
        <v>6.5997005862646567</v>
      </c>
      <c r="R180">
        <f t="shared" si="57"/>
        <v>0.96739999999999993</v>
      </c>
      <c r="S180" t="str">
        <f t="shared" si="60"/>
        <v>Yes</v>
      </c>
      <c r="T180" t="str">
        <f t="shared" si="58"/>
        <v>Yes</v>
      </c>
    </row>
    <row r="181" spans="1:20" x14ac:dyDescent="0.3">
      <c r="A181" s="15">
        <v>1</v>
      </c>
      <c r="B181" s="16">
        <v>3</v>
      </c>
      <c r="C181" s="15">
        <v>1</v>
      </c>
      <c r="D181" s="3">
        <v>2</v>
      </c>
      <c r="E181">
        <v>4.3</v>
      </c>
      <c r="G181">
        <v>5</v>
      </c>
      <c r="H181">
        <v>6.1</v>
      </c>
      <c r="I181">
        <v>6.8</v>
      </c>
      <c r="J181">
        <v>7.9</v>
      </c>
      <c r="K181">
        <v>0.67</v>
      </c>
      <c r="L181">
        <v>0.12</v>
      </c>
      <c r="M181">
        <v>0.43</v>
      </c>
      <c r="N181">
        <f t="shared" si="55"/>
        <v>6.450000000000002</v>
      </c>
      <c r="O181">
        <f t="shared" si="56"/>
        <v>0.66666666666666663</v>
      </c>
      <c r="P181" s="6">
        <f t="shared" si="59"/>
        <v>4.3000000000000007</v>
      </c>
      <c r="R181">
        <f t="shared" si="57"/>
        <v>0.64820000000000011</v>
      </c>
      <c r="S181" t="str">
        <f t="shared" si="60"/>
        <v>Yes</v>
      </c>
      <c r="T181" t="str">
        <f t="shared" si="58"/>
        <v>Yes</v>
      </c>
    </row>
    <row r="182" spans="1:20" x14ac:dyDescent="0.3">
      <c r="A182" s="15">
        <v>1</v>
      </c>
      <c r="B182" s="16">
        <v>3</v>
      </c>
      <c r="C182" s="15">
        <v>1</v>
      </c>
      <c r="D182" s="16">
        <v>3</v>
      </c>
      <c r="E182">
        <v>7.6</v>
      </c>
      <c r="G182">
        <v>12</v>
      </c>
      <c r="H182">
        <v>13.1</v>
      </c>
      <c r="I182">
        <v>14.1</v>
      </c>
      <c r="J182">
        <v>15.1</v>
      </c>
      <c r="K182" s="12">
        <v>0.51</v>
      </c>
      <c r="L182" s="12">
        <v>0.16</v>
      </c>
      <c r="M182" s="12">
        <v>0.51</v>
      </c>
      <c r="N182">
        <f t="shared" si="55"/>
        <v>13.570731707317078</v>
      </c>
      <c r="O182">
        <f t="shared" si="56"/>
        <v>0.55999999999999994</v>
      </c>
      <c r="P182" s="6">
        <f t="shared" si="59"/>
        <v>7.5996097560975633</v>
      </c>
      <c r="R182">
        <f t="shared" si="57"/>
        <v>0.54580000000000006</v>
      </c>
      <c r="S182" t="str">
        <f t="shared" si="60"/>
        <v>Yes</v>
      </c>
      <c r="T182" t="str">
        <f t="shared" si="58"/>
        <v>Yes</v>
      </c>
    </row>
    <row r="183" spans="1:20" x14ac:dyDescent="0.3">
      <c r="A183" s="15">
        <v>1</v>
      </c>
      <c r="B183" s="16">
        <v>3</v>
      </c>
      <c r="C183" s="15">
        <v>1</v>
      </c>
      <c r="D183" s="17">
        <v>4</v>
      </c>
      <c r="E183">
        <v>9.4</v>
      </c>
      <c r="G183">
        <v>18.5</v>
      </c>
      <c r="H183">
        <v>19.75</v>
      </c>
      <c r="I183">
        <v>20.7</v>
      </c>
      <c r="J183">
        <v>21.67</v>
      </c>
      <c r="K183">
        <v>0.3</v>
      </c>
      <c r="L183">
        <v>0.27</v>
      </c>
      <c r="M183">
        <v>0.36</v>
      </c>
      <c r="N183">
        <f t="shared" si="55"/>
        <v>20.142427184465991</v>
      </c>
      <c r="O183">
        <f t="shared" si="56"/>
        <v>0.46666666666666662</v>
      </c>
      <c r="P183" s="6">
        <f t="shared" si="59"/>
        <v>9.3997993527507955</v>
      </c>
      <c r="R183">
        <f t="shared" si="57"/>
        <v>0.29249999999999998</v>
      </c>
      <c r="S183" t="str">
        <f t="shared" si="60"/>
        <v>Yes</v>
      </c>
      <c r="T183" t="str">
        <f t="shared" si="58"/>
        <v>Yes</v>
      </c>
    </row>
    <row r="184" spans="1:20" x14ac:dyDescent="0.3">
      <c r="A184" s="15">
        <v>1</v>
      </c>
      <c r="B184" s="16">
        <v>3</v>
      </c>
      <c r="C184" s="15">
        <v>1</v>
      </c>
      <c r="D184" s="5">
        <v>5</v>
      </c>
      <c r="E184">
        <v>3.6</v>
      </c>
      <c r="G184">
        <v>2.9</v>
      </c>
      <c r="H184">
        <v>3.9</v>
      </c>
      <c r="I184">
        <v>4.87</v>
      </c>
      <c r="J184">
        <v>5.89</v>
      </c>
      <c r="K184" s="12">
        <v>0.76</v>
      </c>
      <c r="L184" s="12">
        <v>0.09</v>
      </c>
      <c r="M184" s="12">
        <v>0.12</v>
      </c>
      <c r="N184">
        <f t="shared" si="55"/>
        <v>4.3908501683501688</v>
      </c>
      <c r="O184">
        <f t="shared" si="56"/>
        <v>0.82</v>
      </c>
      <c r="P184" s="6">
        <f t="shared" si="59"/>
        <v>3.6004971380471384</v>
      </c>
      <c r="R184">
        <f t="shared" si="57"/>
        <v>0.60009999999999997</v>
      </c>
      <c r="S184" t="str">
        <f t="shared" si="60"/>
        <v>Yes</v>
      </c>
      <c r="T184" t="str">
        <f t="shared" si="58"/>
        <v>Yes</v>
      </c>
    </row>
    <row r="185" spans="1:20" x14ac:dyDescent="0.3">
      <c r="A185" s="15">
        <v>1</v>
      </c>
      <c r="B185" s="16">
        <v>3</v>
      </c>
      <c r="C185" s="15">
        <v>1</v>
      </c>
      <c r="D185" s="18">
        <v>6</v>
      </c>
      <c r="E185">
        <v>6.8</v>
      </c>
      <c r="G185">
        <v>8.16</v>
      </c>
      <c r="H185">
        <v>8.8800000000000008</v>
      </c>
      <c r="I185">
        <v>10.119999999999999</v>
      </c>
      <c r="J185">
        <v>10.8</v>
      </c>
      <c r="K185">
        <v>0.9</v>
      </c>
      <c r="L185">
        <v>0.21</v>
      </c>
      <c r="M185">
        <v>0.33</v>
      </c>
      <c r="N185">
        <f t="shared" si="55"/>
        <v>9.4887972508591059</v>
      </c>
      <c r="O185">
        <f t="shared" si="56"/>
        <v>0.71666666666666667</v>
      </c>
      <c r="P185" s="6">
        <f t="shared" si="59"/>
        <v>6.8003046964490261</v>
      </c>
      <c r="R185">
        <f t="shared" si="57"/>
        <v>0.96300000000000008</v>
      </c>
      <c r="S185" t="str">
        <f t="shared" si="60"/>
        <v>Yes</v>
      </c>
      <c r="T185" t="str">
        <f t="shared" si="58"/>
        <v>Yes</v>
      </c>
    </row>
    <row r="186" spans="1:20" x14ac:dyDescent="0.3">
      <c r="A186" s="15">
        <v>1</v>
      </c>
      <c r="B186" s="16">
        <v>3</v>
      </c>
      <c r="C186" s="3">
        <v>2</v>
      </c>
      <c r="D186" s="15">
        <v>1</v>
      </c>
      <c r="E186">
        <v>4.3</v>
      </c>
      <c r="G186">
        <v>6</v>
      </c>
      <c r="H186">
        <v>7</v>
      </c>
      <c r="I186">
        <v>8</v>
      </c>
      <c r="J186">
        <v>8.85</v>
      </c>
      <c r="K186" s="12">
        <v>0.56000000000000005</v>
      </c>
      <c r="L186" s="12">
        <v>0.28999999999999998</v>
      </c>
      <c r="M186" s="12">
        <v>0.25</v>
      </c>
      <c r="N186">
        <f t="shared" si="55"/>
        <v>7.4564935064935041</v>
      </c>
      <c r="O186">
        <f t="shared" si="56"/>
        <v>0.57666666666666666</v>
      </c>
      <c r="P186" s="6">
        <f t="shared" si="59"/>
        <v>4.2999112554112537</v>
      </c>
      <c r="R186">
        <f t="shared" si="57"/>
        <v>0.46020000000000005</v>
      </c>
      <c r="S186" t="str">
        <f t="shared" si="60"/>
        <v>Yes</v>
      </c>
      <c r="T186" t="str">
        <f t="shared" si="58"/>
        <v>Yes</v>
      </c>
    </row>
    <row r="187" spans="1:20" x14ac:dyDescent="0.3">
      <c r="A187" s="15">
        <v>1</v>
      </c>
      <c r="B187" s="16">
        <v>3</v>
      </c>
      <c r="C187" s="3">
        <v>2</v>
      </c>
      <c r="D187" s="3">
        <v>2</v>
      </c>
      <c r="E187">
        <v>7.3</v>
      </c>
      <c r="G187">
        <v>9.09</v>
      </c>
      <c r="H187">
        <v>10.01</v>
      </c>
      <c r="I187" s="11">
        <v>11</v>
      </c>
      <c r="J187">
        <v>12</v>
      </c>
      <c r="K187">
        <v>0.65</v>
      </c>
      <c r="L187">
        <v>0.16</v>
      </c>
      <c r="M187">
        <v>0.25</v>
      </c>
      <c r="N187">
        <f t="shared" si="55"/>
        <v>10.528282051282048</v>
      </c>
      <c r="O187">
        <f t="shared" si="56"/>
        <v>0.69333333333333336</v>
      </c>
      <c r="P187" s="6">
        <f t="shared" si="59"/>
        <v>7.299608888888887</v>
      </c>
      <c r="R187">
        <f t="shared" si="57"/>
        <v>0.51060000000000005</v>
      </c>
      <c r="S187" t="str">
        <f t="shared" si="60"/>
        <v>Yes</v>
      </c>
      <c r="T187" t="str">
        <f t="shared" si="58"/>
        <v>Yes</v>
      </c>
    </row>
    <row r="188" spans="1:20" x14ac:dyDescent="0.3">
      <c r="A188" s="15">
        <v>1</v>
      </c>
      <c r="B188" s="16">
        <v>3</v>
      </c>
      <c r="C188" s="3">
        <v>2</v>
      </c>
      <c r="D188" s="16">
        <v>3</v>
      </c>
      <c r="E188">
        <v>3.5</v>
      </c>
      <c r="G188">
        <v>3.27</v>
      </c>
      <c r="H188">
        <v>4.3099999999999996</v>
      </c>
      <c r="I188">
        <v>5.29</v>
      </c>
      <c r="J188">
        <v>6.09</v>
      </c>
      <c r="K188" s="12">
        <v>0.87</v>
      </c>
      <c r="L188" s="12">
        <v>0.23</v>
      </c>
      <c r="M188" s="12">
        <v>0.19</v>
      </c>
      <c r="N188">
        <f t="shared" si="55"/>
        <v>4.7303157894736847</v>
      </c>
      <c r="O188">
        <f t="shared" si="56"/>
        <v>0.73999999999999988</v>
      </c>
      <c r="P188" s="6">
        <f t="shared" si="59"/>
        <v>3.5004336842105261</v>
      </c>
      <c r="R188">
        <f t="shared" si="57"/>
        <v>0.8459000000000001</v>
      </c>
      <c r="S188" t="str">
        <f t="shared" si="60"/>
        <v>Yes</v>
      </c>
      <c r="T188" t="str">
        <f t="shared" si="58"/>
        <v>Yes</v>
      </c>
    </row>
    <row r="189" spans="1:20" x14ac:dyDescent="0.3">
      <c r="A189" s="15">
        <v>1</v>
      </c>
      <c r="B189" s="16">
        <v>3</v>
      </c>
      <c r="C189" s="3">
        <v>2</v>
      </c>
      <c r="D189" s="17">
        <v>4</v>
      </c>
      <c r="E189">
        <v>6.6</v>
      </c>
      <c r="G189">
        <v>9.4</v>
      </c>
      <c r="H189">
        <v>10.24</v>
      </c>
      <c r="I189">
        <v>11.4</v>
      </c>
      <c r="J189">
        <v>12.24</v>
      </c>
      <c r="K189">
        <v>0.51</v>
      </c>
      <c r="L189">
        <v>0.18</v>
      </c>
      <c r="M189">
        <v>0.32</v>
      </c>
      <c r="N189">
        <f t="shared" si="55"/>
        <v>10.819999999999993</v>
      </c>
      <c r="O189">
        <f t="shared" si="56"/>
        <v>0.61</v>
      </c>
      <c r="P189" s="6">
        <f t="shared" si="59"/>
        <v>6.6001999999999956</v>
      </c>
      <c r="R189">
        <f t="shared" si="57"/>
        <v>0.39489999999999997</v>
      </c>
      <c r="S189" t="str">
        <f t="shared" si="60"/>
        <v>Yes</v>
      </c>
      <c r="T189" t="str">
        <f t="shared" si="58"/>
        <v>Yes</v>
      </c>
    </row>
    <row r="190" spans="1:20" x14ac:dyDescent="0.3">
      <c r="A190" s="15">
        <v>1</v>
      </c>
      <c r="B190" s="16">
        <v>3</v>
      </c>
      <c r="C190" s="3">
        <v>2</v>
      </c>
      <c r="D190" s="5">
        <v>5</v>
      </c>
      <c r="E190">
        <v>8.3000000000000007</v>
      </c>
      <c r="G190">
        <v>10.54</v>
      </c>
      <c r="H190">
        <v>11.62</v>
      </c>
      <c r="I190">
        <v>12.52</v>
      </c>
      <c r="J190">
        <v>13.66</v>
      </c>
      <c r="K190" s="12">
        <v>0.78</v>
      </c>
      <c r="L190" s="12">
        <v>0.3</v>
      </c>
      <c r="M190" s="12">
        <v>0.12</v>
      </c>
      <c r="N190">
        <f t="shared" si="55"/>
        <v>12.087761194029852</v>
      </c>
      <c r="O190">
        <f t="shared" si="56"/>
        <v>0.68666666666666665</v>
      </c>
      <c r="P190" s="6">
        <f t="shared" si="59"/>
        <v>8.300262686567164</v>
      </c>
      <c r="R190">
        <f t="shared" si="57"/>
        <v>0.71279999999999999</v>
      </c>
      <c r="S190" t="str">
        <f t="shared" si="60"/>
        <v>Yes</v>
      </c>
      <c r="T190" t="str">
        <f t="shared" si="58"/>
        <v>Yes</v>
      </c>
    </row>
    <row r="191" spans="1:20" x14ac:dyDescent="0.3">
      <c r="A191" s="15">
        <v>1</v>
      </c>
      <c r="B191" s="16">
        <v>3</v>
      </c>
      <c r="C191" s="3">
        <v>2</v>
      </c>
      <c r="D191" s="18">
        <v>6</v>
      </c>
      <c r="E191">
        <v>9.3000000000000007</v>
      </c>
      <c r="G191">
        <v>20.78</v>
      </c>
      <c r="H191">
        <v>21.58</v>
      </c>
      <c r="I191">
        <v>22.6</v>
      </c>
      <c r="J191">
        <v>23.58</v>
      </c>
      <c r="K191">
        <v>0.47</v>
      </c>
      <c r="L191">
        <v>0.38</v>
      </c>
      <c r="M191">
        <v>0.45</v>
      </c>
      <c r="N191">
        <f t="shared" si="55"/>
        <v>22.141989528795822</v>
      </c>
      <c r="O191">
        <f t="shared" si="56"/>
        <v>0.42</v>
      </c>
      <c r="P191" s="6">
        <f t="shared" si="59"/>
        <v>9.299635602094245</v>
      </c>
      <c r="R191">
        <f t="shared" si="57"/>
        <v>0.56779999999999997</v>
      </c>
      <c r="S191" t="str">
        <f t="shared" si="60"/>
        <v>Yes</v>
      </c>
      <c r="T191" t="str">
        <f t="shared" si="58"/>
        <v>Yes</v>
      </c>
    </row>
    <row r="192" spans="1:20" x14ac:dyDescent="0.3">
      <c r="A192" s="15">
        <v>1</v>
      </c>
      <c r="B192" s="16">
        <v>3</v>
      </c>
      <c r="C192" s="16">
        <v>3</v>
      </c>
      <c r="D192" s="15">
        <v>1</v>
      </c>
      <c r="E192">
        <v>4.3</v>
      </c>
      <c r="G192">
        <v>7.1</v>
      </c>
      <c r="H192">
        <v>8</v>
      </c>
      <c r="I192">
        <v>9.0299999999999994</v>
      </c>
      <c r="J192">
        <v>10.029999999999999</v>
      </c>
      <c r="K192" s="12">
        <v>0.36</v>
      </c>
      <c r="L192" s="12">
        <v>0.27</v>
      </c>
      <c r="M192" s="12">
        <v>0.31</v>
      </c>
      <c r="N192">
        <f t="shared" si="55"/>
        <v>8.5439983164983193</v>
      </c>
      <c r="O192">
        <f t="shared" si="56"/>
        <v>0.5033333333333333</v>
      </c>
      <c r="P192" s="6">
        <f t="shared" si="59"/>
        <v>4.3004791526374868</v>
      </c>
      <c r="R192">
        <f t="shared" si="57"/>
        <v>0.29860000000000003</v>
      </c>
      <c r="S192" t="str">
        <f t="shared" si="60"/>
        <v>Yes</v>
      </c>
      <c r="T192" t="str">
        <f t="shared" si="58"/>
        <v>Yes</v>
      </c>
    </row>
    <row r="193" spans="1:20" x14ac:dyDescent="0.3">
      <c r="A193" s="15">
        <v>1</v>
      </c>
      <c r="B193" s="16">
        <v>3</v>
      </c>
      <c r="C193" s="16">
        <v>3</v>
      </c>
      <c r="D193" s="3">
        <v>2</v>
      </c>
      <c r="E193">
        <v>6.4</v>
      </c>
      <c r="G193">
        <v>13.18</v>
      </c>
      <c r="H193">
        <v>14.18</v>
      </c>
      <c r="I193">
        <v>15.18</v>
      </c>
      <c r="J193">
        <v>16.100000000000001</v>
      </c>
      <c r="K193">
        <v>0.46</v>
      </c>
      <c r="L193">
        <v>0.25</v>
      </c>
      <c r="M193">
        <v>0.65</v>
      </c>
      <c r="N193">
        <f t="shared" si="55"/>
        <v>14.656734693877556</v>
      </c>
      <c r="O193">
        <f t="shared" si="56"/>
        <v>0.4366666666666667</v>
      </c>
      <c r="P193" s="6">
        <f t="shared" si="59"/>
        <v>6.4001074829932003</v>
      </c>
      <c r="R193">
        <f t="shared" si="57"/>
        <v>0.69660000000000011</v>
      </c>
      <c r="S193" t="str">
        <f t="shared" si="60"/>
        <v>Yes</v>
      </c>
      <c r="T193" t="str">
        <f t="shared" si="58"/>
        <v>Yes</v>
      </c>
    </row>
    <row r="194" spans="1:20" x14ac:dyDescent="0.3">
      <c r="A194" s="15">
        <v>1</v>
      </c>
      <c r="B194" s="16">
        <v>3</v>
      </c>
      <c r="C194" s="16">
        <v>3</v>
      </c>
      <c r="D194" s="16">
        <v>3</v>
      </c>
      <c r="E194">
        <v>8.3000000000000007</v>
      </c>
      <c r="G194">
        <v>12.62</v>
      </c>
      <c r="H194">
        <v>13.5</v>
      </c>
      <c r="I194">
        <v>14.56</v>
      </c>
      <c r="J194">
        <v>15.57</v>
      </c>
      <c r="K194" s="12">
        <v>0.35</v>
      </c>
      <c r="L194" s="12">
        <v>0.21</v>
      </c>
      <c r="M194" s="12">
        <v>0.16</v>
      </c>
      <c r="N194">
        <f t="shared" si="55"/>
        <v>14.067605985037387</v>
      </c>
      <c r="O194">
        <f t="shared" si="56"/>
        <v>0.59</v>
      </c>
      <c r="P194" s="6">
        <f t="shared" si="59"/>
        <v>8.2998875311720575</v>
      </c>
      <c r="R194">
        <f t="shared" si="57"/>
        <v>0.19219999999999998</v>
      </c>
      <c r="S194" t="str">
        <f t="shared" si="60"/>
        <v>Yes</v>
      </c>
      <c r="T194" t="str">
        <f t="shared" si="58"/>
        <v>Yes</v>
      </c>
    </row>
    <row r="195" spans="1:20" x14ac:dyDescent="0.3">
      <c r="A195" s="15">
        <v>1</v>
      </c>
      <c r="B195" s="16">
        <v>3</v>
      </c>
      <c r="C195" s="16">
        <v>3</v>
      </c>
      <c r="D195" s="17">
        <v>4</v>
      </c>
      <c r="E195">
        <v>4.5</v>
      </c>
      <c r="G195">
        <v>5.29</v>
      </c>
      <c r="H195">
        <v>6.22</v>
      </c>
      <c r="I195">
        <v>7.11</v>
      </c>
      <c r="J195">
        <v>8.1</v>
      </c>
      <c r="K195">
        <v>0.74</v>
      </c>
      <c r="L195">
        <v>0.14000000000000001</v>
      </c>
      <c r="M195">
        <v>0.44</v>
      </c>
      <c r="N195">
        <f t="shared" si="55"/>
        <v>6.682594594594593</v>
      </c>
      <c r="O195">
        <f t="shared" si="56"/>
        <v>0.67333333333333334</v>
      </c>
      <c r="P195" s="6">
        <f t="shared" si="59"/>
        <v>4.4996136936936928</v>
      </c>
      <c r="R195">
        <f t="shared" si="57"/>
        <v>0.76079999999999992</v>
      </c>
      <c r="S195" t="str">
        <f t="shared" si="60"/>
        <v>Yes</v>
      </c>
      <c r="T195" t="str">
        <f t="shared" si="58"/>
        <v>Yes</v>
      </c>
    </row>
    <row r="196" spans="1:20" x14ac:dyDescent="0.3">
      <c r="A196" s="15">
        <v>1</v>
      </c>
      <c r="B196" s="16">
        <v>3</v>
      </c>
      <c r="C196" s="16">
        <v>3</v>
      </c>
      <c r="D196" s="5">
        <v>5</v>
      </c>
      <c r="E196">
        <v>7.2</v>
      </c>
      <c r="G196">
        <v>31.7</v>
      </c>
      <c r="H196">
        <v>32.6</v>
      </c>
      <c r="I196">
        <v>33.799999999999997</v>
      </c>
      <c r="J196">
        <v>34.799999999999997</v>
      </c>
      <c r="K196" s="12">
        <v>0.25</v>
      </c>
      <c r="L196" s="12">
        <v>0.48</v>
      </c>
      <c r="M196" s="12">
        <v>0.64</v>
      </c>
      <c r="N196">
        <f t="shared" si="55"/>
        <v>33.228682170542669</v>
      </c>
      <c r="O196">
        <f t="shared" si="56"/>
        <v>0.21666666666666665</v>
      </c>
      <c r="P196" s="6">
        <f t="shared" si="59"/>
        <v>7.1995478036175777</v>
      </c>
      <c r="R196">
        <f t="shared" si="57"/>
        <v>0.70250000000000001</v>
      </c>
      <c r="S196" t="str">
        <f t="shared" si="60"/>
        <v>Yes</v>
      </c>
      <c r="T196" t="str">
        <f t="shared" si="58"/>
        <v>Yes</v>
      </c>
    </row>
    <row r="197" spans="1:20" x14ac:dyDescent="0.3">
      <c r="A197" s="15">
        <v>1</v>
      </c>
      <c r="B197" s="16">
        <v>3</v>
      </c>
      <c r="C197" s="16">
        <v>3</v>
      </c>
      <c r="D197" s="18">
        <v>6</v>
      </c>
      <c r="E197">
        <v>9.6</v>
      </c>
      <c r="G197">
        <v>24.4</v>
      </c>
      <c r="H197">
        <v>25.2</v>
      </c>
      <c r="I197">
        <v>26.1</v>
      </c>
      <c r="J197">
        <v>27.12</v>
      </c>
      <c r="K197">
        <v>0.54</v>
      </c>
      <c r="L197">
        <v>0.65</v>
      </c>
      <c r="M197">
        <v>0.12</v>
      </c>
      <c r="N197">
        <f t="shared" si="55"/>
        <v>25.714217311233888</v>
      </c>
      <c r="O197">
        <f t="shared" si="56"/>
        <v>0.37333333333333335</v>
      </c>
      <c r="P197" s="6">
        <f t="shared" si="59"/>
        <v>9.5999744628606525</v>
      </c>
      <c r="R197">
        <f t="shared" si="57"/>
        <v>0.72850000000000004</v>
      </c>
      <c r="S197" t="str">
        <f t="shared" si="60"/>
        <v>Yes</v>
      </c>
      <c r="T197" t="str">
        <f t="shared" si="58"/>
        <v>Yes</v>
      </c>
    </row>
    <row r="198" spans="1:20" x14ac:dyDescent="0.3">
      <c r="A198" s="3">
        <v>2</v>
      </c>
      <c r="B198" s="15">
        <v>1</v>
      </c>
      <c r="C198" s="15">
        <v>1</v>
      </c>
      <c r="D198" s="15">
        <v>1</v>
      </c>
      <c r="E198">
        <v>4.5</v>
      </c>
      <c r="G198">
        <v>6</v>
      </c>
      <c r="H198">
        <v>7</v>
      </c>
      <c r="I198">
        <v>8</v>
      </c>
      <c r="J198">
        <v>9</v>
      </c>
      <c r="K198" s="12">
        <v>0.72</v>
      </c>
      <c r="L198" s="12">
        <v>0.35</v>
      </c>
      <c r="M198" s="12">
        <v>0.22</v>
      </c>
      <c r="N198">
        <f t="shared" ref="N198:N261" si="61">((I198^2)+(I198*J198)+(J198^2)-(G198^2)-(G198*H198)-(H198^2))/(3*(J198+I198-G198-H198))</f>
        <v>7.5</v>
      </c>
      <c r="O198">
        <f t="shared" ref="O198:O261" si="62">(K198-(2*L198)-M198+2)/3</f>
        <v>0.6</v>
      </c>
      <c r="P198" s="6">
        <f t="shared" si="59"/>
        <v>4.5</v>
      </c>
      <c r="R198">
        <f t="shared" ref="R198:R261" si="63">K198^2+L198^2+M198^2</f>
        <v>0.68929999999999991</v>
      </c>
      <c r="S198" t="str">
        <f t="shared" si="60"/>
        <v>Yes</v>
      </c>
      <c r="T198" t="str">
        <f t="shared" ref="T198:T261" si="64">IF(ROUND(P198,2)=E198,"Yes","No")</f>
        <v>Yes</v>
      </c>
    </row>
    <row r="199" spans="1:20" x14ac:dyDescent="0.3">
      <c r="A199" s="3">
        <v>2</v>
      </c>
      <c r="B199" s="15">
        <v>1</v>
      </c>
      <c r="C199" s="15">
        <v>1</v>
      </c>
      <c r="D199" s="3">
        <v>2</v>
      </c>
      <c r="E199">
        <v>6.6</v>
      </c>
      <c r="G199">
        <v>11.1</v>
      </c>
      <c r="H199">
        <v>12.01</v>
      </c>
      <c r="I199">
        <v>13</v>
      </c>
      <c r="J199">
        <v>14</v>
      </c>
      <c r="K199">
        <v>0.53</v>
      </c>
      <c r="L199">
        <v>0.36</v>
      </c>
      <c r="M199">
        <v>0.23</v>
      </c>
      <c r="N199">
        <f t="shared" si="61"/>
        <v>12.531182519280209</v>
      </c>
      <c r="O199">
        <f t="shared" si="62"/>
        <v>0.52666666666666673</v>
      </c>
      <c r="P199" s="6">
        <f t="shared" ref="P199:P262" si="65">N199*O199</f>
        <v>6.5997561268209113</v>
      </c>
      <c r="R199">
        <f t="shared" si="63"/>
        <v>0.46340000000000003</v>
      </c>
      <c r="S199" t="str">
        <f t="shared" ref="S199:S262" si="66">IF(AND(R199&gt;=0,R199&lt;=1),"Yes","No")</f>
        <v>Yes</v>
      </c>
      <c r="T199" t="str">
        <f t="shared" si="64"/>
        <v>Yes</v>
      </c>
    </row>
    <row r="200" spans="1:20" x14ac:dyDescent="0.3">
      <c r="A200" s="3">
        <v>2</v>
      </c>
      <c r="B200" s="15">
        <v>1</v>
      </c>
      <c r="C200" s="15">
        <v>1</v>
      </c>
      <c r="D200" s="16">
        <v>3</v>
      </c>
      <c r="E200">
        <v>7.4</v>
      </c>
      <c r="G200">
        <v>11.13</v>
      </c>
      <c r="H200">
        <v>12.12</v>
      </c>
      <c r="I200">
        <v>13.1</v>
      </c>
      <c r="J200">
        <v>14.1</v>
      </c>
      <c r="K200" s="12">
        <v>0.75</v>
      </c>
      <c r="L200" s="12">
        <v>0.22</v>
      </c>
      <c r="M200" s="12">
        <v>0.55000000000000004</v>
      </c>
      <c r="N200">
        <f t="shared" si="61"/>
        <v>12.612919831223612</v>
      </c>
      <c r="O200">
        <f t="shared" si="62"/>
        <v>0.58666666666666667</v>
      </c>
      <c r="P200" s="6">
        <f t="shared" si="65"/>
        <v>7.3995796343178526</v>
      </c>
      <c r="R200">
        <f t="shared" si="63"/>
        <v>0.91339999999999999</v>
      </c>
      <c r="S200" t="str">
        <f t="shared" si="66"/>
        <v>Yes</v>
      </c>
      <c r="T200" t="str">
        <f t="shared" si="64"/>
        <v>Yes</v>
      </c>
    </row>
    <row r="201" spans="1:20" x14ac:dyDescent="0.3">
      <c r="A201" s="3">
        <v>2</v>
      </c>
      <c r="B201" s="15">
        <v>1</v>
      </c>
      <c r="C201" s="15">
        <v>1</v>
      </c>
      <c r="D201" s="17">
        <v>4</v>
      </c>
      <c r="E201">
        <v>3.4</v>
      </c>
      <c r="G201">
        <v>12.21</v>
      </c>
      <c r="H201">
        <v>13.12</v>
      </c>
      <c r="I201">
        <v>14.03</v>
      </c>
      <c r="J201">
        <v>15.02</v>
      </c>
      <c r="K201">
        <v>0.34</v>
      </c>
      <c r="L201">
        <v>0.54</v>
      </c>
      <c r="M201">
        <v>0.51</v>
      </c>
      <c r="N201">
        <f t="shared" si="61"/>
        <v>13.598405017921152</v>
      </c>
      <c r="O201">
        <f t="shared" si="62"/>
        <v>0.25</v>
      </c>
      <c r="P201" s="6">
        <f t="shared" si="65"/>
        <v>3.399601254480288</v>
      </c>
      <c r="R201">
        <f t="shared" si="63"/>
        <v>0.6673</v>
      </c>
      <c r="S201" t="str">
        <f t="shared" si="66"/>
        <v>Yes</v>
      </c>
      <c r="T201" t="str">
        <f t="shared" si="64"/>
        <v>Yes</v>
      </c>
    </row>
    <row r="202" spans="1:20" x14ac:dyDescent="0.3">
      <c r="A202" s="3">
        <v>2</v>
      </c>
      <c r="B202" s="15">
        <v>1</v>
      </c>
      <c r="C202" s="15">
        <v>1</v>
      </c>
      <c r="D202" s="5">
        <v>5</v>
      </c>
      <c r="E202">
        <v>6.1</v>
      </c>
      <c r="G202">
        <v>12.3</v>
      </c>
      <c r="H202">
        <v>13.3</v>
      </c>
      <c r="I202" s="11">
        <v>14.25</v>
      </c>
      <c r="J202">
        <v>15.2</v>
      </c>
      <c r="K202" s="12">
        <v>0.02</v>
      </c>
      <c r="L202" s="12">
        <v>0.13</v>
      </c>
      <c r="M202" s="12">
        <v>0.43</v>
      </c>
      <c r="N202">
        <f t="shared" si="61"/>
        <v>13.760389610389611</v>
      </c>
      <c r="O202">
        <f t="shared" si="62"/>
        <v>0.44333333333333336</v>
      </c>
      <c r="P202" s="6">
        <f t="shared" si="65"/>
        <v>6.1004393939393946</v>
      </c>
      <c r="R202">
        <f t="shared" si="63"/>
        <v>0.20219999999999999</v>
      </c>
      <c r="S202" t="str">
        <f t="shared" si="66"/>
        <v>Yes</v>
      </c>
      <c r="T202" t="str">
        <f t="shared" si="64"/>
        <v>Yes</v>
      </c>
    </row>
    <row r="203" spans="1:20" x14ac:dyDescent="0.3">
      <c r="A203" s="3">
        <v>2</v>
      </c>
      <c r="B203" s="15">
        <v>1</v>
      </c>
      <c r="C203" s="15">
        <v>1</v>
      </c>
      <c r="D203" s="18">
        <v>6</v>
      </c>
      <c r="E203">
        <v>6.5</v>
      </c>
      <c r="G203">
        <v>7.3</v>
      </c>
      <c r="H203">
        <v>8.1300000000000008</v>
      </c>
      <c r="I203">
        <v>9.11</v>
      </c>
      <c r="J203">
        <v>10.1</v>
      </c>
      <c r="K203" s="12">
        <v>0.72</v>
      </c>
      <c r="L203" s="12">
        <v>0.18</v>
      </c>
      <c r="M203" s="12">
        <v>0.11</v>
      </c>
      <c r="N203">
        <f t="shared" si="61"/>
        <v>8.6664197530864193</v>
      </c>
      <c r="O203">
        <f t="shared" si="62"/>
        <v>0.75</v>
      </c>
      <c r="P203" s="6">
        <f t="shared" si="65"/>
        <v>6.4998148148148145</v>
      </c>
      <c r="R203">
        <f t="shared" si="63"/>
        <v>0.56289999999999996</v>
      </c>
      <c r="S203" t="str">
        <f t="shared" si="66"/>
        <v>Yes</v>
      </c>
      <c r="T203" t="str">
        <f t="shared" si="64"/>
        <v>Yes</v>
      </c>
    </row>
    <row r="204" spans="1:20" x14ac:dyDescent="0.3">
      <c r="A204" s="3">
        <v>2</v>
      </c>
      <c r="B204" s="15">
        <v>1</v>
      </c>
      <c r="C204" s="3">
        <v>2</v>
      </c>
      <c r="D204" s="15">
        <v>1</v>
      </c>
      <c r="E204">
        <v>5.5</v>
      </c>
      <c r="G204">
        <v>11</v>
      </c>
      <c r="H204">
        <v>12</v>
      </c>
      <c r="I204">
        <v>13</v>
      </c>
      <c r="J204">
        <v>14</v>
      </c>
      <c r="K204" s="12">
        <v>0.12</v>
      </c>
      <c r="L204" s="12">
        <v>0.1</v>
      </c>
      <c r="M204" s="12">
        <v>0.6</v>
      </c>
      <c r="N204">
        <f t="shared" si="61"/>
        <v>12.5</v>
      </c>
      <c r="O204">
        <f t="shared" si="62"/>
        <v>0.44</v>
      </c>
      <c r="P204" s="6">
        <f t="shared" si="65"/>
        <v>5.5</v>
      </c>
      <c r="R204">
        <f t="shared" si="63"/>
        <v>0.38439999999999996</v>
      </c>
      <c r="S204" t="str">
        <f t="shared" si="66"/>
        <v>Yes</v>
      </c>
      <c r="T204" t="str">
        <f t="shared" si="64"/>
        <v>Yes</v>
      </c>
    </row>
    <row r="205" spans="1:20" x14ac:dyDescent="0.3">
      <c r="A205" s="3">
        <v>2</v>
      </c>
      <c r="B205" s="15">
        <v>1</v>
      </c>
      <c r="C205" s="3">
        <v>2</v>
      </c>
      <c r="D205" s="3">
        <v>2</v>
      </c>
      <c r="E205">
        <v>6.6</v>
      </c>
      <c r="G205">
        <v>10.210000000000001</v>
      </c>
      <c r="H205">
        <v>11.36</v>
      </c>
      <c r="I205">
        <v>12.3</v>
      </c>
      <c r="J205">
        <v>13.3</v>
      </c>
      <c r="K205" s="12">
        <v>0.55000000000000004</v>
      </c>
      <c r="L205" s="12">
        <v>0.27</v>
      </c>
      <c r="M205" s="12">
        <v>0.33</v>
      </c>
      <c r="N205">
        <f t="shared" si="61"/>
        <v>11.785831265508691</v>
      </c>
      <c r="O205">
        <f t="shared" si="62"/>
        <v>0.55999999999999994</v>
      </c>
      <c r="P205" s="6">
        <f t="shared" si="65"/>
        <v>6.6000655086848656</v>
      </c>
      <c r="R205">
        <f t="shared" si="63"/>
        <v>0.48430000000000006</v>
      </c>
      <c r="S205" t="str">
        <f t="shared" si="66"/>
        <v>Yes</v>
      </c>
      <c r="T205" t="str">
        <f t="shared" si="64"/>
        <v>Yes</v>
      </c>
    </row>
    <row r="206" spans="1:20" x14ac:dyDescent="0.3">
      <c r="A206" s="3">
        <v>2</v>
      </c>
      <c r="B206" s="15">
        <v>1</v>
      </c>
      <c r="C206" s="3">
        <v>2</v>
      </c>
      <c r="D206" s="16">
        <v>3</v>
      </c>
      <c r="E206">
        <v>4.7</v>
      </c>
      <c r="G206">
        <v>7.78</v>
      </c>
      <c r="H206">
        <v>8.52</v>
      </c>
      <c r="I206">
        <v>9.5</v>
      </c>
      <c r="J206">
        <v>10.54</v>
      </c>
      <c r="K206" s="12">
        <v>0.45</v>
      </c>
      <c r="L206" s="12">
        <v>0.23</v>
      </c>
      <c r="M206" s="12">
        <v>0.44</v>
      </c>
      <c r="N206">
        <f t="shared" si="61"/>
        <v>9.0968983957219258</v>
      </c>
      <c r="O206">
        <f t="shared" si="62"/>
        <v>0.51666666666666672</v>
      </c>
      <c r="P206" s="6">
        <f t="shared" si="65"/>
        <v>4.7000641711229951</v>
      </c>
      <c r="R206">
        <f t="shared" si="63"/>
        <v>0.44900000000000001</v>
      </c>
      <c r="S206" t="str">
        <f t="shared" si="66"/>
        <v>Yes</v>
      </c>
      <c r="T206" t="str">
        <f t="shared" si="64"/>
        <v>Yes</v>
      </c>
    </row>
    <row r="207" spans="1:20" x14ac:dyDescent="0.3">
      <c r="A207" s="3">
        <v>2</v>
      </c>
      <c r="B207" s="15">
        <v>1</v>
      </c>
      <c r="C207" s="3">
        <v>2</v>
      </c>
      <c r="D207" s="17">
        <v>4</v>
      </c>
      <c r="E207">
        <v>5.2</v>
      </c>
      <c r="G207">
        <v>6.35</v>
      </c>
      <c r="H207">
        <v>7.4</v>
      </c>
      <c r="I207">
        <v>8.4</v>
      </c>
      <c r="J207">
        <v>9.24</v>
      </c>
      <c r="K207" s="12">
        <v>0.87</v>
      </c>
      <c r="L207" s="12">
        <v>0.23</v>
      </c>
      <c r="M207" s="12">
        <v>0.42</v>
      </c>
      <c r="N207">
        <f t="shared" si="61"/>
        <v>7.8389974293059099</v>
      </c>
      <c r="O207">
        <f t="shared" si="62"/>
        <v>0.66333333333333333</v>
      </c>
      <c r="P207" s="6">
        <f t="shared" si="65"/>
        <v>5.1998682947729202</v>
      </c>
      <c r="R207">
        <f t="shared" si="63"/>
        <v>0.98620000000000008</v>
      </c>
      <c r="S207" t="str">
        <f t="shared" si="66"/>
        <v>Yes</v>
      </c>
      <c r="T207" t="str">
        <f t="shared" si="64"/>
        <v>Yes</v>
      </c>
    </row>
    <row r="208" spans="1:20" x14ac:dyDescent="0.3">
      <c r="A208" s="3">
        <v>2</v>
      </c>
      <c r="B208" s="15">
        <v>1</v>
      </c>
      <c r="C208" s="3">
        <v>2</v>
      </c>
      <c r="D208" s="5">
        <v>5</v>
      </c>
      <c r="E208">
        <v>6.3</v>
      </c>
      <c r="G208">
        <v>9</v>
      </c>
      <c r="H208">
        <v>10</v>
      </c>
      <c r="I208">
        <v>11</v>
      </c>
      <c r="J208">
        <v>12</v>
      </c>
      <c r="K208">
        <v>0.57999999999999996</v>
      </c>
      <c r="L208">
        <v>0.33</v>
      </c>
      <c r="M208">
        <v>0.12</v>
      </c>
      <c r="N208">
        <f t="shared" si="61"/>
        <v>10.5</v>
      </c>
      <c r="O208">
        <f t="shared" si="62"/>
        <v>0.6</v>
      </c>
      <c r="P208" s="6">
        <f t="shared" si="65"/>
        <v>6.3</v>
      </c>
      <c r="R208">
        <f t="shared" si="63"/>
        <v>0.4597</v>
      </c>
      <c r="S208" t="str">
        <f t="shared" si="66"/>
        <v>Yes</v>
      </c>
      <c r="T208" t="str">
        <f t="shared" si="64"/>
        <v>Yes</v>
      </c>
    </row>
    <row r="209" spans="1:20" x14ac:dyDescent="0.3">
      <c r="A209" s="3">
        <v>2</v>
      </c>
      <c r="B209" s="15">
        <v>1</v>
      </c>
      <c r="C209" s="3">
        <v>2</v>
      </c>
      <c r="D209" s="18">
        <v>6</v>
      </c>
      <c r="E209">
        <v>5.8</v>
      </c>
      <c r="G209">
        <v>8.5</v>
      </c>
      <c r="H209">
        <v>9.1999999999999993</v>
      </c>
      <c r="I209">
        <v>10.14</v>
      </c>
      <c r="J209">
        <v>11.2</v>
      </c>
      <c r="K209" s="12">
        <v>0.66</v>
      </c>
      <c r="L209" s="12">
        <v>0.31</v>
      </c>
      <c r="M209" s="12">
        <v>0.26</v>
      </c>
      <c r="N209">
        <f t="shared" si="61"/>
        <v>9.7745054945054974</v>
      </c>
      <c r="O209">
        <f t="shared" si="62"/>
        <v>0.59333333333333338</v>
      </c>
      <c r="P209" s="6">
        <f t="shared" si="65"/>
        <v>5.7995399267399286</v>
      </c>
      <c r="R209">
        <f t="shared" si="63"/>
        <v>0.59930000000000005</v>
      </c>
      <c r="S209" t="str">
        <f t="shared" si="66"/>
        <v>Yes</v>
      </c>
      <c r="T209" t="str">
        <f t="shared" si="64"/>
        <v>Yes</v>
      </c>
    </row>
    <row r="210" spans="1:20" x14ac:dyDescent="0.3">
      <c r="A210" s="3">
        <v>2</v>
      </c>
      <c r="B210" s="15">
        <v>1</v>
      </c>
      <c r="C210" s="16">
        <v>3</v>
      </c>
      <c r="D210" s="15">
        <v>1</v>
      </c>
      <c r="E210">
        <v>5.8</v>
      </c>
      <c r="G210">
        <v>10.08</v>
      </c>
      <c r="H210">
        <v>11</v>
      </c>
      <c r="I210">
        <v>12</v>
      </c>
      <c r="J210">
        <v>13</v>
      </c>
      <c r="K210" s="12">
        <v>0.39</v>
      </c>
      <c r="L210" s="12">
        <v>0.23</v>
      </c>
      <c r="M210" s="12">
        <v>0.42</v>
      </c>
      <c r="N210">
        <f t="shared" si="61"/>
        <v>11.523265306122449</v>
      </c>
      <c r="O210">
        <f t="shared" si="62"/>
        <v>0.5033333333333333</v>
      </c>
      <c r="P210" s="6">
        <f t="shared" si="65"/>
        <v>5.8000435374149655</v>
      </c>
      <c r="R210">
        <f t="shared" si="63"/>
        <v>0.38139999999999996</v>
      </c>
      <c r="S210" t="str">
        <f t="shared" si="66"/>
        <v>Yes</v>
      </c>
      <c r="T210" t="str">
        <f t="shared" si="64"/>
        <v>Yes</v>
      </c>
    </row>
    <row r="211" spans="1:20" x14ac:dyDescent="0.3">
      <c r="A211" s="3">
        <v>2</v>
      </c>
      <c r="B211" s="15">
        <v>1</v>
      </c>
      <c r="C211" s="16">
        <v>3</v>
      </c>
      <c r="D211" s="3">
        <v>2</v>
      </c>
      <c r="E211">
        <v>7.9</v>
      </c>
      <c r="G211">
        <v>11.6</v>
      </c>
      <c r="H211">
        <v>12.57</v>
      </c>
      <c r="I211">
        <v>13.6</v>
      </c>
      <c r="J211">
        <v>14.6</v>
      </c>
      <c r="K211" s="12">
        <v>0.72</v>
      </c>
      <c r="L211" s="12">
        <v>0.24</v>
      </c>
      <c r="M211" s="12">
        <v>0.43</v>
      </c>
      <c r="N211">
        <f t="shared" si="61"/>
        <v>13.093722084367235</v>
      </c>
      <c r="O211">
        <f t="shared" si="62"/>
        <v>0.60333333333333339</v>
      </c>
      <c r="P211" s="6">
        <f t="shared" si="65"/>
        <v>7.8998789909015654</v>
      </c>
      <c r="R211">
        <f t="shared" si="63"/>
        <v>0.76089999999999991</v>
      </c>
      <c r="S211" t="str">
        <f t="shared" si="66"/>
        <v>Yes</v>
      </c>
      <c r="T211" t="str">
        <f t="shared" si="64"/>
        <v>Yes</v>
      </c>
    </row>
    <row r="212" spans="1:20" x14ac:dyDescent="0.3">
      <c r="A212" s="3">
        <v>2</v>
      </c>
      <c r="B212" s="15">
        <v>1</v>
      </c>
      <c r="C212" s="16">
        <v>3</v>
      </c>
      <c r="D212" s="16">
        <v>3</v>
      </c>
      <c r="E212">
        <v>5.9</v>
      </c>
      <c r="G212">
        <v>10.1</v>
      </c>
      <c r="H212">
        <v>11.1</v>
      </c>
      <c r="I212">
        <v>12.09</v>
      </c>
      <c r="J212">
        <v>13</v>
      </c>
      <c r="K212" s="12">
        <v>0.48</v>
      </c>
      <c r="L212" s="12">
        <v>0.32</v>
      </c>
      <c r="M212" s="12">
        <v>0.31</v>
      </c>
      <c r="N212">
        <f t="shared" si="61"/>
        <v>11.568817480719794</v>
      </c>
      <c r="O212">
        <f t="shared" si="62"/>
        <v>0.51</v>
      </c>
      <c r="P212" s="6">
        <f t="shared" si="65"/>
        <v>5.9000969151670946</v>
      </c>
      <c r="R212">
        <f t="shared" si="63"/>
        <v>0.4289</v>
      </c>
      <c r="S212" t="str">
        <f t="shared" si="66"/>
        <v>Yes</v>
      </c>
      <c r="T212" t="str">
        <f t="shared" si="64"/>
        <v>Yes</v>
      </c>
    </row>
    <row r="213" spans="1:20" x14ac:dyDescent="0.3">
      <c r="A213" s="3">
        <v>2</v>
      </c>
      <c r="B213" s="15">
        <v>1</v>
      </c>
      <c r="C213" s="16">
        <v>3</v>
      </c>
      <c r="D213" s="17">
        <v>4</v>
      </c>
      <c r="E213">
        <v>4.3</v>
      </c>
      <c r="G213">
        <v>4.0999999999999996</v>
      </c>
      <c r="H213">
        <v>5.0999999999999996</v>
      </c>
      <c r="I213">
        <v>6.12</v>
      </c>
      <c r="J213">
        <v>7.2</v>
      </c>
      <c r="K213" s="12">
        <v>0.86</v>
      </c>
      <c r="L213" s="12">
        <v>0.18</v>
      </c>
      <c r="M213" s="12">
        <v>0.21</v>
      </c>
      <c r="N213">
        <f t="shared" si="61"/>
        <v>5.6333656957928815</v>
      </c>
      <c r="O213">
        <f t="shared" si="62"/>
        <v>0.76333333333333331</v>
      </c>
      <c r="P213" s="6">
        <f t="shared" si="65"/>
        <v>4.3001358144552331</v>
      </c>
      <c r="R213">
        <f t="shared" si="63"/>
        <v>0.81609999999999994</v>
      </c>
      <c r="S213" t="str">
        <f t="shared" si="66"/>
        <v>Yes</v>
      </c>
      <c r="T213" t="str">
        <f t="shared" si="64"/>
        <v>Yes</v>
      </c>
    </row>
    <row r="214" spans="1:20" x14ac:dyDescent="0.3">
      <c r="A214" s="3">
        <v>2</v>
      </c>
      <c r="B214" s="15">
        <v>1</v>
      </c>
      <c r="C214" s="16">
        <v>3</v>
      </c>
      <c r="D214" s="5">
        <v>5</v>
      </c>
      <c r="E214">
        <v>5.5</v>
      </c>
      <c r="G214">
        <v>14.17</v>
      </c>
      <c r="H214">
        <v>15.21</v>
      </c>
      <c r="I214">
        <v>16.23</v>
      </c>
      <c r="J214">
        <v>17.25</v>
      </c>
      <c r="K214" s="12">
        <v>0.38</v>
      </c>
      <c r="L214" s="12">
        <v>0.31</v>
      </c>
      <c r="M214" s="12">
        <v>0.71</v>
      </c>
      <c r="N214">
        <f t="shared" si="61"/>
        <v>15.714162601626006</v>
      </c>
      <c r="O214">
        <f t="shared" si="62"/>
        <v>0.35000000000000003</v>
      </c>
      <c r="P214" s="6">
        <f t="shared" si="65"/>
        <v>5.4999569105691029</v>
      </c>
      <c r="R214">
        <f t="shared" si="63"/>
        <v>0.74459999999999993</v>
      </c>
      <c r="S214" t="str">
        <f t="shared" si="66"/>
        <v>Yes</v>
      </c>
      <c r="T214" t="str">
        <f t="shared" si="64"/>
        <v>Yes</v>
      </c>
    </row>
    <row r="215" spans="1:20" x14ac:dyDescent="0.3">
      <c r="A215" s="3">
        <v>2</v>
      </c>
      <c r="B215" s="15">
        <v>1</v>
      </c>
      <c r="C215" s="16">
        <v>3</v>
      </c>
      <c r="D215" s="18">
        <v>6</v>
      </c>
      <c r="E215">
        <v>9.1</v>
      </c>
      <c r="G215">
        <v>18</v>
      </c>
      <c r="H215">
        <v>19</v>
      </c>
      <c r="I215">
        <v>20</v>
      </c>
      <c r="J215">
        <v>21</v>
      </c>
      <c r="K215">
        <v>0.3</v>
      </c>
      <c r="L215">
        <v>0.27</v>
      </c>
      <c r="M215">
        <v>0.36</v>
      </c>
      <c r="N215">
        <f t="shared" si="61"/>
        <v>19.5</v>
      </c>
      <c r="O215">
        <f t="shared" si="62"/>
        <v>0.46666666666666662</v>
      </c>
      <c r="P215" s="6">
        <f t="shared" si="65"/>
        <v>9.1</v>
      </c>
      <c r="R215">
        <f t="shared" si="63"/>
        <v>0.29249999999999998</v>
      </c>
      <c r="S215" t="str">
        <f t="shared" si="66"/>
        <v>Yes</v>
      </c>
      <c r="T215" t="str">
        <f t="shared" si="64"/>
        <v>Yes</v>
      </c>
    </row>
    <row r="216" spans="1:20" x14ac:dyDescent="0.3">
      <c r="A216" s="3">
        <v>2</v>
      </c>
      <c r="B216" s="3">
        <v>2</v>
      </c>
      <c r="C216" s="15">
        <v>1</v>
      </c>
      <c r="D216" s="15">
        <v>1</v>
      </c>
      <c r="E216">
        <v>4.4000000000000004</v>
      </c>
      <c r="G216">
        <v>10.42</v>
      </c>
      <c r="H216">
        <v>11.42</v>
      </c>
      <c r="I216">
        <v>12.32</v>
      </c>
      <c r="J216">
        <v>13.39</v>
      </c>
      <c r="K216" s="12">
        <v>0.42</v>
      </c>
      <c r="L216" s="12">
        <v>0.41</v>
      </c>
      <c r="M216" s="12">
        <v>0.49</v>
      </c>
      <c r="N216">
        <f t="shared" si="61"/>
        <v>11.890620155038761</v>
      </c>
      <c r="O216">
        <f t="shared" si="62"/>
        <v>0.37000000000000005</v>
      </c>
      <c r="P216" s="6">
        <f t="shared" si="65"/>
        <v>4.3995294573643422</v>
      </c>
      <c r="R216">
        <f t="shared" si="63"/>
        <v>0.5845999999999999</v>
      </c>
      <c r="S216" t="str">
        <f t="shared" si="66"/>
        <v>Yes</v>
      </c>
      <c r="T216" t="str">
        <f t="shared" si="64"/>
        <v>Yes</v>
      </c>
    </row>
    <row r="217" spans="1:20" x14ac:dyDescent="0.3">
      <c r="A217" s="3">
        <v>2</v>
      </c>
      <c r="B217" s="3">
        <v>2</v>
      </c>
      <c r="C217" s="15">
        <v>1</v>
      </c>
      <c r="D217" s="3">
        <v>2</v>
      </c>
      <c r="E217">
        <v>6.5</v>
      </c>
      <c r="G217">
        <v>13.5</v>
      </c>
      <c r="H217">
        <v>14.2</v>
      </c>
      <c r="I217">
        <v>15.13</v>
      </c>
      <c r="J217">
        <v>16.2</v>
      </c>
      <c r="K217" s="12">
        <v>0.47</v>
      </c>
      <c r="L217" s="12">
        <v>0.28000000000000003</v>
      </c>
      <c r="M217" s="12">
        <v>0.59</v>
      </c>
      <c r="N217">
        <f t="shared" si="61"/>
        <v>14.772534435261713</v>
      </c>
      <c r="O217">
        <f t="shared" si="62"/>
        <v>0.43999999999999995</v>
      </c>
      <c r="P217" s="6">
        <f t="shared" si="65"/>
        <v>6.499915151515153</v>
      </c>
      <c r="R217">
        <f t="shared" si="63"/>
        <v>0.64739999999999998</v>
      </c>
      <c r="S217" t="str">
        <f t="shared" si="66"/>
        <v>Yes</v>
      </c>
      <c r="T217" t="str">
        <f t="shared" si="64"/>
        <v>Yes</v>
      </c>
    </row>
    <row r="218" spans="1:20" x14ac:dyDescent="0.3">
      <c r="A218" s="3">
        <v>2</v>
      </c>
      <c r="B218" s="3">
        <v>2</v>
      </c>
      <c r="C218" s="15">
        <v>1</v>
      </c>
      <c r="D218" s="16">
        <v>3</v>
      </c>
      <c r="E218">
        <v>3.5</v>
      </c>
      <c r="G218">
        <v>5.2</v>
      </c>
      <c r="H218">
        <v>6.2</v>
      </c>
      <c r="I218">
        <v>7.2</v>
      </c>
      <c r="J218">
        <v>8.16</v>
      </c>
      <c r="K218" s="12">
        <v>0.38</v>
      </c>
      <c r="L218" s="12">
        <v>0.21</v>
      </c>
      <c r="M218" s="12">
        <v>0.39</v>
      </c>
      <c r="N218">
        <f t="shared" si="61"/>
        <v>6.68835016835017</v>
      </c>
      <c r="O218">
        <f t="shared" si="62"/>
        <v>0.52333333333333332</v>
      </c>
      <c r="P218" s="6">
        <f t="shared" si="65"/>
        <v>3.5002365881032556</v>
      </c>
      <c r="R218">
        <f t="shared" si="63"/>
        <v>0.34060000000000001</v>
      </c>
      <c r="S218" t="str">
        <f t="shared" si="66"/>
        <v>Yes</v>
      </c>
      <c r="T218" t="str">
        <f t="shared" si="64"/>
        <v>Yes</v>
      </c>
    </row>
    <row r="219" spans="1:20" x14ac:dyDescent="0.3">
      <c r="A219" s="3">
        <v>2</v>
      </c>
      <c r="B219" s="3">
        <v>2</v>
      </c>
      <c r="C219" s="15">
        <v>1</v>
      </c>
      <c r="D219" s="17">
        <v>4</v>
      </c>
      <c r="E219">
        <v>6.2</v>
      </c>
      <c r="G219">
        <v>10.199999999999999</v>
      </c>
      <c r="H219">
        <v>11.7</v>
      </c>
      <c r="I219" s="11">
        <v>12.6</v>
      </c>
      <c r="J219">
        <v>13.6</v>
      </c>
      <c r="K219" s="12">
        <v>0.78</v>
      </c>
      <c r="L219" s="12">
        <v>0.46</v>
      </c>
      <c r="M219" s="12">
        <v>0.31</v>
      </c>
      <c r="N219">
        <f t="shared" si="61"/>
        <v>12.000775193798448</v>
      </c>
      <c r="O219">
        <f t="shared" si="62"/>
        <v>0.51666666666666672</v>
      </c>
      <c r="P219" s="6">
        <f t="shared" si="65"/>
        <v>6.2004005167958658</v>
      </c>
      <c r="R219">
        <f t="shared" si="63"/>
        <v>0.91610000000000003</v>
      </c>
      <c r="S219" t="str">
        <f t="shared" si="66"/>
        <v>Yes</v>
      </c>
      <c r="T219" t="str">
        <f t="shared" si="64"/>
        <v>Yes</v>
      </c>
    </row>
    <row r="220" spans="1:20" x14ac:dyDescent="0.3">
      <c r="A220" s="3">
        <v>2</v>
      </c>
      <c r="B220" s="3">
        <v>2</v>
      </c>
      <c r="C220" s="15">
        <v>1</v>
      </c>
      <c r="D220" s="5">
        <v>5</v>
      </c>
      <c r="E220">
        <v>9.3000000000000007</v>
      </c>
      <c r="G220">
        <v>13.1</v>
      </c>
      <c r="H220">
        <v>14.01</v>
      </c>
      <c r="I220">
        <v>15</v>
      </c>
      <c r="J220">
        <v>16</v>
      </c>
      <c r="K220" s="12">
        <v>0.34</v>
      </c>
      <c r="L220" s="12">
        <v>0.12</v>
      </c>
      <c r="M220" s="12">
        <v>0.18</v>
      </c>
      <c r="N220">
        <f t="shared" si="61"/>
        <v>14.531182519280208</v>
      </c>
      <c r="O220">
        <f t="shared" si="62"/>
        <v>0.64</v>
      </c>
      <c r="P220" s="6">
        <f t="shared" si="65"/>
        <v>9.2999568123393335</v>
      </c>
      <c r="R220">
        <f t="shared" si="63"/>
        <v>0.16240000000000004</v>
      </c>
      <c r="S220" t="str">
        <f t="shared" si="66"/>
        <v>Yes</v>
      </c>
      <c r="T220" t="str">
        <f t="shared" si="64"/>
        <v>Yes</v>
      </c>
    </row>
    <row r="221" spans="1:20" x14ac:dyDescent="0.3">
      <c r="A221" s="3">
        <v>2</v>
      </c>
      <c r="B221" s="3">
        <v>2</v>
      </c>
      <c r="C221" s="15">
        <v>1</v>
      </c>
      <c r="D221" s="18">
        <v>6</v>
      </c>
      <c r="E221">
        <v>7.3</v>
      </c>
      <c r="G221">
        <v>9.56</v>
      </c>
      <c r="H221">
        <v>10.54</v>
      </c>
      <c r="I221">
        <v>11.58</v>
      </c>
      <c r="J221">
        <v>12.56</v>
      </c>
      <c r="K221" s="12">
        <v>0.72</v>
      </c>
      <c r="L221" s="12">
        <v>0.21</v>
      </c>
      <c r="M221" s="12">
        <v>0.32</v>
      </c>
      <c r="N221">
        <f t="shared" si="61"/>
        <v>11.06</v>
      </c>
      <c r="O221">
        <f t="shared" si="62"/>
        <v>0.66</v>
      </c>
      <c r="P221" s="6">
        <f t="shared" si="65"/>
        <v>7.2996000000000008</v>
      </c>
      <c r="R221">
        <f t="shared" si="63"/>
        <v>0.66490000000000005</v>
      </c>
      <c r="S221" t="str">
        <f t="shared" si="66"/>
        <v>Yes</v>
      </c>
      <c r="T221" t="str">
        <f t="shared" si="64"/>
        <v>Yes</v>
      </c>
    </row>
    <row r="222" spans="1:20" x14ac:dyDescent="0.3">
      <c r="A222" s="3">
        <v>2</v>
      </c>
      <c r="B222" s="3">
        <v>2</v>
      </c>
      <c r="C222" s="3">
        <v>2</v>
      </c>
      <c r="D222" s="15">
        <v>1</v>
      </c>
      <c r="E222">
        <v>6.3</v>
      </c>
      <c r="G222">
        <v>9.6</v>
      </c>
      <c r="H222">
        <v>10.6</v>
      </c>
      <c r="I222">
        <v>11.9</v>
      </c>
      <c r="J222">
        <v>12.9</v>
      </c>
      <c r="K222" s="12">
        <v>0.67</v>
      </c>
      <c r="L222" s="12">
        <v>0.28000000000000003</v>
      </c>
      <c r="M222" s="12">
        <v>0.43</v>
      </c>
      <c r="N222">
        <f t="shared" si="61"/>
        <v>11.249999999999996</v>
      </c>
      <c r="O222">
        <f t="shared" si="62"/>
        <v>0.55999999999999994</v>
      </c>
      <c r="P222" s="6">
        <f t="shared" si="65"/>
        <v>6.2999999999999972</v>
      </c>
      <c r="R222">
        <f t="shared" si="63"/>
        <v>0.71220000000000006</v>
      </c>
      <c r="S222" t="str">
        <f t="shared" si="66"/>
        <v>Yes</v>
      </c>
      <c r="T222" t="str">
        <f t="shared" si="64"/>
        <v>Yes</v>
      </c>
    </row>
    <row r="223" spans="1:20" x14ac:dyDescent="0.3">
      <c r="A223" s="3">
        <v>2</v>
      </c>
      <c r="B223" s="3">
        <v>2</v>
      </c>
      <c r="C223" s="3">
        <v>2</v>
      </c>
      <c r="D223" s="3">
        <v>2</v>
      </c>
      <c r="E223">
        <v>7.4</v>
      </c>
      <c r="G223">
        <v>12.55</v>
      </c>
      <c r="H223">
        <v>13.63</v>
      </c>
      <c r="I223">
        <v>14.55</v>
      </c>
      <c r="J223">
        <v>15.8</v>
      </c>
      <c r="K223" s="12">
        <v>0.76</v>
      </c>
      <c r="L223" s="12">
        <v>0.37</v>
      </c>
      <c r="M223" s="12">
        <v>0.45</v>
      </c>
      <c r="N223">
        <f t="shared" si="61"/>
        <v>14.140415667466026</v>
      </c>
      <c r="O223">
        <f t="shared" si="62"/>
        <v>0.52333333333333332</v>
      </c>
      <c r="P223" s="6">
        <f t="shared" si="65"/>
        <v>7.4001508659738873</v>
      </c>
      <c r="R223">
        <f t="shared" si="63"/>
        <v>0.91700000000000004</v>
      </c>
      <c r="S223" t="str">
        <f t="shared" si="66"/>
        <v>Yes</v>
      </c>
      <c r="T223" t="str">
        <f t="shared" si="64"/>
        <v>Yes</v>
      </c>
    </row>
    <row r="224" spans="1:20" x14ac:dyDescent="0.3">
      <c r="A224" s="3">
        <v>2</v>
      </c>
      <c r="B224" s="3">
        <v>2</v>
      </c>
      <c r="C224" s="3">
        <v>2</v>
      </c>
      <c r="D224" s="16">
        <v>3</v>
      </c>
      <c r="E224">
        <v>8.5</v>
      </c>
      <c r="G224">
        <v>15.8</v>
      </c>
      <c r="H224">
        <v>16.809999999999999</v>
      </c>
      <c r="I224">
        <v>17.88</v>
      </c>
      <c r="J224">
        <v>18.899999999999999</v>
      </c>
      <c r="K224" s="12">
        <v>0.59</v>
      </c>
      <c r="L224" s="12">
        <v>0.36</v>
      </c>
      <c r="M224" s="12">
        <v>0.4</v>
      </c>
      <c r="N224">
        <f t="shared" si="61"/>
        <v>17.347905675459614</v>
      </c>
      <c r="O224">
        <f t="shared" si="62"/>
        <v>0.49</v>
      </c>
      <c r="P224" s="6">
        <f t="shared" si="65"/>
        <v>8.5004737809752111</v>
      </c>
      <c r="R224">
        <f t="shared" si="63"/>
        <v>0.63769999999999993</v>
      </c>
      <c r="S224" t="str">
        <f t="shared" si="66"/>
        <v>Yes</v>
      </c>
      <c r="T224" t="str">
        <f t="shared" si="64"/>
        <v>Yes</v>
      </c>
    </row>
    <row r="225" spans="1:20" x14ac:dyDescent="0.3">
      <c r="A225" s="3">
        <v>2</v>
      </c>
      <c r="B225" s="3">
        <v>2</v>
      </c>
      <c r="C225" s="3">
        <v>2</v>
      </c>
      <c r="D225" s="17">
        <v>4</v>
      </c>
      <c r="E225">
        <v>5.7</v>
      </c>
      <c r="G225">
        <v>15.8</v>
      </c>
      <c r="H225">
        <v>16.75</v>
      </c>
      <c r="I225">
        <v>17.850000000000001</v>
      </c>
      <c r="J225">
        <v>18.7</v>
      </c>
      <c r="K225" s="12">
        <v>0.36</v>
      </c>
      <c r="L225" s="12">
        <v>0.37</v>
      </c>
      <c r="M225" s="12">
        <v>0.63</v>
      </c>
      <c r="N225">
        <f t="shared" si="61"/>
        <v>17.27125000000002</v>
      </c>
      <c r="O225">
        <f t="shared" si="62"/>
        <v>0.33</v>
      </c>
      <c r="P225" s="6">
        <f t="shared" si="65"/>
        <v>5.6995125000000071</v>
      </c>
      <c r="R225">
        <f t="shared" si="63"/>
        <v>0.66339999999999999</v>
      </c>
      <c r="S225" t="str">
        <f t="shared" si="66"/>
        <v>Yes</v>
      </c>
      <c r="T225" t="str">
        <f t="shared" si="64"/>
        <v>Yes</v>
      </c>
    </row>
    <row r="226" spans="1:20" x14ac:dyDescent="0.3">
      <c r="A226" s="3">
        <v>2</v>
      </c>
      <c r="B226" s="3">
        <v>2</v>
      </c>
      <c r="C226" s="3">
        <v>2</v>
      </c>
      <c r="D226" s="5">
        <v>5</v>
      </c>
      <c r="E226">
        <v>8.1999999999999993</v>
      </c>
      <c r="G226">
        <v>14.72</v>
      </c>
      <c r="H226">
        <v>15.8</v>
      </c>
      <c r="I226">
        <v>16.8</v>
      </c>
      <c r="J226">
        <v>17.850000000000001</v>
      </c>
      <c r="K226" s="12">
        <v>0.39</v>
      </c>
      <c r="L226" s="12">
        <v>0.18</v>
      </c>
      <c r="M226" s="12">
        <v>0.52</v>
      </c>
      <c r="N226">
        <f t="shared" si="61"/>
        <v>16.291210653753012</v>
      </c>
      <c r="O226">
        <f t="shared" si="62"/>
        <v>0.5033333333333333</v>
      </c>
      <c r="P226" s="6">
        <f t="shared" si="65"/>
        <v>8.1999093623890147</v>
      </c>
      <c r="R226">
        <f t="shared" si="63"/>
        <v>0.45490000000000003</v>
      </c>
      <c r="S226" t="str">
        <f t="shared" si="66"/>
        <v>Yes</v>
      </c>
      <c r="T226" t="str">
        <f t="shared" si="64"/>
        <v>Yes</v>
      </c>
    </row>
    <row r="227" spans="1:20" x14ac:dyDescent="0.3">
      <c r="A227" s="3">
        <v>2</v>
      </c>
      <c r="B227" s="3">
        <v>2</v>
      </c>
      <c r="C227" s="3">
        <v>2</v>
      </c>
      <c r="D227" s="18">
        <v>6</v>
      </c>
      <c r="E227">
        <v>6.3</v>
      </c>
      <c r="G227">
        <v>8.74</v>
      </c>
      <c r="H227">
        <v>9.75</v>
      </c>
      <c r="I227">
        <v>10.78</v>
      </c>
      <c r="J227">
        <v>11.62</v>
      </c>
      <c r="K227" s="12">
        <v>0.72</v>
      </c>
      <c r="L227" s="12">
        <v>0.21</v>
      </c>
      <c r="M227" s="12">
        <v>0.45</v>
      </c>
      <c r="N227">
        <f t="shared" si="61"/>
        <v>10.215797101449278</v>
      </c>
      <c r="O227">
        <f t="shared" si="62"/>
        <v>0.6166666666666667</v>
      </c>
      <c r="P227" s="6">
        <f t="shared" si="65"/>
        <v>6.2997415458937214</v>
      </c>
      <c r="R227">
        <f t="shared" si="63"/>
        <v>0.76500000000000001</v>
      </c>
      <c r="S227" t="str">
        <f t="shared" si="66"/>
        <v>Yes</v>
      </c>
      <c r="T227" t="str">
        <f t="shared" si="64"/>
        <v>Yes</v>
      </c>
    </row>
    <row r="228" spans="1:20" x14ac:dyDescent="0.3">
      <c r="A228" s="3">
        <v>2</v>
      </c>
      <c r="B228" s="3">
        <v>2</v>
      </c>
      <c r="C228" s="16">
        <v>3</v>
      </c>
      <c r="D228" s="15">
        <v>1</v>
      </c>
      <c r="E228">
        <v>7.2</v>
      </c>
      <c r="G228">
        <v>10.31</v>
      </c>
      <c r="H228">
        <v>11.23</v>
      </c>
      <c r="I228">
        <v>12.45</v>
      </c>
      <c r="J228">
        <v>13.24</v>
      </c>
      <c r="K228">
        <v>0.75</v>
      </c>
      <c r="L228">
        <v>0.27</v>
      </c>
      <c r="M228">
        <v>0.38</v>
      </c>
      <c r="N228">
        <f t="shared" si="61"/>
        <v>11.80303614457832</v>
      </c>
      <c r="O228">
        <f t="shared" si="62"/>
        <v>0.61</v>
      </c>
      <c r="P228" s="6">
        <f t="shared" si="65"/>
        <v>7.199852048192775</v>
      </c>
      <c r="R228">
        <f t="shared" si="63"/>
        <v>0.77979999999999994</v>
      </c>
      <c r="S228" t="str">
        <f t="shared" si="66"/>
        <v>Yes</v>
      </c>
      <c r="T228" t="str">
        <f t="shared" si="64"/>
        <v>Yes</v>
      </c>
    </row>
    <row r="229" spans="1:20" x14ac:dyDescent="0.3">
      <c r="A229" s="3">
        <v>2</v>
      </c>
      <c r="B229" s="3">
        <v>2</v>
      </c>
      <c r="C229" s="16">
        <v>3</v>
      </c>
      <c r="D229" s="3">
        <v>2</v>
      </c>
      <c r="E229">
        <v>5.2</v>
      </c>
      <c r="G229">
        <v>10.55</v>
      </c>
      <c r="H229">
        <v>11.62</v>
      </c>
      <c r="I229">
        <v>12.62</v>
      </c>
      <c r="J229">
        <v>13.6</v>
      </c>
      <c r="K229" s="12">
        <v>0.46</v>
      </c>
      <c r="L229" s="12">
        <v>0.31</v>
      </c>
      <c r="M229" s="12">
        <v>0.55000000000000004</v>
      </c>
      <c r="N229">
        <f t="shared" si="61"/>
        <v>12.093703703703698</v>
      </c>
      <c r="O229">
        <f t="shared" si="62"/>
        <v>0.43</v>
      </c>
      <c r="P229" s="6">
        <f t="shared" si="65"/>
        <v>5.2002925925925902</v>
      </c>
      <c r="R229">
        <f t="shared" si="63"/>
        <v>0.61020000000000008</v>
      </c>
      <c r="S229" t="str">
        <f t="shared" si="66"/>
        <v>Yes</v>
      </c>
      <c r="T229" t="str">
        <f t="shared" si="64"/>
        <v>Yes</v>
      </c>
    </row>
    <row r="230" spans="1:20" x14ac:dyDescent="0.3">
      <c r="A230" s="3">
        <v>2</v>
      </c>
      <c r="B230" s="3">
        <v>2</v>
      </c>
      <c r="C230" s="16">
        <v>3</v>
      </c>
      <c r="D230" s="16">
        <v>3</v>
      </c>
      <c r="E230">
        <v>6.4</v>
      </c>
      <c r="G230">
        <v>9.6999999999999993</v>
      </c>
      <c r="H230">
        <v>10.79</v>
      </c>
      <c r="I230">
        <v>11.8</v>
      </c>
      <c r="J230">
        <v>12.2</v>
      </c>
      <c r="K230" s="12">
        <v>0.61</v>
      </c>
      <c r="L230" s="12">
        <v>0.26</v>
      </c>
      <c r="M230" s="12">
        <v>0.36</v>
      </c>
      <c r="N230">
        <f t="shared" si="61"/>
        <v>11.098091168091171</v>
      </c>
      <c r="O230">
        <f t="shared" si="62"/>
        <v>0.57666666666666666</v>
      </c>
      <c r="P230" s="6">
        <f t="shared" si="65"/>
        <v>6.399899240265909</v>
      </c>
      <c r="R230">
        <f t="shared" si="63"/>
        <v>0.56929999999999992</v>
      </c>
      <c r="S230" t="str">
        <f t="shared" si="66"/>
        <v>Yes</v>
      </c>
      <c r="T230" t="str">
        <f t="shared" si="64"/>
        <v>Yes</v>
      </c>
    </row>
    <row r="231" spans="1:20" x14ac:dyDescent="0.3">
      <c r="A231" s="3">
        <v>2</v>
      </c>
      <c r="B231" s="3">
        <v>2</v>
      </c>
      <c r="C231" s="16">
        <v>3</v>
      </c>
      <c r="D231" s="17">
        <v>4</v>
      </c>
      <c r="E231">
        <v>8.1999999999999993</v>
      </c>
      <c r="G231">
        <v>14.1</v>
      </c>
      <c r="H231">
        <v>15.1</v>
      </c>
      <c r="I231">
        <v>16.09</v>
      </c>
      <c r="J231">
        <v>17</v>
      </c>
      <c r="K231" s="12">
        <v>0.55000000000000004</v>
      </c>
      <c r="L231" s="12">
        <v>0.43</v>
      </c>
      <c r="M231" s="12">
        <v>0.11</v>
      </c>
      <c r="N231">
        <f t="shared" si="61"/>
        <v>15.568817480719781</v>
      </c>
      <c r="O231">
        <f t="shared" si="62"/>
        <v>0.52666666666666673</v>
      </c>
      <c r="P231" s="6">
        <f t="shared" si="65"/>
        <v>8.1995772065124193</v>
      </c>
      <c r="R231">
        <f t="shared" si="63"/>
        <v>0.49950000000000006</v>
      </c>
      <c r="S231" t="str">
        <f t="shared" si="66"/>
        <v>Yes</v>
      </c>
      <c r="T231" t="str">
        <f t="shared" si="64"/>
        <v>Yes</v>
      </c>
    </row>
    <row r="232" spans="1:20" x14ac:dyDescent="0.3">
      <c r="A232" s="3">
        <v>2</v>
      </c>
      <c r="B232" s="3">
        <v>2</v>
      </c>
      <c r="C232" s="16">
        <v>3</v>
      </c>
      <c r="D232" s="5">
        <v>5</v>
      </c>
      <c r="E232">
        <v>5.0999999999999996</v>
      </c>
      <c r="G232">
        <v>7.1</v>
      </c>
      <c r="H232">
        <v>8.1</v>
      </c>
      <c r="I232">
        <v>9.09</v>
      </c>
      <c r="J232">
        <v>10.09</v>
      </c>
      <c r="K232" s="12">
        <v>0.7</v>
      </c>
      <c r="L232" s="12">
        <v>0.27</v>
      </c>
      <c r="M232" s="12">
        <v>0.38</v>
      </c>
      <c r="N232">
        <f t="shared" si="61"/>
        <v>8.5950000000000024</v>
      </c>
      <c r="O232">
        <f t="shared" si="62"/>
        <v>0.59333333333333327</v>
      </c>
      <c r="P232" s="6">
        <f t="shared" si="65"/>
        <v>5.0997000000000012</v>
      </c>
      <c r="R232">
        <f t="shared" si="63"/>
        <v>0.70729999999999993</v>
      </c>
      <c r="S232" t="str">
        <f t="shared" si="66"/>
        <v>Yes</v>
      </c>
      <c r="T232" t="str">
        <f t="shared" si="64"/>
        <v>Yes</v>
      </c>
    </row>
    <row r="233" spans="1:20" x14ac:dyDescent="0.3">
      <c r="A233" s="3">
        <v>2</v>
      </c>
      <c r="B233" s="3">
        <v>2</v>
      </c>
      <c r="C233" s="16">
        <v>3</v>
      </c>
      <c r="D233" s="18">
        <v>6</v>
      </c>
      <c r="E233">
        <v>6.3</v>
      </c>
      <c r="G233">
        <v>9.19</v>
      </c>
      <c r="H233">
        <v>10.11</v>
      </c>
      <c r="I233">
        <v>11.2</v>
      </c>
      <c r="J233">
        <v>12.2</v>
      </c>
      <c r="K233" s="12">
        <v>0.56000000000000005</v>
      </c>
      <c r="L233" s="12">
        <v>0.31</v>
      </c>
      <c r="M233" s="12">
        <v>0.17</v>
      </c>
      <c r="N233">
        <f t="shared" si="61"/>
        <v>10.678121951219513</v>
      </c>
      <c r="O233">
        <f t="shared" si="62"/>
        <v>0.59</v>
      </c>
      <c r="P233" s="6">
        <f t="shared" si="65"/>
        <v>6.3000919512195122</v>
      </c>
      <c r="R233">
        <f t="shared" si="63"/>
        <v>0.43860000000000005</v>
      </c>
      <c r="S233" t="str">
        <f t="shared" si="66"/>
        <v>Yes</v>
      </c>
      <c r="T233" t="str">
        <f t="shared" si="64"/>
        <v>Yes</v>
      </c>
    </row>
    <row r="234" spans="1:20" x14ac:dyDescent="0.3">
      <c r="A234" s="3">
        <v>2</v>
      </c>
      <c r="B234" s="16">
        <v>3</v>
      </c>
      <c r="C234" s="15">
        <v>1</v>
      </c>
      <c r="D234" s="15">
        <v>1</v>
      </c>
      <c r="E234">
        <v>5.5</v>
      </c>
      <c r="G234">
        <v>15.2</v>
      </c>
      <c r="H234">
        <v>16.100000000000001</v>
      </c>
      <c r="I234">
        <v>17.2</v>
      </c>
      <c r="J234">
        <v>18.16</v>
      </c>
      <c r="K234">
        <v>0.38</v>
      </c>
      <c r="L234">
        <v>0.31</v>
      </c>
      <c r="M234">
        <v>0.77</v>
      </c>
      <c r="N234">
        <f t="shared" si="61"/>
        <v>16.667290640394086</v>
      </c>
      <c r="O234">
        <f t="shared" si="62"/>
        <v>0.33</v>
      </c>
      <c r="P234" s="6">
        <f t="shared" si="65"/>
        <v>5.5002059113300481</v>
      </c>
      <c r="R234">
        <f t="shared" si="63"/>
        <v>0.83339999999999992</v>
      </c>
      <c r="S234" t="str">
        <f t="shared" si="66"/>
        <v>Yes</v>
      </c>
      <c r="T234" t="str">
        <f t="shared" si="64"/>
        <v>Yes</v>
      </c>
    </row>
    <row r="235" spans="1:20" x14ac:dyDescent="0.3">
      <c r="A235" s="3">
        <v>2</v>
      </c>
      <c r="B235" s="16">
        <v>3</v>
      </c>
      <c r="C235" s="15">
        <v>1</v>
      </c>
      <c r="D235" s="3">
        <v>2</v>
      </c>
      <c r="E235">
        <v>6.2</v>
      </c>
      <c r="G235">
        <v>10.15</v>
      </c>
      <c r="H235">
        <v>11.12</v>
      </c>
      <c r="I235">
        <v>12.12</v>
      </c>
      <c r="J235">
        <v>13.11</v>
      </c>
      <c r="K235">
        <v>0.67</v>
      </c>
      <c r="L235">
        <v>0.44</v>
      </c>
      <c r="M235">
        <v>0.19</v>
      </c>
      <c r="N235">
        <f t="shared" si="61"/>
        <v>11.625824915824927</v>
      </c>
      <c r="O235">
        <f t="shared" si="62"/>
        <v>0.53333333333333333</v>
      </c>
      <c r="P235" s="6">
        <f t="shared" si="65"/>
        <v>6.2004399551066278</v>
      </c>
      <c r="R235">
        <f t="shared" si="63"/>
        <v>0.67860000000000009</v>
      </c>
      <c r="S235" t="str">
        <f t="shared" si="66"/>
        <v>Yes</v>
      </c>
      <c r="T235" t="str">
        <f t="shared" si="64"/>
        <v>Yes</v>
      </c>
    </row>
    <row r="236" spans="1:20" x14ac:dyDescent="0.3">
      <c r="A236" s="3">
        <v>2</v>
      </c>
      <c r="B236" s="16">
        <v>3</v>
      </c>
      <c r="C236" s="15">
        <v>1</v>
      </c>
      <c r="D236" s="16">
        <v>3</v>
      </c>
      <c r="E236">
        <v>7.3</v>
      </c>
      <c r="G236">
        <v>16.7</v>
      </c>
      <c r="H236">
        <v>17.66</v>
      </c>
      <c r="I236" s="11">
        <v>18.8</v>
      </c>
      <c r="J236">
        <v>19.3</v>
      </c>
      <c r="K236">
        <v>0.62</v>
      </c>
      <c r="L236">
        <v>0.39</v>
      </c>
      <c r="M236">
        <v>0.63</v>
      </c>
      <c r="N236">
        <f t="shared" si="61"/>
        <v>18.10003565062388</v>
      </c>
      <c r="O236">
        <f t="shared" si="62"/>
        <v>0.40333333333333332</v>
      </c>
      <c r="P236" s="6">
        <f t="shared" si="65"/>
        <v>7.3003477124182981</v>
      </c>
      <c r="R236">
        <f t="shared" si="63"/>
        <v>0.93340000000000001</v>
      </c>
      <c r="S236" t="str">
        <f t="shared" si="66"/>
        <v>Yes</v>
      </c>
      <c r="T236" t="str">
        <f t="shared" si="64"/>
        <v>Yes</v>
      </c>
    </row>
    <row r="237" spans="1:20" x14ac:dyDescent="0.3">
      <c r="A237" s="3">
        <v>2</v>
      </c>
      <c r="B237" s="16">
        <v>3</v>
      </c>
      <c r="C237" s="15">
        <v>1</v>
      </c>
      <c r="D237" s="17">
        <v>4</v>
      </c>
      <c r="E237">
        <v>4.5999999999999996</v>
      </c>
      <c r="G237">
        <v>7.7</v>
      </c>
      <c r="H237">
        <v>8.65</v>
      </c>
      <c r="I237">
        <v>9.6</v>
      </c>
      <c r="J237">
        <v>10.6</v>
      </c>
      <c r="K237">
        <v>0.56000000000000005</v>
      </c>
      <c r="L237">
        <v>0.38</v>
      </c>
      <c r="M237">
        <v>0.28999999999999998</v>
      </c>
      <c r="N237">
        <f t="shared" si="61"/>
        <v>9.1396103896103842</v>
      </c>
      <c r="O237">
        <f t="shared" si="62"/>
        <v>0.5033333333333333</v>
      </c>
      <c r="P237" s="6">
        <f t="shared" si="65"/>
        <v>4.60027056277056</v>
      </c>
      <c r="R237">
        <f t="shared" si="63"/>
        <v>0.54210000000000003</v>
      </c>
      <c r="S237" t="str">
        <f t="shared" si="66"/>
        <v>Yes</v>
      </c>
      <c r="T237" t="str">
        <f t="shared" si="64"/>
        <v>Yes</v>
      </c>
    </row>
    <row r="238" spans="1:20" x14ac:dyDescent="0.3">
      <c r="A238" s="3">
        <v>2</v>
      </c>
      <c r="B238" s="16">
        <v>3</v>
      </c>
      <c r="C238" s="15">
        <v>1</v>
      </c>
      <c r="D238" s="5">
        <v>5</v>
      </c>
      <c r="E238">
        <v>6.7</v>
      </c>
      <c r="G238">
        <v>10.76</v>
      </c>
      <c r="H238">
        <v>11.91</v>
      </c>
      <c r="I238">
        <v>12.9</v>
      </c>
      <c r="J238">
        <v>13.8</v>
      </c>
      <c r="K238">
        <v>0.65</v>
      </c>
      <c r="L238">
        <v>0.37</v>
      </c>
      <c r="M238">
        <v>0.28000000000000003</v>
      </c>
      <c r="N238">
        <f t="shared" si="61"/>
        <v>12.331902398676579</v>
      </c>
      <c r="O238">
        <f t="shared" si="62"/>
        <v>0.54333333333333333</v>
      </c>
      <c r="P238" s="6">
        <f t="shared" si="65"/>
        <v>6.7003336366142747</v>
      </c>
      <c r="R238">
        <f t="shared" si="63"/>
        <v>0.63780000000000003</v>
      </c>
      <c r="S238" t="str">
        <f t="shared" si="66"/>
        <v>Yes</v>
      </c>
      <c r="T238" t="str">
        <f t="shared" si="64"/>
        <v>Yes</v>
      </c>
    </row>
    <row r="239" spans="1:20" x14ac:dyDescent="0.3">
      <c r="A239" s="3">
        <v>2</v>
      </c>
      <c r="B239" s="16">
        <v>3</v>
      </c>
      <c r="C239" s="15">
        <v>1</v>
      </c>
      <c r="D239" s="18">
        <v>6</v>
      </c>
      <c r="E239">
        <v>7.8</v>
      </c>
      <c r="G239">
        <v>13.24</v>
      </c>
      <c r="H239">
        <v>14.23</v>
      </c>
      <c r="I239">
        <v>15.2</v>
      </c>
      <c r="J239">
        <v>16.2</v>
      </c>
      <c r="K239">
        <v>0.57999999999999996</v>
      </c>
      <c r="L239">
        <v>0.36</v>
      </c>
      <c r="M239">
        <v>0.27</v>
      </c>
      <c r="N239">
        <f t="shared" si="61"/>
        <v>14.717921967769309</v>
      </c>
      <c r="O239">
        <f t="shared" si="62"/>
        <v>0.52999999999999992</v>
      </c>
      <c r="P239" s="6">
        <f t="shared" si="65"/>
        <v>7.8004986429177325</v>
      </c>
      <c r="R239">
        <f t="shared" si="63"/>
        <v>0.53889999999999993</v>
      </c>
      <c r="S239" t="str">
        <f t="shared" si="66"/>
        <v>Yes</v>
      </c>
      <c r="T239" t="str">
        <f t="shared" si="64"/>
        <v>Yes</v>
      </c>
    </row>
    <row r="240" spans="1:20" x14ac:dyDescent="0.3">
      <c r="A240" s="3">
        <v>2</v>
      </c>
      <c r="B240" s="16">
        <v>3</v>
      </c>
      <c r="C240" s="3">
        <v>2</v>
      </c>
      <c r="D240" s="15">
        <v>1</v>
      </c>
      <c r="E240">
        <v>3.3</v>
      </c>
      <c r="G240">
        <v>9.1</v>
      </c>
      <c r="H240">
        <v>10.18</v>
      </c>
      <c r="I240">
        <v>11.1</v>
      </c>
      <c r="J240">
        <v>12.2</v>
      </c>
      <c r="K240">
        <v>0.1</v>
      </c>
      <c r="L240">
        <v>0.37</v>
      </c>
      <c r="M240">
        <v>0.43</v>
      </c>
      <c r="N240">
        <f t="shared" si="61"/>
        <v>10.645903814262029</v>
      </c>
      <c r="O240">
        <f t="shared" si="62"/>
        <v>0.31</v>
      </c>
      <c r="P240" s="6">
        <f t="shared" si="65"/>
        <v>3.3002301824212288</v>
      </c>
      <c r="R240">
        <f t="shared" si="63"/>
        <v>0.33179999999999998</v>
      </c>
      <c r="S240" t="str">
        <f t="shared" si="66"/>
        <v>Yes</v>
      </c>
      <c r="T240" t="str">
        <f t="shared" si="64"/>
        <v>Yes</v>
      </c>
    </row>
    <row r="241" spans="1:20" x14ac:dyDescent="0.3">
      <c r="A241" s="3">
        <v>2</v>
      </c>
      <c r="B241" s="16">
        <v>3</v>
      </c>
      <c r="C241" s="3">
        <v>2</v>
      </c>
      <c r="D241" s="3">
        <v>2</v>
      </c>
      <c r="E241">
        <v>4.4000000000000004</v>
      </c>
      <c r="G241">
        <v>5.1100000000000003</v>
      </c>
      <c r="H241">
        <v>6.13</v>
      </c>
      <c r="I241">
        <v>7.04</v>
      </c>
      <c r="J241">
        <v>8</v>
      </c>
      <c r="K241">
        <v>0.76</v>
      </c>
      <c r="L241">
        <v>0.28999999999999998</v>
      </c>
      <c r="M241">
        <v>0.17</v>
      </c>
      <c r="N241">
        <f t="shared" si="61"/>
        <v>6.5673947368421066</v>
      </c>
      <c r="O241">
        <f t="shared" si="62"/>
        <v>0.67</v>
      </c>
      <c r="P241" s="6">
        <f t="shared" si="65"/>
        <v>4.4001544736842115</v>
      </c>
      <c r="R241">
        <f t="shared" si="63"/>
        <v>0.69059999999999999</v>
      </c>
      <c r="S241" t="str">
        <f t="shared" si="66"/>
        <v>Yes</v>
      </c>
      <c r="T241" t="str">
        <f t="shared" si="64"/>
        <v>Yes</v>
      </c>
    </row>
    <row r="242" spans="1:20" x14ac:dyDescent="0.3">
      <c r="A242" s="3">
        <v>2</v>
      </c>
      <c r="B242" s="16">
        <v>3</v>
      </c>
      <c r="C242" s="3">
        <v>2</v>
      </c>
      <c r="D242" s="16">
        <v>3</v>
      </c>
      <c r="E242">
        <v>6.2</v>
      </c>
      <c r="G242">
        <v>10.1</v>
      </c>
      <c r="H242">
        <v>11.11</v>
      </c>
      <c r="I242">
        <v>12</v>
      </c>
      <c r="J242">
        <v>13</v>
      </c>
      <c r="K242">
        <v>0.57999999999999996</v>
      </c>
      <c r="L242">
        <v>0.37</v>
      </c>
      <c r="M242">
        <v>0.23</v>
      </c>
      <c r="N242">
        <f t="shared" si="61"/>
        <v>11.552058047493404</v>
      </c>
      <c r="O242">
        <f t="shared" si="62"/>
        <v>0.53666666666666663</v>
      </c>
      <c r="P242" s="6">
        <f t="shared" si="65"/>
        <v>6.199604485488126</v>
      </c>
      <c r="R242">
        <f t="shared" si="63"/>
        <v>0.5262</v>
      </c>
      <c r="S242" t="str">
        <f t="shared" si="66"/>
        <v>Yes</v>
      </c>
      <c r="T242" t="str">
        <f t="shared" si="64"/>
        <v>Yes</v>
      </c>
    </row>
    <row r="243" spans="1:20" x14ac:dyDescent="0.3">
      <c r="A243" s="3">
        <v>2</v>
      </c>
      <c r="B243" s="16">
        <v>3</v>
      </c>
      <c r="C243" s="3">
        <v>2</v>
      </c>
      <c r="D243" s="17">
        <v>4</v>
      </c>
      <c r="E243">
        <v>7.5</v>
      </c>
      <c r="G243">
        <v>11.56</v>
      </c>
      <c r="H243">
        <v>12.31</v>
      </c>
      <c r="I243">
        <v>13.2</v>
      </c>
      <c r="J243">
        <v>14.3</v>
      </c>
      <c r="K243">
        <v>0.76</v>
      </c>
      <c r="L243">
        <v>0.39</v>
      </c>
      <c r="M243">
        <v>0.23</v>
      </c>
      <c r="N243">
        <f t="shared" si="61"/>
        <v>12.857364554637284</v>
      </c>
      <c r="O243">
        <f t="shared" si="62"/>
        <v>0.58333333333333337</v>
      </c>
      <c r="P243" s="6">
        <f t="shared" si="65"/>
        <v>7.5001293235384159</v>
      </c>
      <c r="R243">
        <f t="shared" si="63"/>
        <v>0.78259999999999996</v>
      </c>
      <c r="S243" t="str">
        <f t="shared" si="66"/>
        <v>Yes</v>
      </c>
      <c r="T243" t="str">
        <f t="shared" si="64"/>
        <v>Yes</v>
      </c>
    </row>
    <row r="244" spans="1:20" x14ac:dyDescent="0.3">
      <c r="A244" s="3">
        <v>2</v>
      </c>
      <c r="B244" s="16">
        <v>3</v>
      </c>
      <c r="C244" s="3">
        <v>2</v>
      </c>
      <c r="D244" s="5">
        <v>5</v>
      </c>
      <c r="E244">
        <v>3.2</v>
      </c>
      <c r="G244">
        <v>7.21</v>
      </c>
      <c r="H244">
        <v>8.25</v>
      </c>
      <c r="I244">
        <v>9.24</v>
      </c>
      <c r="J244">
        <v>10.220000000000001</v>
      </c>
      <c r="K244">
        <v>0.65</v>
      </c>
      <c r="L244">
        <v>0.68</v>
      </c>
      <c r="M244">
        <v>0.19</v>
      </c>
      <c r="N244">
        <f t="shared" si="61"/>
        <v>8.7274749999999983</v>
      </c>
      <c r="O244">
        <f t="shared" si="62"/>
        <v>0.36666666666666664</v>
      </c>
      <c r="P244" s="6">
        <f t="shared" si="65"/>
        <v>3.2000741666666657</v>
      </c>
      <c r="R244">
        <f t="shared" si="63"/>
        <v>0.92100000000000015</v>
      </c>
      <c r="S244" t="str">
        <f t="shared" si="66"/>
        <v>Yes</v>
      </c>
      <c r="T244" t="str">
        <f t="shared" si="64"/>
        <v>Yes</v>
      </c>
    </row>
    <row r="245" spans="1:20" x14ac:dyDescent="0.3">
      <c r="A245" s="3">
        <v>2</v>
      </c>
      <c r="B245" s="16">
        <v>3</v>
      </c>
      <c r="C245" s="3">
        <v>2</v>
      </c>
      <c r="D245" s="18">
        <v>6</v>
      </c>
      <c r="E245">
        <v>5.5</v>
      </c>
      <c r="G245">
        <v>9.8000000000000007</v>
      </c>
      <c r="H245">
        <v>10.7</v>
      </c>
      <c r="I245">
        <v>11.8</v>
      </c>
      <c r="J245">
        <v>12.61</v>
      </c>
      <c r="K245">
        <v>0.65</v>
      </c>
      <c r="L245">
        <v>0.38</v>
      </c>
      <c r="M245">
        <v>0.42</v>
      </c>
      <c r="N245">
        <f t="shared" si="61"/>
        <v>11.224219948849102</v>
      </c>
      <c r="O245">
        <f t="shared" si="62"/>
        <v>0.49</v>
      </c>
      <c r="P245" s="6">
        <f t="shared" si="65"/>
        <v>5.4998677749360603</v>
      </c>
      <c r="R245">
        <f t="shared" si="63"/>
        <v>0.74330000000000007</v>
      </c>
      <c r="S245" t="str">
        <f t="shared" si="66"/>
        <v>Yes</v>
      </c>
      <c r="T245" t="str">
        <f t="shared" si="64"/>
        <v>Yes</v>
      </c>
    </row>
    <row r="246" spans="1:20" x14ac:dyDescent="0.3">
      <c r="A246" s="3">
        <v>2</v>
      </c>
      <c r="B246" s="16">
        <v>3</v>
      </c>
      <c r="C246" s="16">
        <v>3</v>
      </c>
      <c r="D246" s="15">
        <v>1</v>
      </c>
      <c r="E246">
        <v>5.3</v>
      </c>
      <c r="G246">
        <v>8.15</v>
      </c>
      <c r="H246">
        <v>9.1</v>
      </c>
      <c r="I246">
        <v>10.199999999999999</v>
      </c>
      <c r="J246">
        <v>11.1</v>
      </c>
      <c r="K246">
        <v>0.76</v>
      </c>
      <c r="L246">
        <v>0.45</v>
      </c>
      <c r="M246">
        <v>0.21</v>
      </c>
      <c r="N246">
        <f t="shared" si="61"/>
        <v>9.635596707818932</v>
      </c>
      <c r="O246">
        <f t="shared" si="62"/>
        <v>0.54999999999999993</v>
      </c>
      <c r="P246" s="6">
        <f t="shared" si="65"/>
        <v>5.2995781893004121</v>
      </c>
      <c r="R246">
        <f t="shared" si="63"/>
        <v>0.82420000000000004</v>
      </c>
      <c r="S246" t="str">
        <f t="shared" si="66"/>
        <v>Yes</v>
      </c>
      <c r="T246" t="str">
        <f t="shared" si="64"/>
        <v>Yes</v>
      </c>
    </row>
    <row r="247" spans="1:20" x14ac:dyDescent="0.3">
      <c r="A247" s="3">
        <v>2</v>
      </c>
      <c r="B247" s="16">
        <v>3</v>
      </c>
      <c r="C247" s="16">
        <v>3</v>
      </c>
      <c r="D247" s="3">
        <v>2</v>
      </c>
      <c r="E247">
        <v>7.5</v>
      </c>
      <c r="G247">
        <v>9.6999999999999993</v>
      </c>
      <c r="H247">
        <v>10.6</v>
      </c>
      <c r="I247">
        <v>11.28</v>
      </c>
      <c r="J247">
        <v>12.3</v>
      </c>
      <c r="K247">
        <v>0.65</v>
      </c>
      <c r="L247">
        <v>0.16</v>
      </c>
      <c r="M247">
        <v>0.28000000000000003</v>
      </c>
      <c r="N247">
        <f t="shared" si="61"/>
        <v>10.975853658536591</v>
      </c>
      <c r="O247">
        <f t="shared" si="62"/>
        <v>0.68333333333333324</v>
      </c>
      <c r="P247" s="6">
        <f t="shared" si="65"/>
        <v>7.5001666666666695</v>
      </c>
      <c r="R247">
        <f t="shared" si="63"/>
        <v>0.52650000000000008</v>
      </c>
      <c r="S247" t="str">
        <f t="shared" si="66"/>
        <v>Yes</v>
      </c>
      <c r="T247" t="str">
        <f t="shared" si="64"/>
        <v>Yes</v>
      </c>
    </row>
    <row r="248" spans="1:20" x14ac:dyDescent="0.3">
      <c r="A248" s="3">
        <v>2</v>
      </c>
      <c r="B248" s="16">
        <v>3</v>
      </c>
      <c r="C248" s="16">
        <v>3</v>
      </c>
      <c r="D248" s="16">
        <v>3</v>
      </c>
      <c r="E248">
        <v>4.7</v>
      </c>
      <c r="G248">
        <v>6</v>
      </c>
      <c r="H248">
        <v>7</v>
      </c>
      <c r="I248">
        <v>8</v>
      </c>
      <c r="J248">
        <v>9</v>
      </c>
      <c r="K248">
        <v>0.75</v>
      </c>
      <c r="L248">
        <v>0.38</v>
      </c>
      <c r="M248">
        <v>0.11</v>
      </c>
      <c r="N248">
        <f t="shared" si="61"/>
        <v>7.5</v>
      </c>
      <c r="O248">
        <f t="shared" si="62"/>
        <v>0.62666666666666659</v>
      </c>
      <c r="P248" s="6">
        <f t="shared" si="65"/>
        <v>4.6999999999999993</v>
      </c>
      <c r="R248">
        <f t="shared" si="63"/>
        <v>0.71899999999999997</v>
      </c>
      <c r="S248" t="str">
        <f t="shared" si="66"/>
        <v>Yes</v>
      </c>
      <c r="T248" t="str">
        <f t="shared" si="64"/>
        <v>Yes</v>
      </c>
    </row>
    <row r="249" spans="1:20" x14ac:dyDescent="0.3">
      <c r="A249" s="3">
        <v>2</v>
      </c>
      <c r="B249" s="16">
        <v>3</v>
      </c>
      <c r="C249" s="16">
        <v>3</v>
      </c>
      <c r="D249" s="17">
        <v>4</v>
      </c>
      <c r="E249">
        <v>6.8</v>
      </c>
      <c r="G249">
        <v>15.8</v>
      </c>
      <c r="H249">
        <v>16.78</v>
      </c>
      <c r="I249">
        <v>17.760000000000002</v>
      </c>
      <c r="J249">
        <v>18.8</v>
      </c>
      <c r="K249">
        <v>0.32</v>
      </c>
      <c r="L249">
        <v>0.49</v>
      </c>
      <c r="M249">
        <v>0.16</v>
      </c>
      <c r="N249">
        <f t="shared" si="61"/>
        <v>17.287537688442221</v>
      </c>
      <c r="O249">
        <f t="shared" si="62"/>
        <v>0.39333333333333337</v>
      </c>
      <c r="P249" s="6">
        <f t="shared" si="65"/>
        <v>6.7997648241206079</v>
      </c>
      <c r="R249">
        <f t="shared" si="63"/>
        <v>0.36809999999999998</v>
      </c>
      <c r="S249" t="str">
        <f t="shared" si="66"/>
        <v>Yes</v>
      </c>
      <c r="T249" t="str">
        <f t="shared" si="64"/>
        <v>Yes</v>
      </c>
    </row>
    <row r="250" spans="1:20" x14ac:dyDescent="0.3">
      <c r="A250" s="3">
        <v>2</v>
      </c>
      <c r="B250" s="16">
        <v>3</v>
      </c>
      <c r="C250" s="16">
        <v>3</v>
      </c>
      <c r="D250" s="5">
        <v>5</v>
      </c>
      <c r="E250">
        <v>5.6</v>
      </c>
      <c r="G250">
        <v>9</v>
      </c>
      <c r="H250">
        <v>10</v>
      </c>
      <c r="I250">
        <v>11</v>
      </c>
      <c r="J250">
        <v>12</v>
      </c>
      <c r="K250">
        <v>0.65</v>
      </c>
      <c r="L250">
        <v>0.42</v>
      </c>
      <c r="M250">
        <v>0.21</v>
      </c>
      <c r="N250">
        <f t="shared" si="61"/>
        <v>10.5</v>
      </c>
      <c r="O250">
        <f t="shared" si="62"/>
        <v>0.53333333333333333</v>
      </c>
      <c r="P250" s="6">
        <f t="shared" si="65"/>
        <v>5.6</v>
      </c>
      <c r="R250">
        <f t="shared" si="63"/>
        <v>0.64300000000000002</v>
      </c>
      <c r="S250" t="str">
        <f t="shared" si="66"/>
        <v>Yes</v>
      </c>
      <c r="T250" t="str">
        <f t="shared" si="64"/>
        <v>Yes</v>
      </c>
    </row>
    <row r="251" spans="1:20" x14ac:dyDescent="0.3">
      <c r="A251" s="3">
        <v>2</v>
      </c>
      <c r="B251" s="16">
        <v>3</v>
      </c>
      <c r="C251" s="16">
        <v>3</v>
      </c>
      <c r="D251" s="18">
        <v>6</v>
      </c>
      <c r="E251">
        <v>6.1</v>
      </c>
      <c r="G251">
        <v>11.96</v>
      </c>
      <c r="H251">
        <v>12.91</v>
      </c>
      <c r="I251">
        <v>13.95</v>
      </c>
      <c r="J251">
        <v>14.99</v>
      </c>
      <c r="K251">
        <v>0.63</v>
      </c>
      <c r="L251">
        <v>0.47</v>
      </c>
      <c r="M251">
        <v>0.33</v>
      </c>
      <c r="N251">
        <f t="shared" si="61"/>
        <v>13.456167076167086</v>
      </c>
      <c r="O251">
        <f t="shared" si="62"/>
        <v>0.45333333333333337</v>
      </c>
      <c r="P251" s="6">
        <f t="shared" si="65"/>
        <v>6.1001290745290797</v>
      </c>
      <c r="R251">
        <f t="shared" si="63"/>
        <v>0.72670000000000001</v>
      </c>
      <c r="S251" t="str">
        <f t="shared" si="66"/>
        <v>Yes</v>
      </c>
      <c r="T251" t="str">
        <f t="shared" si="64"/>
        <v>Yes</v>
      </c>
    </row>
    <row r="252" spans="1:20" x14ac:dyDescent="0.3">
      <c r="A252" s="16">
        <v>3</v>
      </c>
      <c r="B252" s="15">
        <v>1</v>
      </c>
      <c r="C252" s="15">
        <v>1</v>
      </c>
      <c r="D252" s="15">
        <v>1</v>
      </c>
      <c r="E252">
        <v>5.4</v>
      </c>
      <c r="G252">
        <v>9.44</v>
      </c>
      <c r="H252">
        <v>10.210000000000001</v>
      </c>
      <c r="I252">
        <v>11.2</v>
      </c>
      <c r="J252">
        <v>12.3</v>
      </c>
      <c r="K252">
        <v>0.46</v>
      </c>
      <c r="L252">
        <v>0.37</v>
      </c>
      <c r="M252">
        <v>0.22</v>
      </c>
      <c r="N252">
        <f t="shared" si="61"/>
        <v>10.80085714285714</v>
      </c>
      <c r="O252">
        <f t="shared" si="62"/>
        <v>0.5</v>
      </c>
      <c r="P252" s="6">
        <f t="shared" si="65"/>
        <v>5.40042857142857</v>
      </c>
      <c r="R252">
        <f t="shared" si="63"/>
        <v>0.39690000000000003</v>
      </c>
      <c r="S252" t="str">
        <f t="shared" si="66"/>
        <v>Yes</v>
      </c>
      <c r="T252" t="str">
        <f t="shared" si="64"/>
        <v>Yes</v>
      </c>
    </row>
    <row r="253" spans="1:20" x14ac:dyDescent="0.3">
      <c r="A253" s="16">
        <v>3</v>
      </c>
      <c r="B253" s="15">
        <v>1</v>
      </c>
      <c r="C253" s="15">
        <v>1</v>
      </c>
      <c r="D253" s="3">
        <v>2</v>
      </c>
      <c r="E253">
        <v>6.6</v>
      </c>
      <c r="G253">
        <v>10.3</v>
      </c>
      <c r="H253">
        <v>11.3</v>
      </c>
      <c r="I253">
        <v>12.3</v>
      </c>
      <c r="J253">
        <v>13.25</v>
      </c>
      <c r="K253">
        <v>0.77</v>
      </c>
      <c r="L253">
        <v>0.49</v>
      </c>
      <c r="M253">
        <v>0.11</v>
      </c>
      <c r="N253">
        <f t="shared" si="61"/>
        <v>11.785443037974684</v>
      </c>
      <c r="O253">
        <f t="shared" si="62"/>
        <v>0.56000000000000005</v>
      </c>
      <c r="P253" s="6">
        <f t="shared" si="65"/>
        <v>6.5998481012658239</v>
      </c>
      <c r="R253">
        <f t="shared" si="63"/>
        <v>0.84509999999999996</v>
      </c>
      <c r="S253" t="str">
        <f t="shared" si="66"/>
        <v>Yes</v>
      </c>
      <c r="T253" t="str">
        <f t="shared" si="64"/>
        <v>Yes</v>
      </c>
    </row>
    <row r="254" spans="1:20" x14ac:dyDescent="0.3">
      <c r="A254" s="16">
        <v>3</v>
      </c>
      <c r="B254" s="15">
        <v>1</v>
      </c>
      <c r="C254" s="15">
        <v>1</v>
      </c>
      <c r="D254" s="16">
        <v>3</v>
      </c>
      <c r="E254">
        <v>3.4</v>
      </c>
      <c r="G254">
        <v>4.0999999999999996</v>
      </c>
      <c r="H254">
        <v>5.0999999999999996</v>
      </c>
      <c r="I254">
        <v>6.13</v>
      </c>
      <c r="J254">
        <v>7.2</v>
      </c>
      <c r="K254">
        <v>0.65</v>
      </c>
      <c r="L254">
        <v>0.27</v>
      </c>
      <c r="M254">
        <v>0.3</v>
      </c>
      <c r="N254">
        <f t="shared" si="61"/>
        <v>5.6354237288135609</v>
      </c>
      <c r="O254">
        <f t="shared" si="62"/>
        <v>0.60333333333333339</v>
      </c>
      <c r="P254" s="6">
        <f t="shared" si="65"/>
        <v>3.4000389830508486</v>
      </c>
      <c r="R254">
        <f t="shared" si="63"/>
        <v>0.58540000000000003</v>
      </c>
      <c r="S254" t="str">
        <f t="shared" si="66"/>
        <v>Yes</v>
      </c>
      <c r="T254" t="str">
        <f t="shared" si="64"/>
        <v>Yes</v>
      </c>
    </row>
    <row r="255" spans="1:20" x14ac:dyDescent="0.3">
      <c r="A255" s="16">
        <v>3</v>
      </c>
      <c r="B255" s="15">
        <v>1</v>
      </c>
      <c r="C255" s="15">
        <v>1</v>
      </c>
      <c r="D255" s="17">
        <v>4</v>
      </c>
      <c r="E255">
        <v>2.2999999999999998</v>
      </c>
      <c r="G255">
        <v>3.2</v>
      </c>
      <c r="H255">
        <v>4.0999999999999996</v>
      </c>
      <c r="I255">
        <v>5.2</v>
      </c>
      <c r="J255">
        <v>6.14</v>
      </c>
      <c r="K255">
        <v>0.56999999999999995</v>
      </c>
      <c r="L255">
        <v>0.39</v>
      </c>
      <c r="M255">
        <v>0.31</v>
      </c>
      <c r="N255">
        <f t="shared" si="61"/>
        <v>4.6615181518151783</v>
      </c>
      <c r="O255">
        <f t="shared" si="62"/>
        <v>0.49333333333333335</v>
      </c>
      <c r="P255" s="6">
        <f t="shared" si="65"/>
        <v>2.2996822882288215</v>
      </c>
      <c r="R255">
        <f t="shared" si="63"/>
        <v>0.57309999999999994</v>
      </c>
      <c r="S255" t="str">
        <f t="shared" si="66"/>
        <v>Yes</v>
      </c>
      <c r="T255" t="str">
        <f t="shared" si="64"/>
        <v>Yes</v>
      </c>
    </row>
    <row r="256" spans="1:20" x14ac:dyDescent="0.3">
      <c r="A256" s="16">
        <v>3</v>
      </c>
      <c r="B256" s="15">
        <v>1</v>
      </c>
      <c r="C256" s="15">
        <v>1</v>
      </c>
      <c r="D256" s="5">
        <v>5</v>
      </c>
      <c r="E256">
        <v>4.4000000000000004</v>
      </c>
      <c r="G256">
        <v>4.4000000000000004</v>
      </c>
      <c r="H256">
        <v>5.21</v>
      </c>
      <c r="I256" s="11">
        <v>6.31</v>
      </c>
      <c r="J256">
        <v>7.31</v>
      </c>
      <c r="K256">
        <v>0.86</v>
      </c>
      <c r="L256">
        <v>0.2</v>
      </c>
      <c r="M256">
        <v>0.19</v>
      </c>
      <c r="N256">
        <f t="shared" si="61"/>
        <v>5.8146467165419766</v>
      </c>
      <c r="O256">
        <f t="shared" si="62"/>
        <v>0.75666666666666671</v>
      </c>
      <c r="P256" s="6">
        <f t="shared" si="65"/>
        <v>4.3997493488500963</v>
      </c>
      <c r="R256">
        <f t="shared" si="63"/>
        <v>0.81569999999999998</v>
      </c>
      <c r="S256" t="str">
        <f t="shared" si="66"/>
        <v>Yes</v>
      </c>
      <c r="T256" t="str">
        <f t="shared" si="64"/>
        <v>Yes</v>
      </c>
    </row>
    <row r="257" spans="1:20" x14ac:dyDescent="0.3">
      <c r="A257" s="16">
        <v>3</v>
      </c>
      <c r="B257" s="15">
        <v>1</v>
      </c>
      <c r="C257" s="15">
        <v>1</v>
      </c>
      <c r="D257" s="18">
        <v>6</v>
      </c>
      <c r="E257">
        <v>4.5</v>
      </c>
      <c r="G257">
        <v>6.8</v>
      </c>
      <c r="H257">
        <v>7.8</v>
      </c>
      <c r="I257">
        <v>8.75</v>
      </c>
      <c r="J257">
        <v>9.43</v>
      </c>
      <c r="K257">
        <v>0.85</v>
      </c>
      <c r="L257">
        <v>0.38</v>
      </c>
      <c r="M257">
        <v>0.44</v>
      </c>
      <c r="N257">
        <f t="shared" si="61"/>
        <v>8.1824860335195506</v>
      </c>
      <c r="O257">
        <f t="shared" si="62"/>
        <v>0.54999999999999993</v>
      </c>
      <c r="P257" s="6">
        <f t="shared" si="65"/>
        <v>4.5003673184357522</v>
      </c>
      <c r="R257">
        <f t="shared" si="63"/>
        <v>1.0604999999999998</v>
      </c>
      <c r="S257" t="str">
        <f t="shared" si="66"/>
        <v>No</v>
      </c>
      <c r="T257" t="str">
        <f t="shared" si="64"/>
        <v>Yes</v>
      </c>
    </row>
    <row r="258" spans="1:20" x14ac:dyDescent="0.3">
      <c r="A258" s="16">
        <v>3</v>
      </c>
      <c r="B258" s="15">
        <v>1</v>
      </c>
      <c r="C258" s="3">
        <v>2</v>
      </c>
      <c r="D258" s="15">
        <v>1</v>
      </c>
      <c r="E258">
        <v>4.3</v>
      </c>
      <c r="G258">
        <v>5.6</v>
      </c>
      <c r="H258">
        <v>6.58</v>
      </c>
      <c r="I258">
        <v>7.21</v>
      </c>
      <c r="J258">
        <v>8.1999999999999993</v>
      </c>
      <c r="K258">
        <v>0.73</v>
      </c>
      <c r="L258">
        <v>0.27</v>
      </c>
      <c r="M258">
        <v>0.32</v>
      </c>
      <c r="N258">
        <f t="shared" si="61"/>
        <v>6.8980082559339522</v>
      </c>
      <c r="O258">
        <f t="shared" si="62"/>
        <v>0.62333333333333329</v>
      </c>
      <c r="P258" s="6">
        <f t="shared" si="65"/>
        <v>4.2997584795321631</v>
      </c>
      <c r="R258">
        <f t="shared" si="63"/>
        <v>0.70819999999999994</v>
      </c>
      <c r="S258" t="str">
        <f t="shared" si="66"/>
        <v>Yes</v>
      </c>
      <c r="T258" t="str">
        <f t="shared" si="64"/>
        <v>Yes</v>
      </c>
    </row>
    <row r="259" spans="1:20" x14ac:dyDescent="0.3">
      <c r="A259" s="16">
        <v>3</v>
      </c>
      <c r="B259" s="15">
        <v>1</v>
      </c>
      <c r="C259" s="3">
        <v>2</v>
      </c>
      <c r="D259" s="3">
        <v>2</v>
      </c>
      <c r="E259">
        <v>6.5</v>
      </c>
      <c r="G259">
        <v>13.6</v>
      </c>
      <c r="H259">
        <v>14.37</v>
      </c>
      <c r="I259">
        <v>15.5</v>
      </c>
      <c r="J259">
        <v>16.5</v>
      </c>
      <c r="K259">
        <v>0.48</v>
      </c>
      <c r="L259">
        <v>0.33</v>
      </c>
      <c r="M259">
        <v>0.52</v>
      </c>
      <c r="N259">
        <f t="shared" si="61"/>
        <v>15.00091811414392</v>
      </c>
      <c r="O259">
        <f t="shared" si="62"/>
        <v>0.43333333333333329</v>
      </c>
      <c r="P259" s="6">
        <f t="shared" si="65"/>
        <v>6.5003978494623649</v>
      </c>
      <c r="R259">
        <f t="shared" si="63"/>
        <v>0.60970000000000002</v>
      </c>
      <c r="S259" t="str">
        <f t="shared" si="66"/>
        <v>Yes</v>
      </c>
      <c r="T259" t="str">
        <f t="shared" si="64"/>
        <v>Yes</v>
      </c>
    </row>
    <row r="260" spans="1:20" x14ac:dyDescent="0.3">
      <c r="A260" s="16">
        <v>3</v>
      </c>
      <c r="B260" s="15">
        <v>1</v>
      </c>
      <c r="C260" s="3">
        <v>2</v>
      </c>
      <c r="D260" s="16">
        <v>3</v>
      </c>
      <c r="E260">
        <v>6.6</v>
      </c>
      <c r="G260">
        <v>11.2</v>
      </c>
      <c r="H260">
        <v>12.2</v>
      </c>
      <c r="I260">
        <v>13.01</v>
      </c>
      <c r="J260">
        <v>14.03</v>
      </c>
      <c r="K260">
        <v>0.45</v>
      </c>
      <c r="L260">
        <v>0.39</v>
      </c>
      <c r="M260">
        <v>0.1</v>
      </c>
      <c r="N260">
        <f t="shared" si="61"/>
        <v>12.610924908424911</v>
      </c>
      <c r="O260">
        <f t="shared" si="62"/>
        <v>0.52333333333333332</v>
      </c>
      <c r="P260" s="6">
        <f t="shared" si="65"/>
        <v>6.59971736874237</v>
      </c>
      <c r="R260">
        <f t="shared" si="63"/>
        <v>0.36460000000000004</v>
      </c>
      <c r="S260" t="str">
        <f t="shared" si="66"/>
        <v>Yes</v>
      </c>
      <c r="T260" t="str">
        <f t="shared" si="64"/>
        <v>Yes</v>
      </c>
    </row>
    <row r="261" spans="1:20" x14ac:dyDescent="0.3">
      <c r="A261" s="16">
        <v>3</v>
      </c>
      <c r="B261" s="15">
        <v>1</v>
      </c>
      <c r="C261" s="3">
        <v>2</v>
      </c>
      <c r="D261" s="17">
        <v>4</v>
      </c>
      <c r="E261">
        <v>7.3</v>
      </c>
      <c r="G261">
        <v>10.5</v>
      </c>
      <c r="H261">
        <v>11.41</v>
      </c>
      <c r="I261">
        <v>12.5</v>
      </c>
      <c r="J261">
        <v>13.45</v>
      </c>
      <c r="K261">
        <v>0.75</v>
      </c>
      <c r="L261">
        <v>0.27</v>
      </c>
      <c r="M261">
        <v>0.38</v>
      </c>
      <c r="N261">
        <f t="shared" si="61"/>
        <v>11.966534653465347</v>
      </c>
      <c r="O261">
        <f t="shared" si="62"/>
        <v>0.61</v>
      </c>
      <c r="P261" s="6">
        <f t="shared" si="65"/>
        <v>7.2995861386138614</v>
      </c>
      <c r="R261">
        <f t="shared" si="63"/>
        <v>0.77979999999999994</v>
      </c>
      <c r="S261" t="str">
        <f t="shared" si="66"/>
        <v>Yes</v>
      </c>
      <c r="T261" t="str">
        <f t="shared" si="64"/>
        <v>Yes</v>
      </c>
    </row>
    <row r="262" spans="1:20" x14ac:dyDescent="0.3">
      <c r="A262" s="16">
        <v>3</v>
      </c>
      <c r="B262" s="15">
        <v>1</v>
      </c>
      <c r="C262" s="3">
        <v>2</v>
      </c>
      <c r="D262" s="5">
        <v>5</v>
      </c>
      <c r="E262">
        <v>4.3</v>
      </c>
      <c r="G262">
        <v>4.6500000000000004</v>
      </c>
      <c r="H262">
        <v>5.6</v>
      </c>
      <c r="I262">
        <v>6.7</v>
      </c>
      <c r="J262">
        <v>7.22</v>
      </c>
      <c r="K262">
        <v>0.85</v>
      </c>
      <c r="L262">
        <v>0.26</v>
      </c>
      <c r="M262">
        <v>0.19</v>
      </c>
      <c r="N262">
        <f t="shared" ref="N262:N325" si="67">((I262^2)+(I262*J262)+(J262^2)-(G262^2)-(G262*H262)-(H262^2))/(3*(J262+I262-G262-H262))</f>
        <v>6.0281471389645791</v>
      </c>
      <c r="O262">
        <f t="shared" ref="O262:O325" si="68">(K262-(2*L262)-M262+2)/3</f>
        <v>0.71333333333333337</v>
      </c>
      <c r="P262" s="6">
        <f t="shared" si="65"/>
        <v>4.3000782924614001</v>
      </c>
      <c r="R262">
        <f t="shared" ref="R262:R325" si="69">K262^2+L262^2+M262^2</f>
        <v>0.82619999999999993</v>
      </c>
      <c r="S262" t="str">
        <f t="shared" si="66"/>
        <v>Yes</v>
      </c>
      <c r="T262" t="str">
        <f t="shared" ref="T262:T325" si="70">IF(ROUND(P262,2)=E262,"Yes","No")</f>
        <v>Yes</v>
      </c>
    </row>
    <row r="263" spans="1:20" x14ac:dyDescent="0.3">
      <c r="A263" s="16">
        <v>3</v>
      </c>
      <c r="B263" s="15">
        <v>1</v>
      </c>
      <c r="C263" s="3">
        <v>2</v>
      </c>
      <c r="D263" s="18">
        <v>6</v>
      </c>
      <c r="E263">
        <v>3.7</v>
      </c>
      <c r="G263">
        <v>6</v>
      </c>
      <c r="H263">
        <v>7</v>
      </c>
      <c r="I263">
        <v>8</v>
      </c>
      <c r="J263">
        <v>9</v>
      </c>
      <c r="K263">
        <v>0.37</v>
      </c>
      <c r="L263">
        <v>0.28000000000000003</v>
      </c>
      <c r="M263">
        <v>0.33</v>
      </c>
      <c r="N263">
        <f t="shared" si="67"/>
        <v>7.5</v>
      </c>
      <c r="O263">
        <f t="shared" si="68"/>
        <v>0.49333333333333335</v>
      </c>
      <c r="P263" s="6">
        <f t="shared" ref="P263:P326" si="71">N263*O263</f>
        <v>3.7</v>
      </c>
      <c r="R263">
        <f t="shared" si="69"/>
        <v>0.32419999999999999</v>
      </c>
      <c r="S263" t="str">
        <f t="shared" ref="S263:S326" si="72">IF(AND(R263&gt;=0,R263&lt;=1),"Yes","No")</f>
        <v>Yes</v>
      </c>
      <c r="T263" t="str">
        <f t="shared" si="70"/>
        <v>Yes</v>
      </c>
    </row>
    <row r="264" spans="1:20" x14ac:dyDescent="0.3">
      <c r="A264" s="16">
        <v>3</v>
      </c>
      <c r="B264" s="15">
        <v>1</v>
      </c>
      <c r="C264" s="16">
        <v>3</v>
      </c>
      <c r="D264" s="15">
        <v>1</v>
      </c>
      <c r="E264">
        <v>6.2</v>
      </c>
      <c r="G264">
        <v>9.6999999999999993</v>
      </c>
      <c r="H264">
        <v>10.7</v>
      </c>
      <c r="I264">
        <v>11.68</v>
      </c>
      <c r="J264">
        <v>12.5</v>
      </c>
      <c r="K264">
        <v>0.42</v>
      </c>
      <c r="L264">
        <v>0.32</v>
      </c>
      <c r="M264">
        <v>0.11</v>
      </c>
      <c r="N264">
        <f t="shared" si="67"/>
        <v>11.137777777777778</v>
      </c>
      <c r="O264">
        <f t="shared" si="68"/>
        <v>0.55666666666666664</v>
      </c>
      <c r="P264" s="6">
        <f t="shared" si="71"/>
        <v>6.2000296296296291</v>
      </c>
      <c r="R264">
        <f t="shared" si="69"/>
        <v>0.29089999999999999</v>
      </c>
      <c r="S264" t="str">
        <f t="shared" si="72"/>
        <v>Yes</v>
      </c>
      <c r="T264" t="str">
        <f t="shared" si="70"/>
        <v>Yes</v>
      </c>
    </row>
    <row r="265" spans="1:20" x14ac:dyDescent="0.3">
      <c r="A265" s="16">
        <v>3</v>
      </c>
      <c r="B265" s="15">
        <v>1</v>
      </c>
      <c r="C265" s="16">
        <v>3</v>
      </c>
      <c r="D265" s="3">
        <v>2</v>
      </c>
      <c r="E265">
        <v>4.5</v>
      </c>
      <c r="G265">
        <v>6.7</v>
      </c>
      <c r="H265">
        <v>7.9</v>
      </c>
      <c r="I265">
        <v>8.8000000000000007</v>
      </c>
      <c r="J265">
        <v>9.25</v>
      </c>
      <c r="K265">
        <v>0.39</v>
      </c>
      <c r="L265">
        <v>0.19</v>
      </c>
      <c r="M265">
        <v>0.35</v>
      </c>
      <c r="N265">
        <f t="shared" si="67"/>
        <v>8.1326086956521753</v>
      </c>
      <c r="O265">
        <f t="shared" si="68"/>
        <v>0.55333333333333334</v>
      </c>
      <c r="P265" s="6">
        <f t="shared" si="71"/>
        <v>4.5000434782608707</v>
      </c>
      <c r="R265">
        <f t="shared" si="69"/>
        <v>0.31069999999999998</v>
      </c>
      <c r="S265" t="str">
        <f t="shared" si="72"/>
        <v>Yes</v>
      </c>
      <c r="T265" t="str">
        <f t="shared" si="70"/>
        <v>Yes</v>
      </c>
    </row>
    <row r="266" spans="1:20" x14ac:dyDescent="0.3">
      <c r="A266" s="16">
        <v>3</v>
      </c>
      <c r="B266" s="15">
        <v>1</v>
      </c>
      <c r="C266" s="16">
        <v>3</v>
      </c>
      <c r="D266" s="16">
        <v>3</v>
      </c>
      <c r="E266">
        <v>6.6</v>
      </c>
      <c r="G266">
        <v>10.220000000000001</v>
      </c>
      <c r="H266">
        <v>11.2</v>
      </c>
      <c r="I266">
        <v>12.22</v>
      </c>
      <c r="J266">
        <v>13.22</v>
      </c>
      <c r="K266">
        <v>0.67</v>
      </c>
      <c r="L266">
        <v>0.39</v>
      </c>
      <c r="M266">
        <v>0.2</v>
      </c>
      <c r="N266">
        <f t="shared" si="67"/>
        <v>11.715820895522389</v>
      </c>
      <c r="O266">
        <f t="shared" si="68"/>
        <v>0.56333333333333335</v>
      </c>
      <c r="P266" s="6">
        <f t="shared" si="71"/>
        <v>6.5999124378109464</v>
      </c>
      <c r="R266">
        <f t="shared" si="69"/>
        <v>0.64100000000000013</v>
      </c>
      <c r="S266" t="str">
        <f t="shared" si="72"/>
        <v>Yes</v>
      </c>
      <c r="T266" t="str">
        <f t="shared" si="70"/>
        <v>Yes</v>
      </c>
    </row>
    <row r="267" spans="1:20" x14ac:dyDescent="0.3">
      <c r="A267" s="16">
        <v>3</v>
      </c>
      <c r="B267" s="15">
        <v>1</v>
      </c>
      <c r="C267" s="16">
        <v>3</v>
      </c>
      <c r="D267" s="17">
        <v>4</v>
      </c>
      <c r="E267">
        <v>7.6</v>
      </c>
      <c r="G267">
        <v>7.25</v>
      </c>
      <c r="H267">
        <v>8.1999999999999993</v>
      </c>
      <c r="I267">
        <v>9.14</v>
      </c>
      <c r="J267">
        <v>10.199999999999999</v>
      </c>
      <c r="K267">
        <v>0.9</v>
      </c>
      <c r="L267">
        <v>0.09</v>
      </c>
      <c r="M267">
        <v>0.1</v>
      </c>
      <c r="N267">
        <f t="shared" si="67"/>
        <v>8.7022365038560388</v>
      </c>
      <c r="O267">
        <f t="shared" si="68"/>
        <v>0.87333333333333341</v>
      </c>
      <c r="P267" s="6">
        <f t="shared" si="71"/>
        <v>7.5999532133676082</v>
      </c>
      <c r="R267">
        <f t="shared" si="69"/>
        <v>0.82810000000000006</v>
      </c>
      <c r="S267" t="str">
        <f t="shared" si="72"/>
        <v>Yes</v>
      </c>
      <c r="T267" t="str">
        <f t="shared" si="70"/>
        <v>Yes</v>
      </c>
    </row>
    <row r="268" spans="1:20" x14ac:dyDescent="0.3">
      <c r="A268" s="16">
        <v>3</v>
      </c>
      <c r="B268" s="15">
        <v>1</v>
      </c>
      <c r="C268" s="16">
        <v>3</v>
      </c>
      <c r="D268" s="5">
        <v>5</v>
      </c>
      <c r="E268">
        <v>5.2</v>
      </c>
      <c r="G268">
        <v>23.26</v>
      </c>
      <c r="H268">
        <v>24.26</v>
      </c>
      <c r="I268">
        <v>25.26</v>
      </c>
      <c r="J268">
        <v>26.26</v>
      </c>
      <c r="K268">
        <v>0.36</v>
      </c>
      <c r="L268">
        <v>0.81</v>
      </c>
      <c r="M268">
        <v>0.11</v>
      </c>
      <c r="N268">
        <f t="shared" si="67"/>
        <v>24.759999999999991</v>
      </c>
      <c r="O268">
        <f t="shared" si="68"/>
        <v>0.20999999999999988</v>
      </c>
      <c r="P268" s="6">
        <f t="shared" si="71"/>
        <v>5.1995999999999949</v>
      </c>
      <c r="R268">
        <f t="shared" si="69"/>
        <v>0.79780000000000006</v>
      </c>
      <c r="S268" t="str">
        <f t="shared" si="72"/>
        <v>Yes</v>
      </c>
      <c r="T268" t="str">
        <f t="shared" si="70"/>
        <v>Yes</v>
      </c>
    </row>
    <row r="269" spans="1:20" x14ac:dyDescent="0.3">
      <c r="A269" s="16">
        <v>3</v>
      </c>
      <c r="B269" s="15">
        <v>1</v>
      </c>
      <c r="C269" s="16">
        <v>3</v>
      </c>
      <c r="D269" s="18">
        <v>6</v>
      </c>
      <c r="E269">
        <v>3.2</v>
      </c>
      <c r="G269">
        <v>5.98</v>
      </c>
      <c r="H269">
        <v>6.93</v>
      </c>
      <c r="I269">
        <v>7.92</v>
      </c>
      <c r="J269">
        <v>8.93</v>
      </c>
      <c r="K269">
        <v>0.17</v>
      </c>
      <c r="L269">
        <v>0.28000000000000003</v>
      </c>
      <c r="M269">
        <v>0.32</v>
      </c>
      <c r="N269">
        <f t="shared" si="67"/>
        <v>7.4424873096446653</v>
      </c>
      <c r="O269">
        <f t="shared" si="68"/>
        <v>0.43</v>
      </c>
      <c r="P269" s="6">
        <f t="shared" si="71"/>
        <v>3.2002695431472059</v>
      </c>
      <c r="R269">
        <f t="shared" si="69"/>
        <v>0.20970000000000003</v>
      </c>
      <c r="S269" t="str">
        <f t="shared" si="72"/>
        <v>Yes</v>
      </c>
      <c r="T269" t="str">
        <f t="shared" si="70"/>
        <v>Yes</v>
      </c>
    </row>
    <row r="270" spans="1:20" x14ac:dyDescent="0.3">
      <c r="A270" s="16">
        <v>3</v>
      </c>
      <c r="B270" s="3">
        <v>2</v>
      </c>
      <c r="C270" s="15">
        <v>1</v>
      </c>
      <c r="D270" s="15">
        <v>1</v>
      </c>
      <c r="E270">
        <v>4.5</v>
      </c>
      <c r="G270">
        <v>7.79</v>
      </c>
      <c r="H270">
        <v>8.5</v>
      </c>
      <c r="I270">
        <v>9.68</v>
      </c>
      <c r="J270">
        <v>10.5</v>
      </c>
      <c r="K270">
        <v>0.37</v>
      </c>
      <c r="L270">
        <v>0.28000000000000003</v>
      </c>
      <c r="M270">
        <v>0.33</v>
      </c>
      <c r="N270">
        <f t="shared" si="67"/>
        <v>9.1211053984575816</v>
      </c>
      <c r="O270">
        <f t="shared" si="68"/>
        <v>0.49333333333333335</v>
      </c>
      <c r="P270" s="6">
        <f t="shared" si="71"/>
        <v>4.4997453299057399</v>
      </c>
      <c r="R270">
        <f t="shared" si="69"/>
        <v>0.32419999999999999</v>
      </c>
      <c r="S270" t="str">
        <f t="shared" si="72"/>
        <v>Yes</v>
      </c>
      <c r="T270" t="str">
        <f t="shared" si="70"/>
        <v>Yes</v>
      </c>
    </row>
    <row r="271" spans="1:20" x14ac:dyDescent="0.3">
      <c r="A271" s="16">
        <v>3</v>
      </c>
      <c r="B271" s="3">
        <v>2</v>
      </c>
      <c r="C271" s="15">
        <v>1</v>
      </c>
      <c r="D271" s="3">
        <v>2</v>
      </c>
      <c r="E271">
        <v>5.5</v>
      </c>
      <c r="G271">
        <v>7.19</v>
      </c>
      <c r="H271">
        <v>8.2100000000000009</v>
      </c>
      <c r="I271">
        <v>9.19</v>
      </c>
      <c r="J271">
        <v>10</v>
      </c>
      <c r="K271">
        <v>0.82</v>
      </c>
      <c r="L271">
        <v>0.28999999999999998</v>
      </c>
      <c r="M271">
        <v>0.33</v>
      </c>
      <c r="N271">
        <f t="shared" si="67"/>
        <v>8.6390501319261279</v>
      </c>
      <c r="O271">
        <f t="shared" si="68"/>
        <v>0.6366666666666666</v>
      </c>
      <c r="P271" s="6">
        <f t="shared" si="71"/>
        <v>5.5001952506596341</v>
      </c>
      <c r="R271">
        <f t="shared" si="69"/>
        <v>0.86539999999999984</v>
      </c>
      <c r="S271" t="str">
        <f t="shared" si="72"/>
        <v>Yes</v>
      </c>
      <c r="T271" t="str">
        <f t="shared" si="70"/>
        <v>Yes</v>
      </c>
    </row>
    <row r="272" spans="1:20" x14ac:dyDescent="0.3">
      <c r="A272" s="16">
        <v>3</v>
      </c>
      <c r="B272" s="3">
        <v>2</v>
      </c>
      <c r="C272" s="15">
        <v>1</v>
      </c>
      <c r="D272" s="16">
        <v>3</v>
      </c>
      <c r="E272">
        <v>2.2000000000000002</v>
      </c>
      <c r="G272">
        <v>2.0299999999999998</v>
      </c>
      <c r="H272">
        <v>3.01</v>
      </c>
      <c r="I272">
        <v>4</v>
      </c>
      <c r="J272">
        <v>5</v>
      </c>
      <c r="K272">
        <v>0.7</v>
      </c>
      <c r="L272">
        <v>0.36</v>
      </c>
      <c r="M272">
        <v>0.1</v>
      </c>
      <c r="N272">
        <f t="shared" si="67"/>
        <v>3.5108333333333328</v>
      </c>
      <c r="O272">
        <f t="shared" si="68"/>
        <v>0.62666666666666659</v>
      </c>
      <c r="P272" s="6">
        <f t="shared" si="71"/>
        <v>2.2001222222222214</v>
      </c>
      <c r="R272">
        <f t="shared" si="69"/>
        <v>0.62959999999999994</v>
      </c>
      <c r="S272" t="str">
        <f t="shared" si="72"/>
        <v>Yes</v>
      </c>
      <c r="T272" t="str">
        <f t="shared" si="70"/>
        <v>Yes</v>
      </c>
    </row>
    <row r="273" spans="1:20" x14ac:dyDescent="0.3">
      <c r="A273" s="16">
        <v>3</v>
      </c>
      <c r="B273" s="3">
        <v>2</v>
      </c>
      <c r="C273" s="15">
        <v>1</v>
      </c>
      <c r="D273" s="17">
        <v>4</v>
      </c>
      <c r="E273">
        <v>7.3</v>
      </c>
      <c r="G273">
        <v>9.1</v>
      </c>
      <c r="H273">
        <v>10.1</v>
      </c>
      <c r="I273">
        <v>11.1</v>
      </c>
      <c r="J273">
        <v>12.03</v>
      </c>
      <c r="K273">
        <v>0.87</v>
      </c>
      <c r="L273">
        <v>0.3</v>
      </c>
      <c r="M273">
        <v>0.2</v>
      </c>
      <c r="N273">
        <f t="shared" si="67"/>
        <v>10.579635284139099</v>
      </c>
      <c r="O273">
        <f t="shared" si="68"/>
        <v>0.69</v>
      </c>
      <c r="P273" s="6">
        <f t="shared" si="71"/>
        <v>7.2999483460559782</v>
      </c>
      <c r="R273">
        <f t="shared" si="69"/>
        <v>0.88690000000000002</v>
      </c>
      <c r="S273" t="str">
        <f t="shared" si="72"/>
        <v>Yes</v>
      </c>
      <c r="T273" t="str">
        <f t="shared" si="70"/>
        <v>Yes</v>
      </c>
    </row>
    <row r="274" spans="1:20" x14ac:dyDescent="0.3">
      <c r="A274" s="16">
        <v>3</v>
      </c>
      <c r="B274" s="3">
        <v>2</v>
      </c>
      <c r="C274" s="15">
        <v>1</v>
      </c>
      <c r="D274" s="5">
        <v>5</v>
      </c>
      <c r="E274">
        <v>7.4</v>
      </c>
      <c r="G274">
        <v>10.199999999999999</v>
      </c>
      <c r="H274">
        <v>11.2</v>
      </c>
      <c r="I274">
        <v>12.28</v>
      </c>
      <c r="J274">
        <v>13.3</v>
      </c>
      <c r="K274">
        <v>0.74</v>
      </c>
      <c r="L274">
        <v>0.37</v>
      </c>
      <c r="M274">
        <v>0.11</v>
      </c>
      <c r="N274">
        <f t="shared" si="67"/>
        <v>11.745805422647528</v>
      </c>
      <c r="O274">
        <f t="shared" si="68"/>
        <v>0.63</v>
      </c>
      <c r="P274" s="6">
        <f t="shared" si="71"/>
        <v>7.3998574162679427</v>
      </c>
      <c r="R274">
        <f t="shared" si="69"/>
        <v>0.6966</v>
      </c>
      <c r="S274" t="str">
        <f t="shared" si="72"/>
        <v>Yes</v>
      </c>
      <c r="T274" t="str">
        <f t="shared" si="70"/>
        <v>Yes</v>
      </c>
    </row>
    <row r="275" spans="1:20" x14ac:dyDescent="0.3">
      <c r="A275" s="16">
        <v>3</v>
      </c>
      <c r="B275" s="3">
        <v>2</v>
      </c>
      <c r="C275" s="15">
        <v>1</v>
      </c>
      <c r="D275" s="18">
        <v>6</v>
      </c>
      <c r="E275">
        <v>5.8</v>
      </c>
      <c r="G275">
        <v>6.7</v>
      </c>
      <c r="H275">
        <v>7.72</v>
      </c>
      <c r="I275" s="11">
        <v>8.8000000000000007</v>
      </c>
      <c r="J275">
        <v>9.64</v>
      </c>
      <c r="K275">
        <v>0.76</v>
      </c>
      <c r="L275">
        <v>0.23</v>
      </c>
      <c r="M275">
        <v>0.18</v>
      </c>
      <c r="N275">
        <f t="shared" si="67"/>
        <v>8.2080597014925392</v>
      </c>
      <c r="O275">
        <f t="shared" si="68"/>
        <v>0.70666666666666667</v>
      </c>
      <c r="P275" s="6">
        <f t="shared" si="71"/>
        <v>5.8003621890547272</v>
      </c>
      <c r="R275">
        <f t="shared" si="69"/>
        <v>0.66290000000000004</v>
      </c>
      <c r="S275" t="str">
        <f t="shared" si="72"/>
        <v>Yes</v>
      </c>
      <c r="T275" t="str">
        <f t="shared" si="70"/>
        <v>Yes</v>
      </c>
    </row>
    <row r="276" spans="1:20" x14ac:dyDescent="0.3">
      <c r="A276" s="16">
        <v>3</v>
      </c>
      <c r="B276" s="3">
        <v>2</v>
      </c>
      <c r="C276" s="3">
        <v>2</v>
      </c>
      <c r="D276" s="15">
        <v>1</v>
      </c>
      <c r="E276">
        <v>7.9</v>
      </c>
      <c r="G276">
        <v>14.1</v>
      </c>
      <c r="H276">
        <v>15.08</v>
      </c>
      <c r="I276">
        <v>16.079999999999998</v>
      </c>
      <c r="J276">
        <v>17.100000000000001</v>
      </c>
      <c r="K276">
        <v>0.45</v>
      </c>
      <c r="L276">
        <v>0.39</v>
      </c>
      <c r="M276">
        <v>0.15</v>
      </c>
      <c r="N276">
        <f t="shared" si="67"/>
        <v>15.591666666666688</v>
      </c>
      <c r="O276">
        <f t="shared" si="68"/>
        <v>0.50666666666666671</v>
      </c>
      <c r="P276" s="6">
        <f t="shared" si="71"/>
        <v>7.8997777777777891</v>
      </c>
      <c r="R276">
        <f t="shared" si="69"/>
        <v>0.37710000000000005</v>
      </c>
      <c r="S276" t="str">
        <f t="shared" si="72"/>
        <v>Yes</v>
      </c>
      <c r="T276" t="str">
        <f t="shared" si="70"/>
        <v>Yes</v>
      </c>
    </row>
    <row r="277" spans="1:20" x14ac:dyDescent="0.3">
      <c r="A277" s="16">
        <v>3</v>
      </c>
      <c r="B277" s="3">
        <v>2</v>
      </c>
      <c r="C277" s="3">
        <v>2</v>
      </c>
      <c r="D277" s="3">
        <v>2</v>
      </c>
      <c r="E277">
        <v>5.5</v>
      </c>
      <c r="G277">
        <v>4</v>
      </c>
      <c r="H277">
        <v>5</v>
      </c>
      <c r="I277">
        <v>6</v>
      </c>
      <c r="J277">
        <v>7</v>
      </c>
      <c r="K277">
        <v>1</v>
      </c>
      <c r="L277">
        <v>0</v>
      </c>
      <c r="M277">
        <v>0</v>
      </c>
      <c r="N277">
        <f t="shared" si="67"/>
        <v>5.5</v>
      </c>
      <c r="O277">
        <f t="shared" si="68"/>
        <v>1</v>
      </c>
      <c r="P277" s="6">
        <f t="shared" si="71"/>
        <v>5.5</v>
      </c>
      <c r="R277">
        <f t="shared" si="69"/>
        <v>1</v>
      </c>
      <c r="S277" t="str">
        <f t="shared" si="72"/>
        <v>Yes</v>
      </c>
      <c r="T277" t="str">
        <f t="shared" si="70"/>
        <v>Yes</v>
      </c>
    </row>
    <row r="278" spans="1:20" x14ac:dyDescent="0.3">
      <c r="A278" s="16">
        <v>3</v>
      </c>
      <c r="B278" s="3">
        <v>2</v>
      </c>
      <c r="C278" s="3">
        <v>2</v>
      </c>
      <c r="D278" s="16">
        <v>3</v>
      </c>
      <c r="E278">
        <v>6.2</v>
      </c>
      <c r="G278">
        <v>7.21</v>
      </c>
      <c r="H278">
        <v>8.2200000000000006</v>
      </c>
      <c r="I278">
        <v>9.2100000000000009</v>
      </c>
      <c r="J278">
        <v>10.28</v>
      </c>
      <c r="K278">
        <v>0.85</v>
      </c>
      <c r="L278">
        <v>0.26</v>
      </c>
      <c r="M278">
        <v>0.2</v>
      </c>
      <c r="N278">
        <f t="shared" si="67"/>
        <v>8.7325615763546747</v>
      </c>
      <c r="O278">
        <f t="shared" si="68"/>
        <v>0.71</v>
      </c>
      <c r="P278" s="6">
        <f t="shared" si="71"/>
        <v>6.2001187192118188</v>
      </c>
      <c r="R278">
        <f t="shared" si="69"/>
        <v>0.83009999999999995</v>
      </c>
      <c r="S278" t="str">
        <f t="shared" si="72"/>
        <v>Yes</v>
      </c>
      <c r="T278" t="str">
        <f t="shared" si="70"/>
        <v>Yes</v>
      </c>
    </row>
    <row r="279" spans="1:20" x14ac:dyDescent="0.3">
      <c r="A279" s="16">
        <v>3</v>
      </c>
      <c r="B279" s="3">
        <v>2</v>
      </c>
      <c r="C279" s="3">
        <v>2</v>
      </c>
      <c r="D279" s="17">
        <v>4</v>
      </c>
      <c r="E279">
        <v>3.9</v>
      </c>
      <c r="G279">
        <v>3.2</v>
      </c>
      <c r="H279">
        <v>4.21</v>
      </c>
      <c r="I279">
        <v>5.2</v>
      </c>
      <c r="J279">
        <v>6.19</v>
      </c>
      <c r="K279">
        <v>0.76</v>
      </c>
      <c r="L279">
        <v>0.11</v>
      </c>
      <c r="M279">
        <v>0.05</v>
      </c>
      <c r="N279">
        <f t="shared" si="67"/>
        <v>4.6991624790619744</v>
      </c>
      <c r="O279">
        <f t="shared" si="68"/>
        <v>0.83000000000000007</v>
      </c>
      <c r="P279" s="6">
        <f t="shared" si="71"/>
        <v>3.900304857621439</v>
      </c>
      <c r="R279">
        <f t="shared" si="69"/>
        <v>0.59219999999999995</v>
      </c>
      <c r="S279" t="str">
        <f t="shared" si="72"/>
        <v>Yes</v>
      </c>
      <c r="T279" t="str">
        <f t="shared" si="70"/>
        <v>Yes</v>
      </c>
    </row>
    <row r="280" spans="1:20" x14ac:dyDescent="0.3">
      <c r="A280" s="16">
        <v>3</v>
      </c>
      <c r="B280" s="3">
        <v>2</v>
      </c>
      <c r="C280" s="3">
        <v>2</v>
      </c>
      <c r="D280" s="5">
        <v>5</v>
      </c>
      <c r="E280">
        <v>7.6</v>
      </c>
      <c r="G280">
        <v>15.23</v>
      </c>
      <c r="H280">
        <v>16.3</v>
      </c>
      <c r="I280">
        <v>17.3</v>
      </c>
      <c r="J280">
        <v>18.25</v>
      </c>
      <c r="K280">
        <v>0.38</v>
      </c>
      <c r="L280">
        <v>0.42</v>
      </c>
      <c r="M280">
        <v>0.18</v>
      </c>
      <c r="N280">
        <f t="shared" si="67"/>
        <v>16.764975124378132</v>
      </c>
      <c r="O280">
        <f t="shared" si="68"/>
        <v>0.45333333333333337</v>
      </c>
      <c r="P280" s="6">
        <f t="shared" si="71"/>
        <v>7.6001220563847536</v>
      </c>
      <c r="R280">
        <f t="shared" si="69"/>
        <v>0.35319999999999996</v>
      </c>
      <c r="S280" t="str">
        <f t="shared" si="72"/>
        <v>Yes</v>
      </c>
      <c r="T280" t="str">
        <f t="shared" si="70"/>
        <v>Yes</v>
      </c>
    </row>
    <row r="281" spans="1:20" x14ac:dyDescent="0.3">
      <c r="A281" s="16">
        <v>3</v>
      </c>
      <c r="B281" s="3">
        <v>2</v>
      </c>
      <c r="C281" s="3">
        <v>2</v>
      </c>
      <c r="D281" s="18">
        <v>6</v>
      </c>
      <c r="E281">
        <v>7.3</v>
      </c>
      <c r="G281">
        <v>9.4</v>
      </c>
      <c r="H281">
        <v>10.199999999999999</v>
      </c>
      <c r="I281">
        <v>11.2</v>
      </c>
      <c r="J281">
        <v>12.12</v>
      </c>
      <c r="K281">
        <v>0.68</v>
      </c>
      <c r="L281">
        <v>0.18</v>
      </c>
      <c r="M281">
        <v>0.28000000000000003</v>
      </c>
      <c r="N281">
        <f t="shared" si="67"/>
        <v>10.734623655913975</v>
      </c>
      <c r="O281">
        <f t="shared" si="68"/>
        <v>0.68</v>
      </c>
      <c r="P281" s="6">
        <f t="shared" si="71"/>
        <v>7.2995440860215037</v>
      </c>
      <c r="R281">
        <f t="shared" si="69"/>
        <v>0.57320000000000004</v>
      </c>
      <c r="S281" t="str">
        <f t="shared" si="72"/>
        <v>Yes</v>
      </c>
      <c r="T281" t="str">
        <f t="shared" si="70"/>
        <v>Yes</v>
      </c>
    </row>
    <row r="282" spans="1:20" x14ac:dyDescent="0.3">
      <c r="A282" s="16">
        <v>3</v>
      </c>
      <c r="B282" s="3">
        <v>2</v>
      </c>
      <c r="C282" s="16">
        <v>3</v>
      </c>
      <c r="D282" s="15">
        <v>1</v>
      </c>
      <c r="E282">
        <v>7.8</v>
      </c>
      <c r="G282">
        <v>10.199999999999999</v>
      </c>
      <c r="H282">
        <v>11.2</v>
      </c>
      <c r="I282">
        <v>12.2</v>
      </c>
      <c r="J282">
        <v>13</v>
      </c>
      <c r="K282">
        <v>0.8</v>
      </c>
      <c r="L282">
        <v>0.22</v>
      </c>
      <c r="M282">
        <v>0.35</v>
      </c>
      <c r="N282">
        <f t="shared" si="67"/>
        <v>11.642105263157889</v>
      </c>
      <c r="O282">
        <f t="shared" si="68"/>
        <v>0.67</v>
      </c>
      <c r="P282" s="6">
        <f t="shared" si="71"/>
        <v>7.8002105263157864</v>
      </c>
      <c r="R282">
        <f t="shared" si="69"/>
        <v>0.81090000000000007</v>
      </c>
      <c r="S282" t="str">
        <f t="shared" si="72"/>
        <v>Yes</v>
      </c>
      <c r="T282" t="str">
        <f t="shared" si="70"/>
        <v>Yes</v>
      </c>
    </row>
    <row r="283" spans="1:20" x14ac:dyDescent="0.3">
      <c r="A283" s="16">
        <v>3</v>
      </c>
      <c r="B283" s="3">
        <v>2</v>
      </c>
      <c r="C283" s="16">
        <v>3</v>
      </c>
      <c r="D283" s="3">
        <v>2</v>
      </c>
      <c r="E283">
        <v>5.4</v>
      </c>
      <c r="G283">
        <v>6.3</v>
      </c>
      <c r="H283">
        <v>7.35</v>
      </c>
      <c r="I283">
        <v>8.32</v>
      </c>
      <c r="J283">
        <v>9.6</v>
      </c>
      <c r="K283">
        <v>0.87</v>
      </c>
      <c r="L283">
        <v>0.2</v>
      </c>
      <c r="M283">
        <v>0.42</v>
      </c>
      <c r="N283">
        <f t="shared" si="67"/>
        <v>7.902958626073378</v>
      </c>
      <c r="O283">
        <f t="shared" si="68"/>
        <v>0.68333333333333324</v>
      </c>
      <c r="P283" s="6">
        <f t="shared" si="71"/>
        <v>5.4003550611501412</v>
      </c>
      <c r="R283">
        <f t="shared" si="69"/>
        <v>0.97330000000000005</v>
      </c>
      <c r="S283" t="str">
        <f t="shared" si="72"/>
        <v>Yes</v>
      </c>
      <c r="T283" t="str">
        <f t="shared" si="70"/>
        <v>Yes</v>
      </c>
    </row>
    <row r="284" spans="1:20" x14ac:dyDescent="0.3">
      <c r="A284" s="16">
        <v>3</v>
      </c>
      <c r="B284" s="3">
        <v>2</v>
      </c>
      <c r="C284" s="16">
        <v>3</v>
      </c>
      <c r="D284" s="16">
        <v>3</v>
      </c>
      <c r="E284">
        <v>5.6</v>
      </c>
      <c r="G284">
        <v>11.8</v>
      </c>
      <c r="H284">
        <v>12.84</v>
      </c>
      <c r="I284">
        <v>13.85</v>
      </c>
      <c r="J284">
        <v>14.85</v>
      </c>
      <c r="K284">
        <v>0.46</v>
      </c>
      <c r="L284">
        <v>0.48</v>
      </c>
      <c r="M284">
        <v>0.24</v>
      </c>
      <c r="N284">
        <f t="shared" si="67"/>
        <v>13.333325123152706</v>
      </c>
      <c r="O284">
        <f t="shared" si="68"/>
        <v>0.42</v>
      </c>
      <c r="P284" s="6">
        <f t="shared" si="71"/>
        <v>5.5999965517241366</v>
      </c>
      <c r="R284">
        <f t="shared" si="69"/>
        <v>0.49959999999999999</v>
      </c>
      <c r="S284" t="str">
        <f t="shared" si="72"/>
        <v>Yes</v>
      </c>
      <c r="T284" t="str">
        <f t="shared" si="70"/>
        <v>Yes</v>
      </c>
    </row>
    <row r="285" spans="1:20" x14ac:dyDescent="0.3">
      <c r="A285" s="16">
        <v>3</v>
      </c>
      <c r="B285" s="3">
        <v>2</v>
      </c>
      <c r="C285" s="16">
        <v>3</v>
      </c>
      <c r="D285" s="17">
        <v>4</v>
      </c>
      <c r="E285">
        <v>4.5999999999999996</v>
      </c>
      <c r="G285">
        <v>6</v>
      </c>
      <c r="H285">
        <v>7</v>
      </c>
      <c r="I285">
        <v>8</v>
      </c>
      <c r="J285">
        <v>9</v>
      </c>
      <c r="K285">
        <v>0.74</v>
      </c>
      <c r="L285">
        <v>0.37</v>
      </c>
      <c r="M285">
        <v>0.16</v>
      </c>
      <c r="N285">
        <f t="shared" si="67"/>
        <v>7.5</v>
      </c>
      <c r="O285">
        <f t="shared" si="68"/>
        <v>0.6133333333333334</v>
      </c>
      <c r="P285" s="6">
        <f t="shared" si="71"/>
        <v>4.6000000000000005</v>
      </c>
      <c r="R285">
        <f t="shared" si="69"/>
        <v>0.71009999999999995</v>
      </c>
      <c r="S285" t="str">
        <f t="shared" si="72"/>
        <v>Yes</v>
      </c>
      <c r="T285" t="str">
        <f t="shared" si="70"/>
        <v>Yes</v>
      </c>
    </row>
    <row r="286" spans="1:20" x14ac:dyDescent="0.3">
      <c r="A286" s="16">
        <v>3</v>
      </c>
      <c r="B286" s="3">
        <v>2</v>
      </c>
      <c r="C286" s="16">
        <v>3</v>
      </c>
      <c r="D286" s="5">
        <v>5</v>
      </c>
      <c r="E286">
        <v>8.6</v>
      </c>
      <c r="G286">
        <v>11.2</v>
      </c>
      <c r="H286">
        <v>12.16</v>
      </c>
      <c r="I286">
        <v>13.11</v>
      </c>
      <c r="J286">
        <v>14.11</v>
      </c>
      <c r="K286">
        <v>0.79</v>
      </c>
      <c r="L286">
        <v>0.21</v>
      </c>
      <c r="M286">
        <v>0.33</v>
      </c>
      <c r="N286">
        <f t="shared" si="67"/>
        <v>12.64669257340242</v>
      </c>
      <c r="O286">
        <f t="shared" si="68"/>
        <v>0.68</v>
      </c>
      <c r="P286" s="6">
        <f t="shared" si="71"/>
        <v>8.5997509499136466</v>
      </c>
      <c r="R286">
        <f t="shared" si="69"/>
        <v>0.77710000000000012</v>
      </c>
      <c r="S286" t="str">
        <f t="shared" si="72"/>
        <v>Yes</v>
      </c>
      <c r="T286" t="str">
        <f t="shared" si="70"/>
        <v>Yes</v>
      </c>
    </row>
    <row r="287" spans="1:20" x14ac:dyDescent="0.3">
      <c r="A287" s="16">
        <v>3</v>
      </c>
      <c r="B287" s="3">
        <v>2</v>
      </c>
      <c r="C287" s="16">
        <v>3</v>
      </c>
      <c r="D287" s="18">
        <v>6</v>
      </c>
      <c r="E287">
        <v>6.1</v>
      </c>
      <c r="G287">
        <v>6.35</v>
      </c>
      <c r="H287">
        <v>7.24</v>
      </c>
      <c r="I287">
        <v>8.2100000000000009</v>
      </c>
      <c r="J287">
        <v>9.1999999999999993</v>
      </c>
      <c r="K287">
        <v>0.92</v>
      </c>
      <c r="L287">
        <v>0.12</v>
      </c>
      <c r="M287">
        <v>0.32</v>
      </c>
      <c r="N287">
        <f t="shared" si="67"/>
        <v>7.7541012216404903</v>
      </c>
      <c r="O287">
        <f t="shared" si="68"/>
        <v>0.78666666666666663</v>
      </c>
      <c r="P287" s="6">
        <f t="shared" si="71"/>
        <v>6.0998929610238521</v>
      </c>
      <c r="R287">
        <f t="shared" si="69"/>
        <v>0.96320000000000006</v>
      </c>
      <c r="S287" t="str">
        <f t="shared" si="72"/>
        <v>Yes</v>
      </c>
      <c r="T287" t="str">
        <f t="shared" si="70"/>
        <v>Yes</v>
      </c>
    </row>
    <row r="288" spans="1:20" x14ac:dyDescent="0.3">
      <c r="A288" s="16">
        <v>3</v>
      </c>
      <c r="B288" s="16">
        <v>3</v>
      </c>
      <c r="C288" s="15">
        <v>1</v>
      </c>
      <c r="D288" s="15">
        <v>1</v>
      </c>
      <c r="E288">
        <v>6.4</v>
      </c>
      <c r="G288">
        <v>11.63</v>
      </c>
      <c r="H288">
        <v>12.62</v>
      </c>
      <c r="I288">
        <v>13.8</v>
      </c>
      <c r="J288">
        <v>14.9</v>
      </c>
      <c r="K288">
        <v>0.68</v>
      </c>
      <c r="L288">
        <v>0.39</v>
      </c>
      <c r="M288">
        <v>0.45</v>
      </c>
      <c r="N288">
        <f t="shared" si="67"/>
        <v>13.241805243445693</v>
      </c>
      <c r="O288">
        <f t="shared" si="68"/>
        <v>0.48333333333333334</v>
      </c>
      <c r="P288" s="6">
        <f t="shared" si="71"/>
        <v>6.4002058676654183</v>
      </c>
      <c r="R288">
        <f t="shared" si="69"/>
        <v>0.81700000000000006</v>
      </c>
      <c r="S288" t="str">
        <f t="shared" si="72"/>
        <v>Yes</v>
      </c>
      <c r="T288" t="str">
        <f t="shared" si="70"/>
        <v>Yes</v>
      </c>
    </row>
    <row r="289" spans="1:20" x14ac:dyDescent="0.3">
      <c r="A289" s="16">
        <v>3</v>
      </c>
      <c r="B289" s="16">
        <v>3</v>
      </c>
      <c r="C289" s="15">
        <v>1</v>
      </c>
      <c r="D289" s="3">
        <v>2</v>
      </c>
      <c r="E289">
        <v>4.5</v>
      </c>
      <c r="G289">
        <v>11.4</v>
      </c>
      <c r="H289">
        <v>12.1</v>
      </c>
      <c r="I289">
        <v>13.2</v>
      </c>
      <c r="J289">
        <v>14.2</v>
      </c>
      <c r="K289">
        <v>0.46</v>
      </c>
      <c r="L289">
        <v>0.56000000000000005</v>
      </c>
      <c r="M289">
        <v>0.28000000000000003</v>
      </c>
      <c r="N289">
        <f t="shared" si="67"/>
        <v>12.735897435897433</v>
      </c>
      <c r="O289">
        <f t="shared" si="68"/>
        <v>0.35333333333333328</v>
      </c>
      <c r="P289" s="6">
        <f t="shared" si="71"/>
        <v>4.5000170940170925</v>
      </c>
      <c r="R289">
        <f t="shared" si="69"/>
        <v>0.60360000000000014</v>
      </c>
      <c r="S289" t="str">
        <f t="shared" si="72"/>
        <v>Yes</v>
      </c>
      <c r="T289" t="str">
        <f t="shared" si="70"/>
        <v>Yes</v>
      </c>
    </row>
    <row r="290" spans="1:20" x14ac:dyDescent="0.3">
      <c r="A290" s="16">
        <v>3</v>
      </c>
      <c r="B290" s="16">
        <v>3</v>
      </c>
      <c r="C290" s="15">
        <v>1</v>
      </c>
      <c r="D290" s="16">
        <v>3</v>
      </c>
      <c r="E290">
        <v>6.1</v>
      </c>
      <c r="G290">
        <v>8.6999999999999993</v>
      </c>
      <c r="H290">
        <v>9.8000000000000007</v>
      </c>
      <c r="I290">
        <v>10.8</v>
      </c>
      <c r="J290">
        <v>11.24</v>
      </c>
      <c r="K290">
        <v>0.74</v>
      </c>
      <c r="L290">
        <v>0.38</v>
      </c>
      <c r="M290">
        <v>0.17</v>
      </c>
      <c r="N290">
        <f t="shared" si="67"/>
        <v>10.111073446327691</v>
      </c>
      <c r="O290">
        <f t="shared" si="68"/>
        <v>0.60333333333333339</v>
      </c>
      <c r="P290" s="6">
        <f t="shared" si="71"/>
        <v>6.1003476459510404</v>
      </c>
      <c r="R290">
        <f t="shared" si="69"/>
        <v>0.72089999999999999</v>
      </c>
      <c r="S290" t="str">
        <f t="shared" si="72"/>
        <v>Yes</v>
      </c>
      <c r="T290" t="str">
        <f t="shared" si="70"/>
        <v>Yes</v>
      </c>
    </row>
    <row r="291" spans="1:20" x14ac:dyDescent="0.3">
      <c r="A291" s="16">
        <v>3</v>
      </c>
      <c r="B291" s="16">
        <v>3</v>
      </c>
      <c r="C291" s="15">
        <v>1</v>
      </c>
      <c r="D291" s="17">
        <v>4</v>
      </c>
      <c r="E291">
        <v>4.3</v>
      </c>
      <c r="G291">
        <v>6.1</v>
      </c>
      <c r="H291">
        <v>7.05</v>
      </c>
      <c r="I291">
        <v>8.09</v>
      </c>
      <c r="J291">
        <v>9.1</v>
      </c>
      <c r="K291">
        <v>0.65</v>
      </c>
      <c r="L291">
        <v>0.45</v>
      </c>
      <c r="M291">
        <v>0.05</v>
      </c>
      <c r="N291">
        <f t="shared" si="67"/>
        <v>7.5874257425742622</v>
      </c>
      <c r="O291">
        <f t="shared" si="68"/>
        <v>0.56666666666666665</v>
      </c>
      <c r="P291" s="6">
        <f t="shared" si="71"/>
        <v>4.2995412541254154</v>
      </c>
      <c r="R291">
        <f t="shared" si="69"/>
        <v>0.62749999999999995</v>
      </c>
      <c r="S291" t="str">
        <f t="shared" si="72"/>
        <v>Yes</v>
      </c>
      <c r="T291" t="str">
        <f t="shared" si="70"/>
        <v>Yes</v>
      </c>
    </row>
    <row r="292" spans="1:20" x14ac:dyDescent="0.3">
      <c r="A292" s="16">
        <v>3</v>
      </c>
      <c r="B292" s="16">
        <v>3</v>
      </c>
      <c r="C292" s="15">
        <v>1</v>
      </c>
      <c r="D292" s="5">
        <v>5</v>
      </c>
      <c r="E292">
        <v>7.3</v>
      </c>
      <c r="G292">
        <v>13.92</v>
      </c>
      <c r="H292">
        <v>14.93</v>
      </c>
      <c r="I292" s="11">
        <v>15.92</v>
      </c>
      <c r="J292">
        <v>16.920000000000002</v>
      </c>
      <c r="K292">
        <v>0.56999999999999995</v>
      </c>
      <c r="L292">
        <v>0.46</v>
      </c>
      <c r="M292">
        <v>0.23</v>
      </c>
      <c r="N292">
        <f t="shared" si="67"/>
        <v>15.422080200501256</v>
      </c>
      <c r="O292">
        <f t="shared" si="68"/>
        <v>0.47333333333333333</v>
      </c>
      <c r="P292" s="6">
        <f t="shared" si="71"/>
        <v>7.2997846282372612</v>
      </c>
      <c r="R292">
        <f t="shared" si="69"/>
        <v>0.58939999999999992</v>
      </c>
      <c r="S292" t="str">
        <f t="shared" si="72"/>
        <v>Yes</v>
      </c>
      <c r="T292" t="str">
        <f t="shared" si="70"/>
        <v>Yes</v>
      </c>
    </row>
    <row r="293" spans="1:20" x14ac:dyDescent="0.3">
      <c r="A293" s="16">
        <v>3</v>
      </c>
      <c r="B293" s="16">
        <v>3</v>
      </c>
      <c r="C293" s="15">
        <v>1</v>
      </c>
      <c r="D293" s="18">
        <v>6</v>
      </c>
      <c r="E293">
        <v>2.9</v>
      </c>
      <c r="G293">
        <v>9.5</v>
      </c>
      <c r="H293">
        <v>10.45</v>
      </c>
      <c r="I293">
        <v>11.5</v>
      </c>
      <c r="J293">
        <v>12.1</v>
      </c>
      <c r="K293">
        <v>0.46</v>
      </c>
      <c r="L293">
        <v>0.64</v>
      </c>
      <c r="M293">
        <v>0.38</v>
      </c>
      <c r="N293">
        <f t="shared" si="67"/>
        <v>10.875114155251133</v>
      </c>
      <c r="O293">
        <f t="shared" si="68"/>
        <v>0.26666666666666661</v>
      </c>
      <c r="P293" s="6">
        <f t="shared" si="71"/>
        <v>2.9000304414003013</v>
      </c>
      <c r="R293">
        <f t="shared" si="69"/>
        <v>0.76559999999999995</v>
      </c>
      <c r="S293" t="str">
        <f t="shared" si="72"/>
        <v>Yes</v>
      </c>
      <c r="T293" t="str">
        <f t="shared" si="70"/>
        <v>Yes</v>
      </c>
    </row>
    <row r="294" spans="1:20" x14ac:dyDescent="0.3">
      <c r="A294" s="16">
        <v>3</v>
      </c>
      <c r="B294" s="16">
        <v>3</v>
      </c>
      <c r="C294" s="3">
        <v>2</v>
      </c>
      <c r="D294" s="15">
        <v>1</v>
      </c>
      <c r="E294">
        <v>7.3</v>
      </c>
      <c r="G294">
        <v>9.85</v>
      </c>
      <c r="H294">
        <v>10.26</v>
      </c>
      <c r="I294">
        <v>11.3</v>
      </c>
      <c r="J294">
        <v>12.12</v>
      </c>
      <c r="K294">
        <v>0.73</v>
      </c>
      <c r="L294">
        <v>0.21</v>
      </c>
      <c r="M294">
        <v>0.3</v>
      </c>
      <c r="N294">
        <f t="shared" si="67"/>
        <v>10.895196374622351</v>
      </c>
      <c r="O294">
        <f t="shared" si="68"/>
        <v>0.66999999999999993</v>
      </c>
      <c r="P294" s="6">
        <f t="shared" si="71"/>
        <v>7.2997815709969744</v>
      </c>
      <c r="R294">
        <f t="shared" si="69"/>
        <v>0.66699999999999993</v>
      </c>
      <c r="S294" t="str">
        <f t="shared" si="72"/>
        <v>Yes</v>
      </c>
      <c r="T294" t="str">
        <f t="shared" si="70"/>
        <v>Yes</v>
      </c>
    </row>
    <row r="295" spans="1:20" x14ac:dyDescent="0.3">
      <c r="A295" s="16">
        <v>3</v>
      </c>
      <c r="B295" s="16">
        <v>3</v>
      </c>
      <c r="C295" s="3">
        <v>2</v>
      </c>
      <c r="D295" s="3">
        <v>2</v>
      </c>
      <c r="E295">
        <v>4.3</v>
      </c>
      <c r="G295">
        <v>7.2</v>
      </c>
      <c r="H295">
        <v>8.24</v>
      </c>
      <c r="I295">
        <v>9.1</v>
      </c>
      <c r="J295">
        <v>10.1</v>
      </c>
      <c r="K295">
        <v>0.65</v>
      </c>
      <c r="L295">
        <v>0.47</v>
      </c>
      <c r="M295">
        <v>0.22</v>
      </c>
      <c r="N295">
        <f t="shared" si="67"/>
        <v>8.6581914893616982</v>
      </c>
      <c r="O295">
        <f t="shared" si="68"/>
        <v>0.49666666666666676</v>
      </c>
      <c r="P295" s="6">
        <f t="shared" si="71"/>
        <v>4.3002351063829778</v>
      </c>
      <c r="R295">
        <f t="shared" si="69"/>
        <v>0.69179999999999997</v>
      </c>
      <c r="S295" t="str">
        <f t="shared" si="72"/>
        <v>Yes</v>
      </c>
      <c r="T295" t="str">
        <f t="shared" si="70"/>
        <v>Yes</v>
      </c>
    </row>
    <row r="296" spans="1:20" x14ac:dyDescent="0.3">
      <c r="A296" s="16">
        <v>3</v>
      </c>
      <c r="B296" s="16">
        <v>3</v>
      </c>
      <c r="C296" s="3">
        <v>2</v>
      </c>
      <c r="D296" s="16">
        <v>3</v>
      </c>
      <c r="E296">
        <v>6.6</v>
      </c>
      <c r="G296">
        <v>11.99</v>
      </c>
      <c r="H296">
        <v>12.97</v>
      </c>
      <c r="I296">
        <v>13.99</v>
      </c>
      <c r="J296">
        <v>14.93</v>
      </c>
      <c r="K296">
        <v>0.76</v>
      </c>
      <c r="L296">
        <v>0.46</v>
      </c>
      <c r="M296">
        <v>0.37</v>
      </c>
      <c r="N296">
        <f t="shared" si="67"/>
        <v>13.468383838383835</v>
      </c>
      <c r="O296">
        <f t="shared" si="68"/>
        <v>0.49</v>
      </c>
      <c r="P296" s="6">
        <f t="shared" si="71"/>
        <v>6.5995080808080786</v>
      </c>
      <c r="R296">
        <f t="shared" si="69"/>
        <v>0.92610000000000003</v>
      </c>
      <c r="S296" t="str">
        <f t="shared" si="72"/>
        <v>Yes</v>
      </c>
      <c r="T296" t="str">
        <f t="shared" si="70"/>
        <v>Yes</v>
      </c>
    </row>
    <row r="297" spans="1:20" x14ac:dyDescent="0.3">
      <c r="A297" s="16">
        <v>3</v>
      </c>
      <c r="B297" s="16">
        <v>3</v>
      </c>
      <c r="C297" s="3">
        <v>2</v>
      </c>
      <c r="D297" s="17">
        <v>4</v>
      </c>
      <c r="E297">
        <v>5.0999999999999996</v>
      </c>
      <c r="G297">
        <v>8.1</v>
      </c>
      <c r="H297">
        <v>9.1</v>
      </c>
      <c r="I297">
        <v>10.14</v>
      </c>
      <c r="J297">
        <v>11.15</v>
      </c>
      <c r="K297">
        <v>0.56000000000000005</v>
      </c>
      <c r="L297">
        <v>0.32</v>
      </c>
      <c r="M297">
        <v>0.33</v>
      </c>
      <c r="N297">
        <f t="shared" si="67"/>
        <v>9.622909535452326</v>
      </c>
      <c r="O297">
        <f t="shared" si="68"/>
        <v>0.53</v>
      </c>
      <c r="P297" s="6">
        <f t="shared" si="71"/>
        <v>5.1001420537897326</v>
      </c>
      <c r="R297">
        <f t="shared" si="69"/>
        <v>0.52490000000000003</v>
      </c>
      <c r="S297" t="str">
        <f t="shared" si="72"/>
        <v>Yes</v>
      </c>
      <c r="T297" t="str">
        <f t="shared" si="70"/>
        <v>Yes</v>
      </c>
    </row>
    <row r="298" spans="1:20" x14ac:dyDescent="0.3">
      <c r="A298" s="16">
        <v>3</v>
      </c>
      <c r="B298" s="16">
        <v>3</v>
      </c>
      <c r="C298" s="3">
        <v>2</v>
      </c>
      <c r="D298" s="5">
        <v>5</v>
      </c>
      <c r="E298">
        <v>4.0999999999999996</v>
      </c>
      <c r="G298">
        <v>5.2</v>
      </c>
      <c r="H298">
        <v>6.2</v>
      </c>
      <c r="I298">
        <v>7.2</v>
      </c>
      <c r="J298">
        <v>8.15</v>
      </c>
      <c r="K298">
        <v>0.74</v>
      </c>
      <c r="L298">
        <v>0.37</v>
      </c>
      <c r="M298">
        <v>0.16</v>
      </c>
      <c r="N298">
        <f t="shared" si="67"/>
        <v>6.6854430379746805</v>
      </c>
      <c r="O298">
        <f t="shared" si="68"/>
        <v>0.6133333333333334</v>
      </c>
      <c r="P298" s="6">
        <f t="shared" si="71"/>
        <v>4.100405063291138</v>
      </c>
      <c r="R298">
        <f t="shared" si="69"/>
        <v>0.71009999999999995</v>
      </c>
      <c r="S298" t="str">
        <f t="shared" si="72"/>
        <v>Yes</v>
      </c>
      <c r="T298" t="str">
        <f t="shared" si="70"/>
        <v>Yes</v>
      </c>
    </row>
    <row r="299" spans="1:20" x14ac:dyDescent="0.3">
      <c r="A299" s="16">
        <v>3</v>
      </c>
      <c r="B299" s="16">
        <v>3</v>
      </c>
      <c r="C299" s="3">
        <v>2</v>
      </c>
      <c r="D299" s="18">
        <v>6</v>
      </c>
      <c r="E299">
        <v>4.5</v>
      </c>
      <c r="G299">
        <v>7.7</v>
      </c>
      <c r="H299">
        <v>8.7100000000000009</v>
      </c>
      <c r="I299">
        <v>9.6999999999999993</v>
      </c>
      <c r="J299">
        <v>10.64</v>
      </c>
      <c r="K299">
        <v>0.64</v>
      </c>
      <c r="L299">
        <v>0.48</v>
      </c>
      <c r="M299">
        <v>0.21</v>
      </c>
      <c r="N299">
        <f t="shared" si="67"/>
        <v>9.1846055979643744</v>
      </c>
      <c r="O299">
        <f t="shared" si="68"/>
        <v>0.49000000000000005</v>
      </c>
      <c r="P299" s="6">
        <f t="shared" si="71"/>
        <v>4.5004567430025437</v>
      </c>
      <c r="R299">
        <f t="shared" si="69"/>
        <v>0.68410000000000004</v>
      </c>
      <c r="S299" t="str">
        <f t="shared" si="72"/>
        <v>Yes</v>
      </c>
      <c r="T299" t="str">
        <f t="shared" si="70"/>
        <v>Yes</v>
      </c>
    </row>
    <row r="300" spans="1:20" x14ac:dyDescent="0.3">
      <c r="A300" s="16">
        <v>3</v>
      </c>
      <c r="B300" s="16">
        <v>3</v>
      </c>
      <c r="C300" s="16">
        <v>3</v>
      </c>
      <c r="D300" s="15">
        <v>1</v>
      </c>
      <c r="E300">
        <v>6.3</v>
      </c>
      <c r="G300">
        <v>11.01</v>
      </c>
      <c r="H300">
        <v>12.02</v>
      </c>
      <c r="I300">
        <v>13.02</v>
      </c>
      <c r="J300">
        <v>14.02</v>
      </c>
      <c r="K300">
        <v>0.75</v>
      </c>
      <c r="L300">
        <v>0.5</v>
      </c>
      <c r="M300">
        <v>0.24</v>
      </c>
      <c r="N300">
        <f t="shared" si="67"/>
        <v>12.517082294264329</v>
      </c>
      <c r="O300">
        <f t="shared" si="68"/>
        <v>0.5033333333333333</v>
      </c>
      <c r="P300" s="6">
        <f t="shared" si="71"/>
        <v>6.3002647547797119</v>
      </c>
      <c r="R300">
        <f t="shared" si="69"/>
        <v>0.87009999999999998</v>
      </c>
      <c r="S300" t="str">
        <f t="shared" si="72"/>
        <v>Yes</v>
      </c>
      <c r="T300" t="str">
        <f t="shared" si="70"/>
        <v>Yes</v>
      </c>
    </row>
    <row r="301" spans="1:20" x14ac:dyDescent="0.3">
      <c r="A301" s="16">
        <v>3</v>
      </c>
      <c r="B301" s="16">
        <v>3</v>
      </c>
      <c r="C301" s="16">
        <v>3</v>
      </c>
      <c r="D301" s="3">
        <v>2</v>
      </c>
      <c r="E301">
        <v>4.5</v>
      </c>
      <c r="G301">
        <v>8.3000000000000007</v>
      </c>
      <c r="H301">
        <v>9.5500000000000007</v>
      </c>
      <c r="I301">
        <v>10.31</v>
      </c>
      <c r="J301">
        <v>11.55</v>
      </c>
      <c r="K301">
        <v>0.67</v>
      </c>
      <c r="L301">
        <v>0.46</v>
      </c>
      <c r="M301">
        <v>0.39</v>
      </c>
      <c r="N301">
        <f t="shared" si="67"/>
        <v>9.9269825436408983</v>
      </c>
      <c r="O301">
        <f t="shared" si="68"/>
        <v>0.45333333333333331</v>
      </c>
      <c r="P301" s="6">
        <f t="shared" si="71"/>
        <v>4.5002320864505405</v>
      </c>
      <c r="R301">
        <f t="shared" si="69"/>
        <v>0.8126000000000001</v>
      </c>
      <c r="S301" t="str">
        <f t="shared" si="72"/>
        <v>Yes</v>
      </c>
      <c r="T301" t="str">
        <f t="shared" si="70"/>
        <v>Yes</v>
      </c>
    </row>
    <row r="302" spans="1:20" x14ac:dyDescent="0.3">
      <c r="A302" s="16">
        <v>3</v>
      </c>
      <c r="B302" s="16">
        <v>3</v>
      </c>
      <c r="C302" s="16">
        <v>3</v>
      </c>
      <c r="D302" s="16">
        <v>3</v>
      </c>
      <c r="E302">
        <v>6.1</v>
      </c>
      <c r="G302">
        <v>8.08</v>
      </c>
      <c r="H302">
        <v>9.11</v>
      </c>
      <c r="I302">
        <v>10.07</v>
      </c>
      <c r="J302">
        <v>11.07</v>
      </c>
      <c r="K302">
        <v>0.76</v>
      </c>
      <c r="L302">
        <v>0.37</v>
      </c>
      <c r="M302">
        <v>0.11</v>
      </c>
      <c r="N302">
        <f t="shared" si="67"/>
        <v>9.5812151898734168</v>
      </c>
      <c r="O302">
        <f t="shared" si="68"/>
        <v>0.6366666666666666</v>
      </c>
      <c r="P302" s="6">
        <f t="shared" si="71"/>
        <v>6.1000403375527412</v>
      </c>
      <c r="R302">
        <f t="shared" si="69"/>
        <v>0.72660000000000002</v>
      </c>
      <c r="S302" t="str">
        <f t="shared" si="72"/>
        <v>Yes</v>
      </c>
      <c r="T302" t="str">
        <f t="shared" si="70"/>
        <v>Yes</v>
      </c>
    </row>
    <row r="303" spans="1:20" x14ac:dyDescent="0.3">
      <c r="A303" s="16">
        <v>3</v>
      </c>
      <c r="B303" s="16">
        <v>3</v>
      </c>
      <c r="C303" s="16">
        <v>3</v>
      </c>
      <c r="D303" s="17">
        <v>4</v>
      </c>
      <c r="E303">
        <v>7.2</v>
      </c>
      <c r="G303">
        <v>15.35</v>
      </c>
      <c r="H303">
        <v>16.600000000000001</v>
      </c>
      <c r="I303">
        <v>17.3</v>
      </c>
      <c r="J303">
        <v>18.3</v>
      </c>
      <c r="K303">
        <v>0.41</v>
      </c>
      <c r="L303">
        <v>0.36</v>
      </c>
      <c r="M303">
        <v>0.41</v>
      </c>
      <c r="N303">
        <f t="shared" si="67"/>
        <v>16.874657534246602</v>
      </c>
      <c r="O303">
        <f t="shared" si="68"/>
        <v>0.42666666666666669</v>
      </c>
      <c r="P303" s="6">
        <f t="shared" si="71"/>
        <v>7.1998538812785506</v>
      </c>
      <c r="R303">
        <f t="shared" si="69"/>
        <v>0.46579999999999994</v>
      </c>
      <c r="S303" t="str">
        <f t="shared" si="72"/>
        <v>Yes</v>
      </c>
      <c r="T303" t="str">
        <f t="shared" si="70"/>
        <v>Yes</v>
      </c>
    </row>
    <row r="304" spans="1:20" x14ac:dyDescent="0.3">
      <c r="A304" s="16">
        <v>3</v>
      </c>
      <c r="B304" s="16">
        <v>3</v>
      </c>
      <c r="C304" s="16">
        <v>3</v>
      </c>
      <c r="D304" s="5">
        <v>5</v>
      </c>
      <c r="E304">
        <v>6.5</v>
      </c>
      <c r="G304">
        <v>12.2</v>
      </c>
      <c r="H304">
        <v>13.25</v>
      </c>
      <c r="I304">
        <v>14.3</v>
      </c>
      <c r="J304">
        <v>15.2</v>
      </c>
      <c r="K304">
        <v>0.54</v>
      </c>
      <c r="L304">
        <v>0.35</v>
      </c>
      <c r="M304">
        <v>0.42</v>
      </c>
      <c r="N304">
        <f t="shared" si="67"/>
        <v>13.731481481481483</v>
      </c>
      <c r="O304">
        <f t="shared" si="68"/>
        <v>0.47333333333333338</v>
      </c>
      <c r="P304" s="6">
        <f t="shared" si="71"/>
        <v>6.4995679012345695</v>
      </c>
      <c r="R304">
        <f t="shared" si="69"/>
        <v>0.59050000000000002</v>
      </c>
      <c r="S304" t="str">
        <f t="shared" si="72"/>
        <v>Yes</v>
      </c>
      <c r="T304" t="str">
        <f t="shared" si="70"/>
        <v>Yes</v>
      </c>
    </row>
    <row r="305" spans="1:20" x14ac:dyDescent="0.3">
      <c r="A305" s="16">
        <v>3</v>
      </c>
      <c r="B305" s="16">
        <v>3</v>
      </c>
      <c r="C305" s="16">
        <v>3</v>
      </c>
      <c r="D305" s="18">
        <v>6</v>
      </c>
      <c r="E305">
        <v>7.1</v>
      </c>
      <c r="G305">
        <v>11.2</v>
      </c>
      <c r="H305">
        <v>12.2</v>
      </c>
      <c r="I305">
        <v>13.18</v>
      </c>
      <c r="J305">
        <v>14.14</v>
      </c>
      <c r="K305">
        <v>0.75</v>
      </c>
      <c r="L305">
        <v>0.37</v>
      </c>
      <c r="M305">
        <v>0.33</v>
      </c>
      <c r="N305">
        <f t="shared" si="67"/>
        <v>12.678333333333331</v>
      </c>
      <c r="O305">
        <f t="shared" si="68"/>
        <v>0.55999999999999994</v>
      </c>
      <c r="P305" s="6">
        <f t="shared" si="71"/>
        <v>7.0998666666666645</v>
      </c>
      <c r="R305">
        <f t="shared" si="69"/>
        <v>0.80830000000000002</v>
      </c>
      <c r="S305" t="str">
        <f t="shared" si="72"/>
        <v>Yes</v>
      </c>
      <c r="T305" t="str">
        <f t="shared" si="70"/>
        <v>Yes</v>
      </c>
    </row>
    <row r="306" spans="1:20" x14ac:dyDescent="0.3">
      <c r="A306" s="17">
        <v>4</v>
      </c>
      <c r="B306" s="15">
        <v>1</v>
      </c>
      <c r="C306" s="15">
        <v>1</v>
      </c>
      <c r="D306" s="15">
        <v>1</v>
      </c>
      <c r="E306">
        <v>2.4</v>
      </c>
      <c r="G306">
        <v>2.2000000000000002</v>
      </c>
      <c r="H306">
        <v>3.18</v>
      </c>
      <c r="I306">
        <v>4.18</v>
      </c>
      <c r="J306">
        <v>5.2</v>
      </c>
      <c r="K306">
        <v>0.6</v>
      </c>
      <c r="L306">
        <v>0.19</v>
      </c>
      <c r="M306">
        <v>0.27</v>
      </c>
      <c r="N306">
        <f t="shared" si="67"/>
        <v>3.6916666666666673</v>
      </c>
      <c r="O306">
        <f t="shared" si="68"/>
        <v>0.65</v>
      </c>
      <c r="P306" s="6">
        <f t="shared" si="71"/>
        <v>2.3995833333333336</v>
      </c>
      <c r="R306">
        <f t="shared" si="69"/>
        <v>0.46900000000000003</v>
      </c>
      <c r="S306" t="str">
        <f t="shared" si="72"/>
        <v>Yes</v>
      </c>
      <c r="T306" t="str">
        <f t="shared" si="70"/>
        <v>Yes</v>
      </c>
    </row>
    <row r="307" spans="1:20" x14ac:dyDescent="0.3">
      <c r="A307" s="17">
        <v>4</v>
      </c>
      <c r="B307" s="15">
        <v>1</v>
      </c>
      <c r="C307" s="15">
        <v>1</v>
      </c>
      <c r="D307" s="3">
        <v>2</v>
      </c>
      <c r="E307">
        <v>7.3</v>
      </c>
      <c r="G307">
        <v>7.54</v>
      </c>
      <c r="H307">
        <v>8.42</v>
      </c>
      <c r="I307">
        <v>9.48</v>
      </c>
      <c r="J307">
        <v>10.32</v>
      </c>
      <c r="K307">
        <v>0.75</v>
      </c>
      <c r="L307">
        <v>0.1</v>
      </c>
      <c r="M307">
        <v>0.1</v>
      </c>
      <c r="N307">
        <f t="shared" si="67"/>
        <v>8.9385069444444447</v>
      </c>
      <c r="O307">
        <f t="shared" si="68"/>
        <v>0.81666666666666676</v>
      </c>
      <c r="P307" s="6">
        <f t="shared" si="71"/>
        <v>7.2997806712962978</v>
      </c>
      <c r="R307">
        <f t="shared" si="69"/>
        <v>0.58250000000000002</v>
      </c>
      <c r="S307" t="str">
        <f t="shared" si="72"/>
        <v>Yes</v>
      </c>
      <c r="T307" t="str">
        <f t="shared" si="70"/>
        <v>Yes</v>
      </c>
    </row>
    <row r="308" spans="1:20" x14ac:dyDescent="0.3">
      <c r="A308" s="17">
        <v>4</v>
      </c>
      <c r="B308" s="15">
        <v>1</v>
      </c>
      <c r="C308" s="15">
        <v>1</v>
      </c>
      <c r="D308" s="16">
        <v>3</v>
      </c>
      <c r="E308">
        <v>5.6</v>
      </c>
      <c r="G308">
        <v>11.3</v>
      </c>
      <c r="H308">
        <v>12.3</v>
      </c>
      <c r="I308">
        <v>13.3</v>
      </c>
      <c r="J308">
        <v>14.05</v>
      </c>
      <c r="K308">
        <v>0.39</v>
      </c>
      <c r="L308">
        <v>0.39</v>
      </c>
      <c r="M308">
        <v>0.28999999999999998</v>
      </c>
      <c r="N308">
        <f t="shared" si="67"/>
        <v>12.727777777777778</v>
      </c>
      <c r="O308">
        <f t="shared" si="68"/>
        <v>0.44</v>
      </c>
      <c r="P308" s="6">
        <f t="shared" si="71"/>
        <v>5.6002222222222224</v>
      </c>
      <c r="R308">
        <f t="shared" si="69"/>
        <v>0.38830000000000003</v>
      </c>
      <c r="S308" t="str">
        <f t="shared" si="72"/>
        <v>Yes</v>
      </c>
      <c r="T308" t="str">
        <f t="shared" si="70"/>
        <v>Yes</v>
      </c>
    </row>
    <row r="309" spans="1:20" x14ac:dyDescent="0.3">
      <c r="A309" s="17">
        <v>4</v>
      </c>
      <c r="B309" s="15">
        <v>1</v>
      </c>
      <c r="C309" s="15">
        <v>1</v>
      </c>
      <c r="D309" s="17">
        <v>4</v>
      </c>
      <c r="E309">
        <v>3.8</v>
      </c>
      <c r="G309">
        <v>3.6</v>
      </c>
      <c r="H309">
        <v>4.5599999999999996</v>
      </c>
      <c r="I309">
        <v>5.55</v>
      </c>
      <c r="J309">
        <v>6.55</v>
      </c>
      <c r="K309">
        <v>0.86</v>
      </c>
      <c r="L309">
        <v>0.21</v>
      </c>
      <c r="M309">
        <v>0.19</v>
      </c>
      <c r="N309">
        <f t="shared" si="67"/>
        <v>5.0666582064297803</v>
      </c>
      <c r="O309">
        <f t="shared" si="68"/>
        <v>0.75</v>
      </c>
      <c r="P309" s="6">
        <f t="shared" si="71"/>
        <v>3.7999936548223352</v>
      </c>
      <c r="R309">
        <f t="shared" si="69"/>
        <v>0.81979999999999997</v>
      </c>
      <c r="S309" t="str">
        <f t="shared" si="72"/>
        <v>Yes</v>
      </c>
      <c r="T309" t="str">
        <f t="shared" si="70"/>
        <v>Yes</v>
      </c>
    </row>
    <row r="310" spans="1:20" x14ac:dyDescent="0.3">
      <c r="A310" s="17">
        <v>4</v>
      </c>
      <c r="B310" s="15">
        <v>1</v>
      </c>
      <c r="C310" s="15">
        <v>1</v>
      </c>
      <c r="D310" s="5">
        <v>5</v>
      </c>
      <c r="E310">
        <v>2.4</v>
      </c>
      <c r="G310">
        <v>3.2</v>
      </c>
      <c r="H310">
        <v>4.2</v>
      </c>
      <c r="I310">
        <v>5.15</v>
      </c>
      <c r="J310">
        <v>6.15</v>
      </c>
      <c r="K310">
        <v>0.47</v>
      </c>
      <c r="L310">
        <v>0.28000000000000003</v>
      </c>
      <c r="M310">
        <v>0.37</v>
      </c>
      <c r="N310">
        <f t="shared" si="67"/>
        <v>4.6749999999999989</v>
      </c>
      <c r="O310">
        <f t="shared" si="68"/>
        <v>0.51333333333333331</v>
      </c>
      <c r="P310" s="6">
        <f t="shared" si="71"/>
        <v>2.3998333333333326</v>
      </c>
      <c r="R310">
        <f t="shared" si="69"/>
        <v>0.43620000000000003</v>
      </c>
      <c r="S310" t="str">
        <f t="shared" si="72"/>
        <v>Yes</v>
      </c>
      <c r="T310" t="str">
        <f t="shared" si="70"/>
        <v>Yes</v>
      </c>
    </row>
    <row r="311" spans="1:20" x14ac:dyDescent="0.3">
      <c r="A311" s="17">
        <v>4</v>
      </c>
      <c r="B311" s="15">
        <v>1</v>
      </c>
      <c r="C311" s="15">
        <v>1</v>
      </c>
      <c r="D311" s="18">
        <v>6</v>
      </c>
      <c r="E311">
        <v>6.4</v>
      </c>
      <c r="G311">
        <v>7.2</v>
      </c>
      <c r="H311">
        <v>8.14</v>
      </c>
      <c r="I311" s="11">
        <v>9.1999999999999993</v>
      </c>
      <c r="J311">
        <v>10.199999999999999</v>
      </c>
      <c r="K311">
        <v>0.91</v>
      </c>
      <c r="L311">
        <v>0.3</v>
      </c>
      <c r="M311">
        <v>0.1</v>
      </c>
      <c r="N311">
        <f t="shared" si="67"/>
        <v>8.6873891625615762</v>
      </c>
      <c r="O311">
        <f t="shared" si="68"/>
        <v>0.73666666666666669</v>
      </c>
      <c r="P311" s="6">
        <f t="shared" si="71"/>
        <v>6.3997100164203617</v>
      </c>
      <c r="R311">
        <f t="shared" si="69"/>
        <v>0.92810000000000004</v>
      </c>
      <c r="S311" t="str">
        <f t="shared" si="72"/>
        <v>Yes</v>
      </c>
      <c r="T311" t="str">
        <f t="shared" si="70"/>
        <v>Yes</v>
      </c>
    </row>
    <row r="312" spans="1:20" x14ac:dyDescent="0.3">
      <c r="A312" s="17">
        <v>4</v>
      </c>
      <c r="B312" s="15">
        <v>1</v>
      </c>
      <c r="C312" s="3">
        <v>2</v>
      </c>
      <c r="D312" s="15">
        <v>1</v>
      </c>
      <c r="E312">
        <v>5.6</v>
      </c>
      <c r="G312">
        <v>7.65</v>
      </c>
      <c r="H312">
        <v>8.5</v>
      </c>
      <c r="I312">
        <v>9.35</v>
      </c>
      <c r="J312">
        <v>10.4</v>
      </c>
      <c r="K312">
        <v>0.75</v>
      </c>
      <c r="L312">
        <v>0.38</v>
      </c>
      <c r="M312">
        <v>0.12</v>
      </c>
      <c r="N312">
        <f t="shared" si="67"/>
        <v>8.9837962962962958</v>
      </c>
      <c r="O312">
        <f t="shared" si="68"/>
        <v>0.62333333333333341</v>
      </c>
      <c r="P312" s="6">
        <f t="shared" si="71"/>
        <v>5.5998996913580248</v>
      </c>
      <c r="R312">
        <f t="shared" si="69"/>
        <v>0.72129999999999994</v>
      </c>
      <c r="S312" t="str">
        <f t="shared" si="72"/>
        <v>Yes</v>
      </c>
      <c r="T312" t="str">
        <f t="shared" si="70"/>
        <v>Yes</v>
      </c>
    </row>
    <row r="313" spans="1:20" x14ac:dyDescent="0.3">
      <c r="A313" s="17">
        <v>4</v>
      </c>
      <c r="B313" s="15">
        <v>1</v>
      </c>
      <c r="C313" s="3">
        <v>2</v>
      </c>
      <c r="D313" s="3">
        <v>2</v>
      </c>
      <c r="E313">
        <v>2.8</v>
      </c>
      <c r="G313">
        <v>3.5</v>
      </c>
      <c r="H313">
        <v>4.5</v>
      </c>
      <c r="I313">
        <v>5.44</v>
      </c>
      <c r="J313">
        <v>6.44</v>
      </c>
      <c r="K313">
        <v>0.76</v>
      </c>
      <c r="L313">
        <v>0.39</v>
      </c>
      <c r="M313">
        <v>0.28999999999999998</v>
      </c>
      <c r="N313">
        <f t="shared" si="67"/>
        <v>4.9700000000000006</v>
      </c>
      <c r="O313">
        <f t="shared" si="68"/>
        <v>0.56333333333333335</v>
      </c>
      <c r="P313" s="6">
        <f t="shared" si="71"/>
        <v>2.7997666666666672</v>
      </c>
      <c r="R313">
        <f t="shared" si="69"/>
        <v>0.81379999999999997</v>
      </c>
      <c r="S313" t="str">
        <f t="shared" si="72"/>
        <v>Yes</v>
      </c>
      <c r="T313" t="str">
        <f t="shared" si="70"/>
        <v>Yes</v>
      </c>
    </row>
    <row r="314" spans="1:20" x14ac:dyDescent="0.3">
      <c r="A314" s="17">
        <v>4</v>
      </c>
      <c r="B314" s="15">
        <v>1</v>
      </c>
      <c r="C314" s="3">
        <v>2</v>
      </c>
      <c r="D314" s="16">
        <v>3</v>
      </c>
      <c r="E314">
        <v>4.5999999999999996</v>
      </c>
      <c r="G314">
        <v>8.1999999999999993</v>
      </c>
      <c r="H314">
        <v>9.1999999999999993</v>
      </c>
      <c r="I314">
        <v>10.1</v>
      </c>
      <c r="J314">
        <v>11.1</v>
      </c>
      <c r="K314">
        <v>0.57999999999999996</v>
      </c>
      <c r="L314">
        <v>0.48</v>
      </c>
      <c r="M314">
        <v>0.19</v>
      </c>
      <c r="N314">
        <f t="shared" si="67"/>
        <v>9.6499999999999968</v>
      </c>
      <c r="O314">
        <f t="shared" si="68"/>
        <v>0.47666666666666663</v>
      </c>
      <c r="P314" s="6">
        <f t="shared" si="71"/>
        <v>4.599833333333331</v>
      </c>
      <c r="R314">
        <f t="shared" si="69"/>
        <v>0.60289999999999999</v>
      </c>
      <c r="S314" t="str">
        <f t="shared" si="72"/>
        <v>Yes</v>
      </c>
      <c r="T314" t="str">
        <f t="shared" si="70"/>
        <v>Yes</v>
      </c>
    </row>
    <row r="315" spans="1:20" x14ac:dyDescent="0.3">
      <c r="A315" s="17">
        <v>4</v>
      </c>
      <c r="B315" s="15">
        <v>1</v>
      </c>
      <c r="C315" s="3">
        <v>2</v>
      </c>
      <c r="D315" s="17">
        <v>4</v>
      </c>
      <c r="E315">
        <v>3.7</v>
      </c>
      <c r="G315">
        <v>7.1</v>
      </c>
      <c r="H315">
        <v>8.11</v>
      </c>
      <c r="I315">
        <v>9.11</v>
      </c>
      <c r="J315">
        <v>10.1</v>
      </c>
      <c r="K315">
        <v>0.48</v>
      </c>
      <c r="L315">
        <v>0.32</v>
      </c>
      <c r="M315">
        <v>0.55000000000000004</v>
      </c>
      <c r="N315">
        <f t="shared" si="67"/>
        <v>8.6041666666666661</v>
      </c>
      <c r="O315">
        <f t="shared" si="68"/>
        <v>0.43</v>
      </c>
      <c r="P315" s="6">
        <f t="shared" si="71"/>
        <v>3.6997916666666661</v>
      </c>
      <c r="R315">
        <f t="shared" si="69"/>
        <v>0.63529999999999998</v>
      </c>
      <c r="S315" t="str">
        <f t="shared" si="72"/>
        <v>Yes</v>
      </c>
      <c r="T315" t="str">
        <f t="shared" si="70"/>
        <v>Yes</v>
      </c>
    </row>
    <row r="316" spans="1:20" x14ac:dyDescent="0.3">
      <c r="A316" s="17">
        <v>4</v>
      </c>
      <c r="B316" s="15">
        <v>1</v>
      </c>
      <c r="C316" s="3">
        <v>2</v>
      </c>
      <c r="D316" s="5">
        <v>5</v>
      </c>
      <c r="E316">
        <v>3.8</v>
      </c>
      <c r="G316">
        <v>4.8</v>
      </c>
      <c r="H316">
        <v>5.81</v>
      </c>
      <c r="I316">
        <v>6.81</v>
      </c>
      <c r="J316">
        <v>7.9</v>
      </c>
      <c r="K316">
        <v>0.83</v>
      </c>
      <c r="L316">
        <v>0.39</v>
      </c>
      <c r="M316">
        <v>0.25</v>
      </c>
      <c r="N316">
        <f t="shared" si="67"/>
        <v>6.3334146341463393</v>
      </c>
      <c r="O316">
        <f t="shared" si="68"/>
        <v>0.6</v>
      </c>
      <c r="P316" s="6">
        <f t="shared" si="71"/>
        <v>3.8000487804878036</v>
      </c>
      <c r="R316">
        <f t="shared" si="69"/>
        <v>0.90349999999999997</v>
      </c>
      <c r="S316" t="str">
        <f t="shared" si="72"/>
        <v>Yes</v>
      </c>
      <c r="T316" t="str">
        <f t="shared" si="70"/>
        <v>Yes</v>
      </c>
    </row>
    <row r="317" spans="1:20" x14ac:dyDescent="0.3">
      <c r="A317" s="17">
        <v>4</v>
      </c>
      <c r="B317" s="15">
        <v>1</v>
      </c>
      <c r="C317" s="3">
        <v>2</v>
      </c>
      <c r="D317" s="18">
        <v>6</v>
      </c>
      <c r="E317">
        <v>7.3</v>
      </c>
      <c r="G317">
        <v>10.14</v>
      </c>
      <c r="H317">
        <v>11.1</v>
      </c>
      <c r="I317">
        <v>12.3</v>
      </c>
      <c r="J317">
        <v>13.3</v>
      </c>
      <c r="K317">
        <v>0.56000000000000005</v>
      </c>
      <c r="L317">
        <v>0.19</v>
      </c>
      <c r="M317">
        <v>0.31</v>
      </c>
      <c r="N317">
        <f t="shared" si="67"/>
        <v>11.711498470948017</v>
      </c>
      <c r="O317">
        <f t="shared" si="68"/>
        <v>0.62333333333333341</v>
      </c>
      <c r="P317" s="6">
        <f t="shared" si="71"/>
        <v>7.3001673802242646</v>
      </c>
      <c r="R317">
        <f t="shared" si="69"/>
        <v>0.44580000000000009</v>
      </c>
      <c r="S317" t="str">
        <f t="shared" si="72"/>
        <v>Yes</v>
      </c>
      <c r="T317" t="str">
        <f t="shared" si="70"/>
        <v>Yes</v>
      </c>
    </row>
    <row r="318" spans="1:20" x14ac:dyDescent="0.3">
      <c r="A318" s="17">
        <v>4</v>
      </c>
      <c r="B318" s="15">
        <v>1</v>
      </c>
      <c r="C318" s="16">
        <v>3</v>
      </c>
      <c r="D318" s="15">
        <v>1</v>
      </c>
      <c r="E318">
        <v>6.2</v>
      </c>
      <c r="G318">
        <v>15.5</v>
      </c>
      <c r="H318">
        <v>16.399999999999999</v>
      </c>
      <c r="I318">
        <v>17.3</v>
      </c>
      <c r="J318">
        <v>18.399999999999999</v>
      </c>
      <c r="K318">
        <v>0.47</v>
      </c>
      <c r="L318">
        <v>0.38</v>
      </c>
      <c r="M318">
        <v>0.61</v>
      </c>
      <c r="N318">
        <f t="shared" si="67"/>
        <v>16.908771929824542</v>
      </c>
      <c r="O318">
        <f t="shared" si="68"/>
        <v>0.3666666666666667</v>
      </c>
      <c r="P318" s="6">
        <f t="shared" si="71"/>
        <v>6.1998830409356662</v>
      </c>
      <c r="R318">
        <f t="shared" si="69"/>
        <v>0.73739999999999994</v>
      </c>
      <c r="S318" t="str">
        <f t="shared" si="72"/>
        <v>Yes</v>
      </c>
      <c r="T318" t="str">
        <f t="shared" si="70"/>
        <v>Yes</v>
      </c>
    </row>
    <row r="319" spans="1:20" x14ac:dyDescent="0.3">
      <c r="A319" s="17">
        <v>4</v>
      </c>
      <c r="B319" s="15">
        <v>1</v>
      </c>
      <c r="C319" s="16">
        <v>3</v>
      </c>
      <c r="D319" s="3">
        <v>2</v>
      </c>
      <c r="E319">
        <v>8.5</v>
      </c>
      <c r="G319">
        <v>10.1</v>
      </c>
      <c r="H319">
        <v>11.1</v>
      </c>
      <c r="I319">
        <v>12.1</v>
      </c>
      <c r="J319">
        <v>13.07</v>
      </c>
      <c r="K319">
        <v>0.87</v>
      </c>
      <c r="L319">
        <v>0.25</v>
      </c>
      <c r="M319">
        <v>0.17</v>
      </c>
      <c r="N319">
        <f t="shared" si="67"/>
        <v>11.591259445843825</v>
      </c>
      <c r="O319">
        <f t="shared" si="68"/>
        <v>0.73333333333333339</v>
      </c>
      <c r="P319" s="6">
        <f t="shared" si="71"/>
        <v>8.5002569269521384</v>
      </c>
      <c r="R319">
        <f t="shared" si="69"/>
        <v>0.84830000000000005</v>
      </c>
      <c r="S319" t="str">
        <f t="shared" si="72"/>
        <v>Yes</v>
      </c>
      <c r="T319" t="str">
        <f t="shared" si="70"/>
        <v>Yes</v>
      </c>
    </row>
    <row r="320" spans="1:20" x14ac:dyDescent="0.3">
      <c r="A320" s="17">
        <v>4</v>
      </c>
      <c r="B320" s="15">
        <v>1</v>
      </c>
      <c r="C320" s="16">
        <v>3</v>
      </c>
      <c r="D320" s="16">
        <v>3</v>
      </c>
      <c r="E320">
        <v>8.1999999999999993</v>
      </c>
      <c r="G320">
        <v>8.5</v>
      </c>
      <c r="H320">
        <v>9.4499999999999993</v>
      </c>
      <c r="I320">
        <v>10.3</v>
      </c>
      <c r="J320">
        <v>11.4</v>
      </c>
      <c r="K320">
        <v>0.9</v>
      </c>
      <c r="L320">
        <v>0.06</v>
      </c>
      <c r="M320">
        <v>0.3</v>
      </c>
      <c r="N320">
        <f t="shared" si="67"/>
        <v>9.9193333333333289</v>
      </c>
      <c r="O320">
        <f t="shared" si="68"/>
        <v>0.82666666666666666</v>
      </c>
      <c r="P320" s="6">
        <f t="shared" si="71"/>
        <v>8.1999822222222178</v>
      </c>
      <c r="R320">
        <f t="shared" si="69"/>
        <v>0.90360000000000007</v>
      </c>
      <c r="S320" t="str">
        <f t="shared" si="72"/>
        <v>Yes</v>
      </c>
      <c r="T320" t="str">
        <f t="shared" si="70"/>
        <v>Yes</v>
      </c>
    </row>
    <row r="321" spans="1:20" x14ac:dyDescent="0.3">
      <c r="A321" s="17">
        <v>4</v>
      </c>
      <c r="B321" s="15">
        <v>1</v>
      </c>
      <c r="C321" s="16">
        <v>3</v>
      </c>
      <c r="D321" s="17">
        <v>4</v>
      </c>
      <c r="E321">
        <v>7.9</v>
      </c>
      <c r="G321">
        <v>10.6</v>
      </c>
      <c r="H321">
        <v>11.56</v>
      </c>
      <c r="I321">
        <v>12.6</v>
      </c>
      <c r="J321">
        <v>13.6</v>
      </c>
      <c r="K321">
        <v>0.67</v>
      </c>
      <c r="L321">
        <v>0.28000000000000003</v>
      </c>
      <c r="M321">
        <v>0.15</v>
      </c>
      <c r="N321">
        <f t="shared" si="67"/>
        <v>12.091617161716167</v>
      </c>
      <c r="O321">
        <f t="shared" si="68"/>
        <v>0.65333333333333332</v>
      </c>
      <c r="P321" s="6">
        <f t="shared" si="71"/>
        <v>7.8998565456545622</v>
      </c>
      <c r="R321">
        <f t="shared" si="69"/>
        <v>0.54980000000000007</v>
      </c>
      <c r="S321" t="str">
        <f t="shared" si="72"/>
        <v>Yes</v>
      </c>
      <c r="T321" t="str">
        <f t="shared" si="70"/>
        <v>Yes</v>
      </c>
    </row>
    <row r="322" spans="1:20" x14ac:dyDescent="0.3">
      <c r="A322" s="17">
        <v>4</v>
      </c>
      <c r="B322" s="15">
        <v>1</v>
      </c>
      <c r="C322" s="16">
        <v>3</v>
      </c>
      <c r="D322" s="5">
        <v>5</v>
      </c>
      <c r="E322">
        <v>2.9</v>
      </c>
      <c r="G322">
        <v>2.58</v>
      </c>
      <c r="H322">
        <v>3.2</v>
      </c>
      <c r="I322">
        <v>4.2</v>
      </c>
      <c r="J322">
        <v>5.1100000000000003</v>
      </c>
      <c r="K322">
        <v>0.87</v>
      </c>
      <c r="L322">
        <v>0.18</v>
      </c>
      <c r="M322">
        <v>0.21</v>
      </c>
      <c r="N322">
        <f t="shared" si="67"/>
        <v>3.7829745042492919</v>
      </c>
      <c r="O322">
        <f t="shared" si="68"/>
        <v>0.76666666666666661</v>
      </c>
      <c r="P322" s="6">
        <f t="shared" si="71"/>
        <v>2.9002804532577904</v>
      </c>
      <c r="R322">
        <f t="shared" si="69"/>
        <v>0.83340000000000003</v>
      </c>
      <c r="S322" t="str">
        <f t="shared" si="72"/>
        <v>Yes</v>
      </c>
      <c r="T322" t="str">
        <f t="shared" si="70"/>
        <v>Yes</v>
      </c>
    </row>
    <row r="323" spans="1:20" x14ac:dyDescent="0.3">
      <c r="A323" s="17">
        <v>4</v>
      </c>
      <c r="B323" s="15">
        <v>1</v>
      </c>
      <c r="C323" s="16">
        <v>3</v>
      </c>
      <c r="D323" s="18">
        <v>6</v>
      </c>
      <c r="E323">
        <v>5.8</v>
      </c>
      <c r="G323">
        <v>8.6</v>
      </c>
      <c r="H323">
        <v>9.6</v>
      </c>
      <c r="I323">
        <v>10.61</v>
      </c>
      <c r="J323">
        <v>11.85</v>
      </c>
      <c r="K323">
        <v>0.76</v>
      </c>
      <c r="L323">
        <v>0.38</v>
      </c>
      <c r="M323">
        <v>0.28999999999999998</v>
      </c>
      <c r="N323">
        <f t="shared" si="67"/>
        <v>10.175516431924875</v>
      </c>
      <c r="O323">
        <f t="shared" si="68"/>
        <v>0.56999999999999995</v>
      </c>
      <c r="P323" s="6">
        <f t="shared" si="71"/>
        <v>5.8000443661971781</v>
      </c>
      <c r="R323">
        <f t="shared" si="69"/>
        <v>0.80609999999999993</v>
      </c>
      <c r="S323" t="str">
        <f t="shared" si="72"/>
        <v>Yes</v>
      </c>
      <c r="T323" t="str">
        <f t="shared" si="70"/>
        <v>Yes</v>
      </c>
    </row>
    <row r="324" spans="1:20" x14ac:dyDescent="0.3">
      <c r="A324" s="17">
        <v>4</v>
      </c>
      <c r="B324" s="3">
        <v>2</v>
      </c>
      <c r="C324" s="15">
        <v>1</v>
      </c>
      <c r="D324" s="15">
        <v>1</v>
      </c>
      <c r="E324">
        <v>4.5999999999999996</v>
      </c>
      <c r="G324">
        <v>7.2</v>
      </c>
      <c r="H324">
        <v>8.42</v>
      </c>
      <c r="I324">
        <v>9.41</v>
      </c>
      <c r="J324">
        <v>10.199999999999999</v>
      </c>
      <c r="K324">
        <v>0.56999999999999995</v>
      </c>
      <c r="L324">
        <v>0.22</v>
      </c>
      <c r="M324">
        <v>0.56000000000000005</v>
      </c>
      <c r="N324">
        <f t="shared" si="67"/>
        <v>8.7894486215538858</v>
      </c>
      <c r="O324">
        <f t="shared" si="68"/>
        <v>0.52333333333333332</v>
      </c>
      <c r="P324" s="6">
        <f t="shared" si="71"/>
        <v>4.5998114452798671</v>
      </c>
      <c r="R324">
        <f t="shared" si="69"/>
        <v>0.68690000000000007</v>
      </c>
      <c r="S324" t="str">
        <f t="shared" si="72"/>
        <v>Yes</v>
      </c>
      <c r="T324" t="str">
        <f t="shared" si="70"/>
        <v>Yes</v>
      </c>
    </row>
    <row r="325" spans="1:20" x14ac:dyDescent="0.3">
      <c r="A325" s="17">
        <v>4</v>
      </c>
      <c r="B325" s="3">
        <v>2</v>
      </c>
      <c r="C325" s="15">
        <v>1</v>
      </c>
      <c r="D325" s="3">
        <v>2</v>
      </c>
      <c r="E325">
        <v>7.5</v>
      </c>
      <c r="G325">
        <v>6</v>
      </c>
      <c r="H325">
        <v>7</v>
      </c>
      <c r="I325">
        <v>8</v>
      </c>
      <c r="J325">
        <v>9</v>
      </c>
      <c r="K325">
        <v>1</v>
      </c>
      <c r="L325">
        <v>0</v>
      </c>
      <c r="M325">
        <v>0</v>
      </c>
      <c r="N325">
        <f t="shared" si="67"/>
        <v>7.5</v>
      </c>
      <c r="O325">
        <f t="shared" si="68"/>
        <v>1</v>
      </c>
      <c r="P325" s="6">
        <f t="shared" si="71"/>
        <v>7.5</v>
      </c>
      <c r="R325">
        <f t="shared" si="69"/>
        <v>1</v>
      </c>
      <c r="S325" t="str">
        <f t="shared" si="72"/>
        <v>Yes</v>
      </c>
      <c r="T325" t="str">
        <f t="shared" si="70"/>
        <v>Yes</v>
      </c>
    </row>
    <row r="326" spans="1:20" x14ac:dyDescent="0.3">
      <c r="A326" s="17">
        <v>4</v>
      </c>
      <c r="B326" s="3">
        <v>2</v>
      </c>
      <c r="C326" s="15">
        <v>1</v>
      </c>
      <c r="D326" s="16">
        <v>3</v>
      </c>
      <c r="E326">
        <v>7.8</v>
      </c>
      <c r="G326">
        <v>14.1</v>
      </c>
      <c r="H326">
        <v>15.1</v>
      </c>
      <c r="I326">
        <v>16.100000000000001</v>
      </c>
      <c r="J326">
        <v>17.100000000000001</v>
      </c>
      <c r="K326">
        <v>0.47</v>
      </c>
      <c r="L326">
        <v>0.39</v>
      </c>
      <c r="M326">
        <v>0.19</v>
      </c>
      <c r="N326">
        <f t="shared" ref="N326:N359" si="73">((I326^2)+(I326*J326)+(J326^2)-(G326^2)-(G326*H326)-(H326^2))/(3*(J326+I326-G326-H326))</f>
        <v>15.600000000000007</v>
      </c>
      <c r="O326">
        <f t="shared" ref="O326:O359" si="74">(K326-(2*L326)-M326+2)/3</f>
        <v>0.5</v>
      </c>
      <c r="P326" s="6">
        <f t="shared" si="71"/>
        <v>7.8000000000000034</v>
      </c>
      <c r="R326">
        <f t="shared" ref="R326:R359" si="75">K326^2+L326^2+M326^2</f>
        <v>0.40910000000000002</v>
      </c>
      <c r="S326" t="str">
        <f t="shared" si="72"/>
        <v>Yes</v>
      </c>
      <c r="T326" t="str">
        <f t="shared" ref="T326:T359" si="76">IF(ROUND(P326,2)=E326,"Yes","No")</f>
        <v>Yes</v>
      </c>
    </row>
    <row r="327" spans="1:20" x14ac:dyDescent="0.3">
      <c r="A327" s="17">
        <v>4</v>
      </c>
      <c r="B327" s="3">
        <v>2</v>
      </c>
      <c r="C327" s="15">
        <v>1</v>
      </c>
      <c r="D327" s="17">
        <v>4</v>
      </c>
      <c r="E327">
        <v>5.7</v>
      </c>
      <c r="G327">
        <v>8.6</v>
      </c>
      <c r="H327">
        <v>9.64</v>
      </c>
      <c r="I327" s="11">
        <v>10.62</v>
      </c>
      <c r="J327">
        <v>11.62</v>
      </c>
      <c r="K327">
        <v>0.67</v>
      </c>
      <c r="L327">
        <v>0.39</v>
      </c>
      <c r="M327">
        <v>0.2</v>
      </c>
      <c r="N327">
        <f t="shared" si="73"/>
        <v>10.1183</v>
      </c>
      <c r="O327">
        <f t="shared" si="74"/>
        <v>0.56333333333333335</v>
      </c>
      <c r="P327" s="6">
        <f t="shared" ref="P327:P359" si="77">N327*O327</f>
        <v>5.699975666666667</v>
      </c>
      <c r="R327">
        <f t="shared" si="75"/>
        <v>0.64100000000000013</v>
      </c>
      <c r="S327" t="str">
        <f t="shared" ref="S327:S359" si="78">IF(AND(R327&gt;=0,R327&lt;=1),"Yes","No")</f>
        <v>Yes</v>
      </c>
      <c r="T327" t="str">
        <f t="shared" si="76"/>
        <v>Yes</v>
      </c>
    </row>
    <row r="328" spans="1:20" x14ac:dyDescent="0.3">
      <c r="A328" s="17">
        <v>4</v>
      </c>
      <c r="B328" s="3">
        <v>2</v>
      </c>
      <c r="C328" s="15">
        <v>1</v>
      </c>
      <c r="D328" s="5">
        <v>5</v>
      </c>
      <c r="E328">
        <v>8.5</v>
      </c>
      <c r="G328">
        <v>12.1</v>
      </c>
      <c r="H328">
        <v>13.15</v>
      </c>
      <c r="I328">
        <v>14.1</v>
      </c>
      <c r="J328">
        <v>15.19</v>
      </c>
      <c r="K328">
        <v>0.73</v>
      </c>
      <c r="L328">
        <v>0.28999999999999998</v>
      </c>
      <c r="M328">
        <v>0.28000000000000003</v>
      </c>
      <c r="N328">
        <f t="shared" si="73"/>
        <v>13.636765676567666</v>
      </c>
      <c r="O328">
        <f t="shared" si="74"/>
        <v>0.62333333333333341</v>
      </c>
      <c r="P328" s="6">
        <f t="shared" si="77"/>
        <v>8.5002506050605131</v>
      </c>
      <c r="R328">
        <f t="shared" si="75"/>
        <v>0.69539999999999991</v>
      </c>
      <c r="S328" t="str">
        <f t="shared" si="78"/>
        <v>Yes</v>
      </c>
      <c r="T328" t="str">
        <f t="shared" si="76"/>
        <v>Yes</v>
      </c>
    </row>
    <row r="329" spans="1:20" x14ac:dyDescent="0.3">
      <c r="A329" s="17">
        <v>4</v>
      </c>
      <c r="B329" s="3">
        <v>2</v>
      </c>
      <c r="C329" s="15">
        <v>1</v>
      </c>
      <c r="D329" s="18">
        <v>6</v>
      </c>
      <c r="E329">
        <v>7.8</v>
      </c>
      <c r="G329">
        <v>8.68</v>
      </c>
      <c r="H329">
        <v>9.74</v>
      </c>
      <c r="I329">
        <v>10.75</v>
      </c>
      <c r="J329">
        <v>11.41</v>
      </c>
      <c r="K329">
        <v>0.83</v>
      </c>
      <c r="L329">
        <v>0.21</v>
      </c>
      <c r="M329">
        <v>0.1</v>
      </c>
      <c r="N329">
        <f t="shared" si="73"/>
        <v>10.129670231729053</v>
      </c>
      <c r="O329">
        <f t="shared" si="74"/>
        <v>0.77</v>
      </c>
      <c r="P329" s="6">
        <f t="shared" si="77"/>
        <v>7.7998460784313712</v>
      </c>
      <c r="R329">
        <f t="shared" si="75"/>
        <v>0.74299999999999999</v>
      </c>
      <c r="S329" t="str">
        <f t="shared" si="78"/>
        <v>Yes</v>
      </c>
      <c r="T329" t="str">
        <f t="shared" si="76"/>
        <v>Yes</v>
      </c>
    </row>
    <row r="330" spans="1:20" x14ac:dyDescent="0.3">
      <c r="A330" s="17">
        <v>4</v>
      </c>
      <c r="B330" s="3">
        <v>2</v>
      </c>
      <c r="C330" s="3">
        <v>2</v>
      </c>
      <c r="D330" s="15">
        <v>1</v>
      </c>
      <c r="E330">
        <v>2.9</v>
      </c>
      <c r="G330">
        <v>2.21</v>
      </c>
      <c r="H330">
        <v>3.15</v>
      </c>
      <c r="I330">
        <v>4.1900000000000004</v>
      </c>
      <c r="J330">
        <v>5.08</v>
      </c>
      <c r="K330">
        <v>0.91</v>
      </c>
      <c r="L330">
        <v>0.21</v>
      </c>
      <c r="M330">
        <v>0.11</v>
      </c>
      <c r="N330">
        <f t="shared" si="73"/>
        <v>3.6555498721227622</v>
      </c>
      <c r="O330">
        <f t="shared" si="74"/>
        <v>0.79333333333333333</v>
      </c>
      <c r="P330" s="6">
        <f t="shared" si="77"/>
        <v>2.9000695652173913</v>
      </c>
      <c r="R330">
        <f t="shared" si="75"/>
        <v>0.88430000000000009</v>
      </c>
      <c r="S330" t="str">
        <f t="shared" si="78"/>
        <v>Yes</v>
      </c>
      <c r="T330" t="str">
        <f t="shared" si="76"/>
        <v>Yes</v>
      </c>
    </row>
    <row r="331" spans="1:20" x14ac:dyDescent="0.3">
      <c r="A331" s="17">
        <v>4</v>
      </c>
      <c r="B331" s="3">
        <v>2</v>
      </c>
      <c r="C331" s="3">
        <v>2</v>
      </c>
      <c r="D331" s="3">
        <v>2</v>
      </c>
      <c r="E331">
        <v>6.3</v>
      </c>
      <c r="G331">
        <v>11.19</v>
      </c>
      <c r="H331">
        <v>12.19</v>
      </c>
      <c r="I331">
        <v>13.18</v>
      </c>
      <c r="J331">
        <v>14.18</v>
      </c>
      <c r="K331">
        <v>0.48</v>
      </c>
      <c r="L331">
        <v>0.39</v>
      </c>
      <c r="M331">
        <v>0.21</v>
      </c>
      <c r="N331">
        <f t="shared" si="73"/>
        <v>12.684999999999995</v>
      </c>
      <c r="O331">
        <f t="shared" si="74"/>
        <v>0.49666666666666665</v>
      </c>
      <c r="P331" s="6">
        <f t="shared" si="77"/>
        <v>6.3002166666666639</v>
      </c>
      <c r="R331">
        <f t="shared" si="75"/>
        <v>0.42659999999999998</v>
      </c>
      <c r="S331" t="str">
        <f t="shared" si="78"/>
        <v>Yes</v>
      </c>
      <c r="T331" t="str">
        <f t="shared" si="76"/>
        <v>Yes</v>
      </c>
    </row>
    <row r="332" spans="1:20" x14ac:dyDescent="0.3">
      <c r="A332" s="17">
        <v>4</v>
      </c>
      <c r="B332" s="3">
        <v>2</v>
      </c>
      <c r="C332" s="3">
        <v>2</v>
      </c>
      <c r="D332" s="16">
        <v>3</v>
      </c>
      <c r="E332">
        <v>6.8</v>
      </c>
      <c r="G332">
        <v>7.6</v>
      </c>
      <c r="H332">
        <v>8.42</v>
      </c>
      <c r="I332">
        <v>9.6999999999999993</v>
      </c>
      <c r="J332">
        <v>10.4</v>
      </c>
      <c r="K332">
        <v>0.83</v>
      </c>
      <c r="L332">
        <v>0.2</v>
      </c>
      <c r="M332">
        <v>0.17</v>
      </c>
      <c r="N332">
        <f t="shared" si="73"/>
        <v>9.026274509803919</v>
      </c>
      <c r="O332">
        <f t="shared" si="74"/>
        <v>0.7533333333333333</v>
      </c>
      <c r="P332" s="6">
        <f t="shared" si="77"/>
        <v>6.7997934640522857</v>
      </c>
      <c r="R332">
        <f t="shared" si="75"/>
        <v>0.75780000000000003</v>
      </c>
      <c r="S332" t="str">
        <f t="shared" si="78"/>
        <v>Yes</v>
      </c>
      <c r="T332" t="str">
        <f t="shared" si="76"/>
        <v>Yes</v>
      </c>
    </row>
    <row r="333" spans="1:20" x14ac:dyDescent="0.3">
      <c r="A333" s="17">
        <v>4</v>
      </c>
      <c r="B333" s="3">
        <v>2</v>
      </c>
      <c r="C333" s="3">
        <v>2</v>
      </c>
      <c r="D333" s="17">
        <v>4</v>
      </c>
      <c r="E333">
        <v>3.6</v>
      </c>
      <c r="G333">
        <v>4.7</v>
      </c>
      <c r="H333">
        <v>5.7</v>
      </c>
      <c r="I333">
        <v>6.8</v>
      </c>
      <c r="J333">
        <v>7.4</v>
      </c>
      <c r="K333">
        <v>0.65</v>
      </c>
      <c r="L333">
        <v>0.38</v>
      </c>
      <c r="M333">
        <v>0.13</v>
      </c>
      <c r="N333">
        <f t="shared" si="73"/>
        <v>6.1359649122807012</v>
      </c>
      <c r="O333">
        <f t="shared" si="74"/>
        <v>0.58666666666666667</v>
      </c>
      <c r="P333" s="6">
        <f t="shared" si="77"/>
        <v>3.5997660818713446</v>
      </c>
      <c r="R333">
        <f t="shared" si="75"/>
        <v>0.5838000000000001</v>
      </c>
      <c r="S333" t="str">
        <f t="shared" si="78"/>
        <v>Yes</v>
      </c>
      <c r="T333" t="str">
        <f t="shared" si="76"/>
        <v>Yes</v>
      </c>
    </row>
    <row r="334" spans="1:20" x14ac:dyDescent="0.3">
      <c r="A334" s="17">
        <v>4</v>
      </c>
      <c r="B334" s="3">
        <v>2</v>
      </c>
      <c r="C334" s="3">
        <v>2</v>
      </c>
      <c r="D334" s="5">
        <v>5</v>
      </c>
      <c r="E334">
        <v>4.5999999999999996</v>
      </c>
      <c r="G334">
        <v>7.6</v>
      </c>
      <c r="H334">
        <v>8.6300000000000008</v>
      </c>
      <c r="I334">
        <v>9.6199999999999992</v>
      </c>
      <c r="J334">
        <v>10.7</v>
      </c>
      <c r="K334">
        <v>0.47</v>
      </c>
      <c r="L334">
        <v>0.39</v>
      </c>
      <c r="M334">
        <v>0.18</v>
      </c>
      <c r="N334">
        <f t="shared" si="73"/>
        <v>9.1396495517522371</v>
      </c>
      <c r="O334">
        <f t="shared" si="74"/>
        <v>0.5033333333333333</v>
      </c>
      <c r="P334" s="6">
        <f t="shared" si="77"/>
        <v>4.6002902743819591</v>
      </c>
      <c r="R334">
        <f t="shared" si="75"/>
        <v>0.40539999999999998</v>
      </c>
      <c r="S334" t="str">
        <f t="shared" si="78"/>
        <v>Yes</v>
      </c>
      <c r="T334" t="str">
        <f t="shared" si="76"/>
        <v>Yes</v>
      </c>
    </row>
    <row r="335" spans="1:20" x14ac:dyDescent="0.3">
      <c r="A335" s="17">
        <v>4</v>
      </c>
      <c r="B335" s="3">
        <v>2</v>
      </c>
      <c r="C335" s="3">
        <v>2</v>
      </c>
      <c r="D335" s="18">
        <v>6</v>
      </c>
      <c r="E335">
        <v>4.8</v>
      </c>
      <c r="G335">
        <v>6.3</v>
      </c>
      <c r="H335">
        <v>7.11</v>
      </c>
      <c r="I335">
        <v>8.1</v>
      </c>
      <c r="J335">
        <v>9.1</v>
      </c>
      <c r="K335">
        <v>0.65</v>
      </c>
      <c r="L335">
        <v>0.2</v>
      </c>
      <c r="M335">
        <v>0.37</v>
      </c>
      <c r="N335">
        <f t="shared" si="73"/>
        <v>7.6600615655233106</v>
      </c>
      <c r="O335">
        <f t="shared" si="74"/>
        <v>0.62666666666666659</v>
      </c>
      <c r="P335" s="6">
        <f t="shared" si="77"/>
        <v>4.8003052477279411</v>
      </c>
      <c r="R335">
        <f t="shared" si="75"/>
        <v>0.59940000000000004</v>
      </c>
      <c r="S335" t="str">
        <f t="shared" si="78"/>
        <v>Yes</v>
      </c>
      <c r="T335" t="str">
        <f t="shared" si="76"/>
        <v>Yes</v>
      </c>
    </row>
    <row r="336" spans="1:20" x14ac:dyDescent="0.3">
      <c r="A336" s="17">
        <v>4</v>
      </c>
      <c r="B336" s="3">
        <v>2</v>
      </c>
      <c r="C336" s="16">
        <v>3</v>
      </c>
      <c r="D336" s="15">
        <v>1</v>
      </c>
      <c r="E336">
        <v>7.4</v>
      </c>
      <c r="G336">
        <v>10.220000000000001</v>
      </c>
      <c r="H336">
        <v>11.18</v>
      </c>
      <c r="I336">
        <v>12.2</v>
      </c>
      <c r="J336">
        <v>13.14</v>
      </c>
      <c r="K336">
        <v>0.76</v>
      </c>
      <c r="L336">
        <v>0.28000000000000003</v>
      </c>
      <c r="M336">
        <v>0.3</v>
      </c>
      <c r="N336">
        <f t="shared" si="73"/>
        <v>11.684196277495774</v>
      </c>
      <c r="O336">
        <f t="shared" si="74"/>
        <v>0.6333333333333333</v>
      </c>
      <c r="P336" s="6">
        <f t="shared" si="77"/>
        <v>7.3999909757473228</v>
      </c>
      <c r="R336">
        <f t="shared" si="75"/>
        <v>0.746</v>
      </c>
      <c r="S336" t="str">
        <f t="shared" si="78"/>
        <v>Yes</v>
      </c>
      <c r="T336" t="str">
        <f t="shared" si="76"/>
        <v>Yes</v>
      </c>
    </row>
    <row r="337" spans="1:20" x14ac:dyDescent="0.3">
      <c r="A337" s="17">
        <v>4</v>
      </c>
      <c r="B337" s="3">
        <v>2</v>
      </c>
      <c r="C337" s="16">
        <v>3</v>
      </c>
      <c r="D337" s="3">
        <v>2</v>
      </c>
      <c r="E337">
        <v>6.7</v>
      </c>
      <c r="G337">
        <v>11.1</v>
      </c>
      <c r="H337">
        <v>12.1</v>
      </c>
      <c r="I337">
        <v>13.06</v>
      </c>
      <c r="J337">
        <v>14</v>
      </c>
      <c r="K337">
        <v>0.48</v>
      </c>
      <c r="L337">
        <v>0.2</v>
      </c>
      <c r="M337">
        <v>0.48</v>
      </c>
      <c r="N337">
        <f t="shared" si="73"/>
        <v>12.562487046632116</v>
      </c>
      <c r="O337">
        <f t="shared" si="74"/>
        <v>0.53333333333333333</v>
      </c>
      <c r="P337" s="6">
        <f t="shared" si="77"/>
        <v>6.6999930915371282</v>
      </c>
      <c r="R337">
        <f t="shared" si="75"/>
        <v>0.50079999999999991</v>
      </c>
      <c r="S337" t="str">
        <f t="shared" si="78"/>
        <v>Yes</v>
      </c>
      <c r="T337" t="str">
        <f t="shared" si="76"/>
        <v>Yes</v>
      </c>
    </row>
    <row r="338" spans="1:20" x14ac:dyDescent="0.3">
      <c r="A338" s="17">
        <v>4</v>
      </c>
      <c r="B338" s="3">
        <v>2</v>
      </c>
      <c r="C338" s="16">
        <v>3</v>
      </c>
      <c r="D338" s="16">
        <v>3</v>
      </c>
      <c r="E338">
        <v>4.5999999999999996</v>
      </c>
      <c r="G338">
        <v>14.5</v>
      </c>
      <c r="H338">
        <v>15.24</v>
      </c>
      <c r="I338">
        <v>16.32</v>
      </c>
      <c r="J338">
        <v>17.34</v>
      </c>
      <c r="K338">
        <v>0.56000000000000005</v>
      </c>
      <c r="L338">
        <v>0.71</v>
      </c>
      <c r="M338">
        <v>0.27</v>
      </c>
      <c r="N338">
        <f t="shared" si="73"/>
        <v>15.860476190476213</v>
      </c>
      <c r="O338">
        <f t="shared" si="74"/>
        <v>0.29000000000000004</v>
      </c>
      <c r="P338" s="6">
        <f t="shared" si="77"/>
        <v>4.5995380952381026</v>
      </c>
      <c r="R338">
        <f t="shared" si="75"/>
        <v>0.89060000000000006</v>
      </c>
      <c r="S338" t="str">
        <f t="shared" si="78"/>
        <v>Yes</v>
      </c>
      <c r="T338" t="str">
        <f t="shared" si="76"/>
        <v>Yes</v>
      </c>
    </row>
    <row r="339" spans="1:20" x14ac:dyDescent="0.3">
      <c r="A339" s="17">
        <v>4</v>
      </c>
      <c r="B339" s="3">
        <v>2</v>
      </c>
      <c r="C339" s="16">
        <v>3</v>
      </c>
      <c r="D339" s="17">
        <v>4</v>
      </c>
      <c r="E339">
        <v>6.7</v>
      </c>
      <c r="G339">
        <v>9.8000000000000007</v>
      </c>
      <c r="H339">
        <v>10.71</v>
      </c>
      <c r="I339">
        <v>11.7</v>
      </c>
      <c r="J339">
        <v>12.26</v>
      </c>
      <c r="K339">
        <v>0.7</v>
      </c>
      <c r="L339">
        <v>0.28000000000000003</v>
      </c>
      <c r="M339">
        <v>0.33</v>
      </c>
      <c r="N339">
        <f t="shared" si="73"/>
        <v>11.105072463768108</v>
      </c>
      <c r="O339">
        <f t="shared" si="74"/>
        <v>0.60333333333333328</v>
      </c>
      <c r="P339" s="6">
        <f t="shared" si="77"/>
        <v>6.7000603864734245</v>
      </c>
      <c r="R339">
        <f t="shared" si="75"/>
        <v>0.6772999999999999</v>
      </c>
      <c r="S339" t="str">
        <f t="shared" si="78"/>
        <v>Yes</v>
      </c>
      <c r="T339" t="str">
        <f t="shared" si="76"/>
        <v>Yes</v>
      </c>
    </row>
    <row r="340" spans="1:20" x14ac:dyDescent="0.3">
      <c r="A340" s="17">
        <v>4</v>
      </c>
      <c r="B340" s="3">
        <v>2</v>
      </c>
      <c r="C340" s="16">
        <v>3</v>
      </c>
      <c r="D340" s="5">
        <v>5</v>
      </c>
      <c r="E340">
        <v>8.9</v>
      </c>
      <c r="G340">
        <v>14.39</v>
      </c>
      <c r="H340">
        <v>15.2</v>
      </c>
      <c r="I340">
        <v>16.12</v>
      </c>
      <c r="J340">
        <v>17.09</v>
      </c>
      <c r="K340">
        <v>0.65</v>
      </c>
      <c r="L340">
        <v>0.37</v>
      </c>
      <c r="M340">
        <v>0.21</v>
      </c>
      <c r="N340">
        <f t="shared" si="73"/>
        <v>15.70655616942911</v>
      </c>
      <c r="O340">
        <f t="shared" si="74"/>
        <v>0.56666666666666676</v>
      </c>
      <c r="P340" s="6">
        <f t="shared" si="77"/>
        <v>8.9003818293431642</v>
      </c>
      <c r="R340">
        <f t="shared" si="75"/>
        <v>0.60350000000000004</v>
      </c>
      <c r="S340" t="str">
        <f t="shared" si="78"/>
        <v>Yes</v>
      </c>
      <c r="T340" t="str">
        <f t="shared" si="76"/>
        <v>Yes</v>
      </c>
    </row>
    <row r="341" spans="1:20" x14ac:dyDescent="0.3">
      <c r="A341" s="17">
        <v>4</v>
      </c>
      <c r="B341" s="3">
        <v>2</v>
      </c>
      <c r="C341" s="16">
        <v>3</v>
      </c>
      <c r="D341" s="18">
        <v>6</v>
      </c>
      <c r="E341">
        <v>5.8</v>
      </c>
      <c r="G341">
        <v>9.1</v>
      </c>
      <c r="H341">
        <v>10.119999999999999</v>
      </c>
      <c r="I341">
        <v>11.1</v>
      </c>
      <c r="J341">
        <v>12.12</v>
      </c>
      <c r="K341">
        <v>0.78</v>
      </c>
      <c r="L341">
        <v>0.39</v>
      </c>
      <c r="M341">
        <v>0.36</v>
      </c>
      <c r="N341">
        <f t="shared" si="73"/>
        <v>10.610000000000001</v>
      </c>
      <c r="O341">
        <f t="shared" si="74"/>
        <v>0.54666666666666675</v>
      </c>
      <c r="P341" s="6">
        <f t="shared" si="77"/>
        <v>5.8001333333333349</v>
      </c>
      <c r="R341">
        <f t="shared" si="75"/>
        <v>0.89010000000000011</v>
      </c>
      <c r="S341" t="str">
        <f t="shared" si="78"/>
        <v>Yes</v>
      </c>
      <c r="T341" t="str">
        <f t="shared" si="76"/>
        <v>Yes</v>
      </c>
    </row>
    <row r="342" spans="1:20" x14ac:dyDescent="0.3">
      <c r="A342" s="17">
        <v>4</v>
      </c>
      <c r="B342" s="16">
        <v>3</v>
      </c>
      <c r="C342" s="15">
        <v>1</v>
      </c>
      <c r="D342" s="15">
        <v>1</v>
      </c>
      <c r="E342">
        <v>5.7</v>
      </c>
      <c r="G342">
        <v>8.1999999999999993</v>
      </c>
      <c r="H342">
        <v>9.15</v>
      </c>
      <c r="I342">
        <v>10.199999999999999</v>
      </c>
      <c r="J342">
        <v>11.1</v>
      </c>
      <c r="K342">
        <v>0.74</v>
      </c>
      <c r="L342">
        <v>0.28999999999999998</v>
      </c>
      <c r="M342">
        <v>0.39</v>
      </c>
      <c r="N342">
        <f t="shared" si="73"/>
        <v>9.6605485232067529</v>
      </c>
      <c r="O342">
        <f t="shared" si="74"/>
        <v>0.59</v>
      </c>
      <c r="P342" s="6">
        <f t="shared" si="77"/>
        <v>5.6997236286919843</v>
      </c>
      <c r="R342">
        <f t="shared" si="75"/>
        <v>0.78379999999999994</v>
      </c>
      <c r="S342" t="str">
        <f t="shared" si="78"/>
        <v>Yes</v>
      </c>
      <c r="T342" t="str">
        <f t="shared" si="76"/>
        <v>Yes</v>
      </c>
    </row>
    <row r="343" spans="1:20" x14ac:dyDescent="0.3">
      <c r="A343" s="17">
        <v>4</v>
      </c>
      <c r="B343" s="16">
        <v>3</v>
      </c>
      <c r="C343" s="15">
        <v>1</v>
      </c>
      <c r="D343" s="3">
        <v>2</v>
      </c>
      <c r="E343">
        <v>8.6</v>
      </c>
      <c r="G343">
        <v>13.4</v>
      </c>
      <c r="H343">
        <v>14.4</v>
      </c>
      <c r="I343">
        <v>15.85</v>
      </c>
      <c r="J343">
        <v>16.399999999999999</v>
      </c>
      <c r="K343">
        <v>0.53</v>
      </c>
      <c r="L343">
        <v>0.24</v>
      </c>
      <c r="M343">
        <v>0.33</v>
      </c>
      <c r="N343">
        <f t="shared" si="73"/>
        <v>14.999438202247184</v>
      </c>
      <c r="O343">
        <f t="shared" si="74"/>
        <v>0.57333333333333336</v>
      </c>
      <c r="P343" s="6">
        <f t="shared" si="77"/>
        <v>8.5996779026217194</v>
      </c>
      <c r="R343">
        <f t="shared" si="75"/>
        <v>0.44740000000000002</v>
      </c>
      <c r="S343" t="str">
        <f t="shared" si="78"/>
        <v>Yes</v>
      </c>
      <c r="T343" t="str">
        <f t="shared" si="76"/>
        <v>Yes</v>
      </c>
    </row>
    <row r="344" spans="1:20" x14ac:dyDescent="0.3">
      <c r="A344" s="17">
        <v>4</v>
      </c>
      <c r="B344" s="16">
        <v>3</v>
      </c>
      <c r="C344" s="15">
        <v>1</v>
      </c>
      <c r="D344" s="16">
        <v>3</v>
      </c>
      <c r="E344">
        <v>8.6</v>
      </c>
      <c r="G344">
        <v>9.32</v>
      </c>
      <c r="H344">
        <v>10.28</v>
      </c>
      <c r="I344">
        <v>11.33</v>
      </c>
      <c r="J344">
        <v>12.41</v>
      </c>
      <c r="K344">
        <v>0.75</v>
      </c>
      <c r="L344">
        <v>0.1</v>
      </c>
      <c r="M344">
        <v>0.17</v>
      </c>
      <c r="N344">
        <f t="shared" si="73"/>
        <v>10.839927536231883</v>
      </c>
      <c r="O344">
        <f t="shared" si="74"/>
        <v>0.79333333333333333</v>
      </c>
      <c r="P344" s="6">
        <f t="shared" si="77"/>
        <v>8.5996758454106281</v>
      </c>
      <c r="R344">
        <f t="shared" si="75"/>
        <v>0.60140000000000005</v>
      </c>
      <c r="S344" t="str">
        <f t="shared" si="78"/>
        <v>Yes</v>
      </c>
      <c r="T344" t="str">
        <f t="shared" si="76"/>
        <v>Yes</v>
      </c>
    </row>
    <row r="345" spans="1:20" x14ac:dyDescent="0.3">
      <c r="A345" s="17">
        <v>4</v>
      </c>
      <c r="B345" s="16">
        <v>3</v>
      </c>
      <c r="C345" s="15">
        <v>1</v>
      </c>
      <c r="D345" s="17">
        <v>4</v>
      </c>
      <c r="E345">
        <v>8.4</v>
      </c>
      <c r="G345">
        <v>9.5299999999999994</v>
      </c>
      <c r="H345">
        <v>10.1</v>
      </c>
      <c r="I345">
        <v>11.1</v>
      </c>
      <c r="J345">
        <v>12.1</v>
      </c>
      <c r="K345">
        <v>0.9</v>
      </c>
      <c r="L345">
        <v>0.25</v>
      </c>
      <c r="M345">
        <v>0.05</v>
      </c>
      <c r="N345">
        <f t="shared" si="73"/>
        <v>10.723258636788046</v>
      </c>
      <c r="O345">
        <f t="shared" si="74"/>
        <v>0.78333333333333333</v>
      </c>
      <c r="P345" s="6">
        <f t="shared" si="77"/>
        <v>8.3998859321506352</v>
      </c>
      <c r="R345">
        <f t="shared" si="75"/>
        <v>0.875</v>
      </c>
      <c r="S345" t="str">
        <f t="shared" si="78"/>
        <v>Yes</v>
      </c>
      <c r="T345" t="str">
        <f t="shared" si="76"/>
        <v>Yes</v>
      </c>
    </row>
    <row r="346" spans="1:20" x14ac:dyDescent="0.3">
      <c r="A346" s="17">
        <v>4</v>
      </c>
      <c r="B346" s="16">
        <v>3</v>
      </c>
      <c r="C346" s="15">
        <v>1</v>
      </c>
      <c r="D346" s="5">
        <v>5</v>
      </c>
      <c r="E346">
        <v>7.2</v>
      </c>
      <c r="G346">
        <v>8.5500000000000007</v>
      </c>
      <c r="H346">
        <v>9.5</v>
      </c>
      <c r="I346">
        <v>10.35</v>
      </c>
      <c r="J346">
        <v>11.4</v>
      </c>
      <c r="K346">
        <v>0.76</v>
      </c>
      <c r="L346">
        <v>0.2</v>
      </c>
      <c r="M346">
        <v>0.19</v>
      </c>
      <c r="N346">
        <f t="shared" si="73"/>
        <v>9.9545045045045022</v>
      </c>
      <c r="O346">
        <f t="shared" si="74"/>
        <v>0.72333333333333327</v>
      </c>
      <c r="P346" s="6">
        <f t="shared" si="77"/>
        <v>7.2004249249249224</v>
      </c>
      <c r="R346">
        <f t="shared" si="75"/>
        <v>0.65370000000000006</v>
      </c>
      <c r="S346" t="str">
        <f t="shared" si="78"/>
        <v>Yes</v>
      </c>
      <c r="T346" t="str">
        <f t="shared" si="76"/>
        <v>Yes</v>
      </c>
    </row>
    <row r="347" spans="1:20" x14ac:dyDescent="0.3">
      <c r="A347" s="17">
        <v>4</v>
      </c>
      <c r="B347" s="16">
        <v>3</v>
      </c>
      <c r="C347" s="15">
        <v>1</v>
      </c>
      <c r="D347" s="18">
        <v>6</v>
      </c>
      <c r="E347">
        <v>7.5</v>
      </c>
      <c r="G347">
        <v>13.01</v>
      </c>
      <c r="H347">
        <v>14.02</v>
      </c>
      <c r="I347" s="11">
        <v>15.02</v>
      </c>
      <c r="J347">
        <v>16.02</v>
      </c>
      <c r="K347">
        <v>0.56000000000000005</v>
      </c>
      <c r="L347">
        <v>0.38</v>
      </c>
      <c r="M347">
        <v>0.25</v>
      </c>
      <c r="N347">
        <f t="shared" si="73"/>
        <v>14.517082294264334</v>
      </c>
      <c r="O347">
        <f t="shared" si="74"/>
        <v>0.51666666666666672</v>
      </c>
      <c r="P347" s="6">
        <f t="shared" si="77"/>
        <v>7.5004925187032399</v>
      </c>
      <c r="R347">
        <f t="shared" si="75"/>
        <v>0.52050000000000007</v>
      </c>
      <c r="S347" t="str">
        <f t="shared" si="78"/>
        <v>Yes</v>
      </c>
      <c r="T347" t="str">
        <f t="shared" si="76"/>
        <v>Yes</v>
      </c>
    </row>
    <row r="348" spans="1:20" x14ac:dyDescent="0.3">
      <c r="A348" s="17">
        <v>4</v>
      </c>
      <c r="B348" s="16">
        <v>3</v>
      </c>
      <c r="C348" s="3">
        <v>2</v>
      </c>
      <c r="D348" s="15">
        <v>1</v>
      </c>
      <c r="E348">
        <v>4.7</v>
      </c>
      <c r="G348">
        <v>5.8</v>
      </c>
      <c r="H348">
        <v>6.8</v>
      </c>
      <c r="I348">
        <v>7.8</v>
      </c>
      <c r="J348">
        <v>8.69</v>
      </c>
      <c r="K348">
        <v>0.82</v>
      </c>
      <c r="L348">
        <v>0.39</v>
      </c>
      <c r="M348">
        <v>0.1</v>
      </c>
      <c r="N348">
        <f t="shared" si="73"/>
        <v>7.2680462724935744</v>
      </c>
      <c r="O348">
        <f t="shared" si="74"/>
        <v>0.64666666666666661</v>
      </c>
      <c r="P348" s="6">
        <f t="shared" si="77"/>
        <v>4.7000032562125114</v>
      </c>
      <c r="R348">
        <f t="shared" si="75"/>
        <v>0.83449999999999991</v>
      </c>
      <c r="S348" t="str">
        <f t="shared" si="78"/>
        <v>Yes</v>
      </c>
      <c r="T348" t="str">
        <f t="shared" si="76"/>
        <v>Yes</v>
      </c>
    </row>
    <row r="349" spans="1:20" x14ac:dyDescent="0.3">
      <c r="A349" s="17">
        <v>4</v>
      </c>
      <c r="B349" s="16">
        <v>3</v>
      </c>
      <c r="C349" s="3">
        <v>2</v>
      </c>
      <c r="D349" s="3">
        <v>2</v>
      </c>
      <c r="E349">
        <v>8.5</v>
      </c>
      <c r="G349">
        <v>17.12</v>
      </c>
      <c r="H349">
        <v>18.12</v>
      </c>
      <c r="I349">
        <v>19.11</v>
      </c>
      <c r="J349">
        <v>20.100000000000001</v>
      </c>
      <c r="K349">
        <v>0.56999999999999995</v>
      </c>
      <c r="L349">
        <v>0.49</v>
      </c>
      <c r="M349">
        <v>0.22</v>
      </c>
      <c r="N349">
        <f t="shared" si="73"/>
        <v>18.612082283795139</v>
      </c>
      <c r="O349">
        <f t="shared" si="74"/>
        <v>0.45666666666666672</v>
      </c>
      <c r="P349" s="6">
        <f t="shared" si="77"/>
        <v>8.4995175762664488</v>
      </c>
      <c r="R349">
        <f t="shared" si="75"/>
        <v>0.61339999999999995</v>
      </c>
      <c r="S349" t="str">
        <f t="shared" si="78"/>
        <v>Yes</v>
      </c>
      <c r="T349" t="str">
        <f t="shared" si="76"/>
        <v>Yes</v>
      </c>
    </row>
    <row r="350" spans="1:20" x14ac:dyDescent="0.3">
      <c r="A350" s="17">
        <v>4</v>
      </c>
      <c r="B350" s="16">
        <v>3</v>
      </c>
      <c r="C350" s="3">
        <v>2</v>
      </c>
      <c r="D350" s="16">
        <v>3</v>
      </c>
      <c r="E350">
        <v>8.5</v>
      </c>
      <c r="G350">
        <v>12.5</v>
      </c>
      <c r="H350">
        <v>13.5</v>
      </c>
      <c r="I350">
        <v>14.32</v>
      </c>
      <c r="J350">
        <v>15.4</v>
      </c>
      <c r="K350">
        <v>0.79</v>
      </c>
      <c r="L350">
        <v>0.33</v>
      </c>
      <c r="M350">
        <v>0.3</v>
      </c>
      <c r="N350">
        <f t="shared" si="73"/>
        <v>13.933727598566325</v>
      </c>
      <c r="O350">
        <f t="shared" si="74"/>
        <v>0.61</v>
      </c>
      <c r="P350" s="6">
        <f t="shared" si="77"/>
        <v>8.4995738351254584</v>
      </c>
      <c r="R350">
        <f t="shared" si="75"/>
        <v>0.82300000000000006</v>
      </c>
      <c r="S350" t="str">
        <f t="shared" si="78"/>
        <v>Yes</v>
      </c>
      <c r="T350" t="str">
        <f t="shared" si="76"/>
        <v>Yes</v>
      </c>
    </row>
    <row r="351" spans="1:20" x14ac:dyDescent="0.3">
      <c r="A351" s="17">
        <v>4</v>
      </c>
      <c r="B351" s="16">
        <v>3</v>
      </c>
      <c r="C351" s="3">
        <v>2</v>
      </c>
      <c r="D351" s="17">
        <v>4</v>
      </c>
      <c r="E351">
        <v>7.9</v>
      </c>
      <c r="G351">
        <v>13.5</v>
      </c>
      <c r="H351">
        <v>14.43</v>
      </c>
      <c r="I351">
        <v>15.5</v>
      </c>
      <c r="J351">
        <v>16.55</v>
      </c>
      <c r="K351">
        <v>0.72</v>
      </c>
      <c r="L351">
        <v>0.37</v>
      </c>
      <c r="M351">
        <v>0.4</v>
      </c>
      <c r="N351">
        <f t="shared" si="73"/>
        <v>14.99980582524273</v>
      </c>
      <c r="O351">
        <f t="shared" si="74"/>
        <v>0.52666666666666673</v>
      </c>
      <c r="P351" s="6">
        <f t="shared" si="77"/>
        <v>7.8998977346278387</v>
      </c>
      <c r="R351">
        <f t="shared" si="75"/>
        <v>0.81530000000000002</v>
      </c>
      <c r="S351" t="str">
        <f t="shared" si="78"/>
        <v>Yes</v>
      </c>
      <c r="T351" t="str">
        <f t="shared" si="76"/>
        <v>Yes</v>
      </c>
    </row>
    <row r="352" spans="1:20" x14ac:dyDescent="0.3">
      <c r="A352" s="17">
        <v>4</v>
      </c>
      <c r="B352" s="16">
        <v>3</v>
      </c>
      <c r="C352" s="3">
        <v>2</v>
      </c>
      <c r="D352" s="5">
        <v>5</v>
      </c>
      <c r="E352">
        <v>4.5999999999999996</v>
      </c>
      <c r="G352">
        <v>7.9</v>
      </c>
      <c r="H352">
        <v>8.9</v>
      </c>
      <c r="I352">
        <v>9.9</v>
      </c>
      <c r="J352">
        <v>10.86</v>
      </c>
      <c r="K352">
        <v>0.47</v>
      </c>
      <c r="L352">
        <v>0.39</v>
      </c>
      <c r="M352">
        <v>0.22</v>
      </c>
      <c r="N352">
        <f t="shared" si="73"/>
        <v>9.3883501683501702</v>
      </c>
      <c r="O352">
        <f t="shared" si="74"/>
        <v>0.49</v>
      </c>
      <c r="P352" s="6">
        <f t="shared" si="77"/>
        <v>4.6002915824915833</v>
      </c>
      <c r="R352">
        <f t="shared" si="75"/>
        <v>0.4214</v>
      </c>
      <c r="S352" t="str">
        <f t="shared" si="78"/>
        <v>Yes</v>
      </c>
      <c r="T352" t="str">
        <f t="shared" si="76"/>
        <v>Yes</v>
      </c>
    </row>
    <row r="353" spans="1:20" x14ac:dyDescent="0.3">
      <c r="A353" s="17">
        <v>4</v>
      </c>
      <c r="B353" s="16">
        <v>3</v>
      </c>
      <c r="C353" s="3">
        <v>2</v>
      </c>
      <c r="D353" s="18">
        <v>6</v>
      </c>
      <c r="E353">
        <v>6.8</v>
      </c>
      <c r="G353">
        <v>9.5</v>
      </c>
      <c r="H353">
        <v>10.51</v>
      </c>
      <c r="I353">
        <v>11.32</v>
      </c>
      <c r="J353">
        <v>12.31</v>
      </c>
      <c r="K353">
        <v>0.56000000000000005</v>
      </c>
      <c r="L353">
        <v>0.28999999999999998</v>
      </c>
      <c r="M353">
        <v>0.11</v>
      </c>
      <c r="N353">
        <f t="shared" si="73"/>
        <v>10.909079189686915</v>
      </c>
      <c r="O353">
        <f t="shared" si="74"/>
        <v>0.62333333333333341</v>
      </c>
      <c r="P353" s="6">
        <f t="shared" si="77"/>
        <v>6.7999926949048444</v>
      </c>
      <c r="R353">
        <f t="shared" si="75"/>
        <v>0.40980000000000005</v>
      </c>
      <c r="S353" t="str">
        <f t="shared" si="78"/>
        <v>Yes</v>
      </c>
      <c r="T353" t="str">
        <f t="shared" si="76"/>
        <v>Yes</v>
      </c>
    </row>
    <row r="354" spans="1:20" x14ac:dyDescent="0.3">
      <c r="A354" s="17">
        <v>4</v>
      </c>
      <c r="B354" s="16">
        <v>3</v>
      </c>
      <c r="C354" s="16">
        <v>3</v>
      </c>
      <c r="D354" s="15">
        <v>1</v>
      </c>
      <c r="E354">
        <v>5.7</v>
      </c>
      <c r="G354">
        <v>8.1</v>
      </c>
      <c r="H354">
        <v>9.11</v>
      </c>
      <c r="I354">
        <v>10.11</v>
      </c>
      <c r="J354">
        <v>11.11</v>
      </c>
      <c r="K354">
        <v>0.75</v>
      </c>
      <c r="L354">
        <v>0.39</v>
      </c>
      <c r="M354">
        <v>0.19</v>
      </c>
      <c r="N354">
        <f t="shared" si="73"/>
        <v>9.6070822942643392</v>
      </c>
      <c r="O354">
        <f t="shared" si="74"/>
        <v>0.59333333333333338</v>
      </c>
      <c r="P354" s="6">
        <f t="shared" si="77"/>
        <v>5.7002021612635083</v>
      </c>
      <c r="R354">
        <f t="shared" si="75"/>
        <v>0.75070000000000003</v>
      </c>
      <c r="S354" t="str">
        <f t="shared" si="78"/>
        <v>Yes</v>
      </c>
      <c r="T354" t="str">
        <f t="shared" si="76"/>
        <v>Yes</v>
      </c>
    </row>
    <row r="355" spans="1:20" x14ac:dyDescent="0.3">
      <c r="A355" s="17">
        <v>4</v>
      </c>
      <c r="B355" s="16">
        <v>3</v>
      </c>
      <c r="C355" s="16">
        <v>3</v>
      </c>
      <c r="D355" s="3">
        <v>2</v>
      </c>
      <c r="E355">
        <v>7.8</v>
      </c>
      <c r="G355">
        <v>12.59</v>
      </c>
      <c r="H355">
        <v>13.6</v>
      </c>
      <c r="I355">
        <v>14.6</v>
      </c>
      <c r="J355">
        <v>15.6</v>
      </c>
      <c r="K355">
        <v>0.55000000000000004</v>
      </c>
      <c r="L355">
        <v>0.3</v>
      </c>
      <c r="M355">
        <v>0.28999999999999998</v>
      </c>
      <c r="N355">
        <f t="shared" si="73"/>
        <v>14.097082294264339</v>
      </c>
      <c r="O355">
        <f t="shared" si="74"/>
        <v>0.55333333333333334</v>
      </c>
      <c r="P355" s="6">
        <f t="shared" si="77"/>
        <v>7.8003855361596015</v>
      </c>
      <c r="R355">
        <f t="shared" si="75"/>
        <v>0.47660000000000008</v>
      </c>
      <c r="S355" t="str">
        <f t="shared" si="78"/>
        <v>Yes</v>
      </c>
      <c r="T355" t="str">
        <f t="shared" si="76"/>
        <v>Yes</v>
      </c>
    </row>
    <row r="356" spans="1:20" x14ac:dyDescent="0.3">
      <c r="A356" s="17">
        <v>4</v>
      </c>
      <c r="B356" s="16">
        <v>3</v>
      </c>
      <c r="C356" s="16">
        <v>3</v>
      </c>
      <c r="D356" s="16">
        <v>3</v>
      </c>
      <c r="E356">
        <v>4.5999999999999996</v>
      </c>
      <c r="G356">
        <v>6.18</v>
      </c>
      <c r="H356">
        <v>7.16</v>
      </c>
      <c r="I356">
        <v>8.18</v>
      </c>
      <c r="J356">
        <v>9.15</v>
      </c>
      <c r="K356">
        <v>0.76</v>
      </c>
      <c r="L356">
        <v>0.39</v>
      </c>
      <c r="M356">
        <v>0.18</v>
      </c>
      <c r="N356">
        <f t="shared" si="73"/>
        <v>7.6670927318295776</v>
      </c>
      <c r="O356">
        <f t="shared" si="74"/>
        <v>0.6</v>
      </c>
      <c r="P356" s="6">
        <f t="shared" si="77"/>
        <v>4.600255639097746</v>
      </c>
      <c r="R356">
        <f t="shared" si="75"/>
        <v>0.7621</v>
      </c>
      <c r="S356" t="str">
        <f t="shared" si="78"/>
        <v>Yes</v>
      </c>
      <c r="T356" t="str">
        <f t="shared" si="76"/>
        <v>Yes</v>
      </c>
    </row>
    <row r="357" spans="1:20" x14ac:dyDescent="0.3">
      <c r="A357" s="17">
        <v>4</v>
      </c>
      <c r="B357" s="16">
        <v>3</v>
      </c>
      <c r="C357" s="16">
        <v>3</v>
      </c>
      <c r="D357" s="17">
        <v>4</v>
      </c>
      <c r="E357">
        <v>4.7</v>
      </c>
      <c r="G357">
        <v>6.3</v>
      </c>
      <c r="H357">
        <v>7.1</v>
      </c>
      <c r="I357">
        <v>8.1</v>
      </c>
      <c r="J357">
        <v>9.1199999999999992</v>
      </c>
      <c r="K357">
        <v>0.5</v>
      </c>
      <c r="L357">
        <v>0.19</v>
      </c>
      <c r="M357">
        <v>0.28000000000000003</v>
      </c>
      <c r="N357">
        <f t="shared" si="73"/>
        <v>7.6637347294938927</v>
      </c>
      <c r="O357">
        <f t="shared" si="74"/>
        <v>0.61333333333333329</v>
      </c>
      <c r="P357" s="6">
        <f t="shared" si="77"/>
        <v>4.7004239674229202</v>
      </c>
      <c r="R357">
        <f t="shared" si="75"/>
        <v>0.36450000000000005</v>
      </c>
      <c r="S357" t="str">
        <f t="shared" si="78"/>
        <v>Yes</v>
      </c>
      <c r="T357" t="str">
        <f t="shared" si="76"/>
        <v>Yes</v>
      </c>
    </row>
    <row r="358" spans="1:20" x14ac:dyDescent="0.3">
      <c r="A358" s="17">
        <v>4</v>
      </c>
      <c r="B358" s="16">
        <v>3</v>
      </c>
      <c r="C358" s="16">
        <v>3</v>
      </c>
      <c r="D358" s="5">
        <v>5</v>
      </c>
      <c r="E358">
        <v>3.7</v>
      </c>
      <c r="G358">
        <v>6.6</v>
      </c>
      <c r="H358">
        <v>7.6</v>
      </c>
      <c r="I358">
        <v>8.4</v>
      </c>
      <c r="J358">
        <v>9.35</v>
      </c>
      <c r="K358">
        <v>0.56999999999999995</v>
      </c>
      <c r="L358">
        <v>0.45</v>
      </c>
      <c r="M358">
        <v>0.28000000000000003</v>
      </c>
      <c r="N358">
        <f t="shared" si="73"/>
        <v>7.9852112676056368</v>
      </c>
      <c r="O358">
        <f t="shared" si="74"/>
        <v>0.46333333333333332</v>
      </c>
      <c r="P358" s="6">
        <f t="shared" si="77"/>
        <v>3.6998145539906115</v>
      </c>
      <c r="R358">
        <f t="shared" si="75"/>
        <v>0.60580000000000001</v>
      </c>
      <c r="S358" t="str">
        <f t="shared" si="78"/>
        <v>Yes</v>
      </c>
      <c r="T358" t="str">
        <f t="shared" si="76"/>
        <v>Yes</v>
      </c>
    </row>
    <row r="359" spans="1:20" x14ac:dyDescent="0.3">
      <c r="A359" s="17">
        <v>4</v>
      </c>
      <c r="B359" s="16">
        <v>3</v>
      </c>
      <c r="C359" s="16">
        <v>3</v>
      </c>
      <c r="D359" s="18">
        <v>6</v>
      </c>
      <c r="E359">
        <v>8.5</v>
      </c>
      <c r="G359">
        <v>15.6</v>
      </c>
      <c r="H359">
        <v>16.809999999999999</v>
      </c>
      <c r="I359">
        <v>17.86</v>
      </c>
      <c r="J359">
        <v>18.3</v>
      </c>
      <c r="K359">
        <v>0.47</v>
      </c>
      <c r="L359">
        <v>0.38</v>
      </c>
      <c r="M359">
        <v>0.22</v>
      </c>
      <c r="N359">
        <f t="shared" si="73"/>
        <v>17.114266666666705</v>
      </c>
      <c r="O359">
        <f t="shared" si="74"/>
        <v>0.49666666666666665</v>
      </c>
      <c r="P359" s="6">
        <f t="shared" si="77"/>
        <v>8.5000857777777963</v>
      </c>
      <c r="R359">
        <f t="shared" si="75"/>
        <v>0.41369999999999996</v>
      </c>
      <c r="S359" t="str">
        <f t="shared" si="78"/>
        <v>Yes</v>
      </c>
      <c r="T359" t="str">
        <f t="shared" si="76"/>
        <v>Yes</v>
      </c>
    </row>
    <row r="363" spans="1:20" x14ac:dyDescent="0.3">
      <c r="A363" t="s">
        <v>57</v>
      </c>
    </row>
    <row r="364" spans="1:20" x14ac:dyDescent="0.3">
      <c r="A364" s="10" t="s">
        <v>58</v>
      </c>
    </row>
    <row r="365" spans="1:20" x14ac:dyDescent="0.3">
      <c r="A365" s="11" t="s">
        <v>59</v>
      </c>
    </row>
    <row r="366" spans="1:20" x14ac:dyDescent="0.3">
      <c r="A366" s="11" t="s">
        <v>60</v>
      </c>
    </row>
    <row r="367" spans="1:20" x14ac:dyDescent="0.3">
      <c r="A367" s="11" t="s">
        <v>61</v>
      </c>
    </row>
    <row r="368" spans="1:20" x14ac:dyDescent="0.3">
      <c r="A368" s="11" t="s">
        <v>62</v>
      </c>
    </row>
    <row r="369" spans="1:20" x14ac:dyDescent="0.3">
      <c r="A369" s="11" t="s">
        <v>63</v>
      </c>
    </row>
    <row r="370" spans="1:20" x14ac:dyDescent="0.3">
      <c r="A370" s="11" t="s">
        <v>64</v>
      </c>
    </row>
    <row r="371" spans="1:20" x14ac:dyDescent="0.3">
      <c r="A371" s="11" t="s">
        <v>65</v>
      </c>
    </row>
    <row r="373" spans="1:20" x14ac:dyDescent="0.3">
      <c r="A373" s="11" t="s">
        <v>2</v>
      </c>
      <c r="B373" t="s">
        <v>66</v>
      </c>
      <c r="C373" t="s">
        <v>67</v>
      </c>
      <c r="D373" t="s">
        <v>10</v>
      </c>
      <c r="E373" t="s">
        <v>68</v>
      </c>
      <c r="G373" s="2" t="s">
        <v>4</v>
      </c>
      <c r="H373" s="2" t="s">
        <v>5</v>
      </c>
      <c r="I373" s="2" t="s">
        <v>6</v>
      </c>
      <c r="J373" s="2" t="s">
        <v>7</v>
      </c>
      <c r="K373" s="3" t="s">
        <v>8</v>
      </c>
      <c r="L373" s="3" t="s">
        <v>9</v>
      </c>
      <c r="M373" s="3" t="s">
        <v>10</v>
      </c>
      <c r="N373" s="4" t="s">
        <v>13</v>
      </c>
      <c r="O373" s="4" t="s">
        <v>12</v>
      </c>
      <c r="P373" s="9" t="s">
        <v>11</v>
      </c>
      <c r="R373" t="s">
        <v>14</v>
      </c>
      <c r="S373" t="s">
        <v>30</v>
      </c>
      <c r="T373" t="s">
        <v>31</v>
      </c>
    </row>
    <row r="374" spans="1:20" x14ac:dyDescent="0.3">
      <c r="A374" s="15">
        <v>1</v>
      </c>
      <c r="B374" s="15">
        <v>1</v>
      </c>
      <c r="C374" s="15">
        <v>1</v>
      </c>
      <c r="D374" s="15">
        <v>1</v>
      </c>
      <c r="E374">
        <v>2.4</v>
      </c>
      <c r="G374">
        <v>6.08</v>
      </c>
      <c r="H374">
        <v>7.08</v>
      </c>
      <c r="I374">
        <v>8.08</v>
      </c>
      <c r="J374">
        <v>9.08</v>
      </c>
      <c r="K374" s="12">
        <v>0.56999999999999995</v>
      </c>
      <c r="L374" s="12">
        <v>0.71</v>
      </c>
      <c r="M374" s="12">
        <v>0.2</v>
      </c>
      <c r="N374">
        <f>((I374^2)+(I374*J374)+(J374^2)-(G374^2)-(G374*H374)-(H374^2))/(3*(J374+I374-G374-H374))</f>
        <v>7.5799999999999992</v>
      </c>
      <c r="O374">
        <f>(K374-(2*L374)-M374+2)/3</f>
        <v>0.31666666666666665</v>
      </c>
      <c r="P374" s="6">
        <f>N374*O374</f>
        <v>2.4003333333333328</v>
      </c>
      <c r="R374">
        <f>K374^2+L374^2+M374^2</f>
        <v>0.86899999999999999</v>
      </c>
      <c r="S374" t="str">
        <f>IF(AND(R374&gt;=0,R374&lt;=1),"Yes","No")</f>
        <v>Yes</v>
      </c>
      <c r="T374" t="str">
        <f>IF(ROUND(P374,2)=E374,"Yes","No")</f>
        <v>Yes</v>
      </c>
    </row>
    <row r="375" spans="1:20" x14ac:dyDescent="0.3">
      <c r="A375" s="15">
        <v>1</v>
      </c>
      <c r="B375" s="15">
        <v>1</v>
      </c>
      <c r="C375" s="15">
        <v>1</v>
      </c>
      <c r="D375" s="3">
        <v>2</v>
      </c>
      <c r="E375">
        <v>3.4</v>
      </c>
      <c r="G375">
        <v>4.28</v>
      </c>
      <c r="H375">
        <v>5.23</v>
      </c>
      <c r="I375">
        <v>6.2</v>
      </c>
      <c r="J375">
        <v>7.2</v>
      </c>
      <c r="K375">
        <v>0.59</v>
      </c>
      <c r="L375">
        <v>0.22</v>
      </c>
      <c r="M375">
        <v>0.37</v>
      </c>
      <c r="N375">
        <f t="shared" ref="N375:N438" si="79">((I375^2)+(I375*J375)+(J375^2)-(G375^2)-(G375*H375)-(H375^2))/(3*(J375+I375-G375-H375))</f>
        <v>5.7295886889460155</v>
      </c>
      <c r="O375">
        <f t="shared" ref="O375:O438" si="80">(K375-(2*L375)-M375+2)/3</f>
        <v>0.59333333333333338</v>
      </c>
      <c r="P375" s="6">
        <f t="shared" ref="P375:P438" si="81">N375*O375</f>
        <v>3.3995559554413028</v>
      </c>
      <c r="R375">
        <f t="shared" ref="R375:R438" si="82">K375^2+L375^2+M375^2</f>
        <v>0.53339999999999999</v>
      </c>
      <c r="S375" t="str">
        <f t="shared" ref="S375:S438" si="83">IF(AND(R375&gt;=0,R375&lt;=1),"Yes","No")</f>
        <v>Yes</v>
      </c>
      <c r="T375" t="str">
        <f t="shared" ref="T375:T438" si="84">IF(ROUND(P375,2)=E375,"Yes","No")</f>
        <v>Yes</v>
      </c>
    </row>
    <row r="376" spans="1:20" x14ac:dyDescent="0.3">
      <c r="A376" s="15">
        <v>1</v>
      </c>
      <c r="B376" s="15">
        <v>1</v>
      </c>
      <c r="C376" s="15">
        <v>1</v>
      </c>
      <c r="D376" s="16">
        <v>3</v>
      </c>
      <c r="E376">
        <v>2.5</v>
      </c>
      <c r="G376">
        <v>4.32</v>
      </c>
      <c r="H376">
        <v>5.32</v>
      </c>
      <c r="I376">
        <v>6.32</v>
      </c>
      <c r="J376">
        <v>7.3</v>
      </c>
      <c r="K376">
        <v>0.47</v>
      </c>
      <c r="L376">
        <v>0.27</v>
      </c>
      <c r="M376">
        <v>0.64</v>
      </c>
      <c r="N376">
        <f t="shared" si="79"/>
        <v>5.8141708542713557</v>
      </c>
      <c r="O376">
        <f t="shared" si="80"/>
        <v>0.43</v>
      </c>
      <c r="P376" s="6">
        <f t="shared" si="81"/>
        <v>2.5000934673366828</v>
      </c>
      <c r="R376">
        <f t="shared" si="82"/>
        <v>0.70340000000000003</v>
      </c>
      <c r="S376" t="str">
        <f t="shared" si="83"/>
        <v>Yes</v>
      </c>
      <c r="T376" t="str">
        <f t="shared" si="84"/>
        <v>Yes</v>
      </c>
    </row>
    <row r="377" spans="1:20" x14ac:dyDescent="0.3">
      <c r="A377" s="15">
        <v>1</v>
      </c>
      <c r="B377" s="15">
        <v>1</v>
      </c>
      <c r="C377" s="15">
        <v>1</v>
      </c>
      <c r="D377" s="17">
        <v>4</v>
      </c>
      <c r="E377">
        <v>5.2</v>
      </c>
      <c r="G377">
        <v>8.1999999999999993</v>
      </c>
      <c r="H377">
        <v>9.1</v>
      </c>
      <c r="I377">
        <v>10.1</v>
      </c>
      <c r="J377">
        <v>11.1</v>
      </c>
      <c r="K377">
        <v>0.56999999999999995</v>
      </c>
      <c r="L377">
        <v>0.34</v>
      </c>
      <c r="M377">
        <v>0.27</v>
      </c>
      <c r="N377">
        <f t="shared" si="79"/>
        <v>9.6290598290598268</v>
      </c>
      <c r="O377">
        <f t="shared" si="80"/>
        <v>0.53999999999999992</v>
      </c>
      <c r="P377" s="6">
        <f t="shared" si="81"/>
        <v>5.1996923076923061</v>
      </c>
      <c r="R377">
        <f t="shared" si="82"/>
        <v>0.51339999999999997</v>
      </c>
      <c r="S377" t="str">
        <f t="shared" si="83"/>
        <v>Yes</v>
      </c>
      <c r="T377" t="str">
        <f t="shared" si="84"/>
        <v>Yes</v>
      </c>
    </row>
    <row r="378" spans="1:20" x14ac:dyDescent="0.3">
      <c r="A378" s="15">
        <v>1</v>
      </c>
      <c r="B378" s="15">
        <v>1</v>
      </c>
      <c r="C378" s="15">
        <v>1</v>
      </c>
      <c r="D378" s="5">
        <v>5</v>
      </c>
      <c r="E378">
        <v>3.5</v>
      </c>
      <c r="G378">
        <v>6.1</v>
      </c>
      <c r="H378">
        <v>7.1</v>
      </c>
      <c r="I378">
        <v>8.02</v>
      </c>
      <c r="J378">
        <v>9</v>
      </c>
      <c r="K378">
        <v>0.57999999999999996</v>
      </c>
      <c r="L378">
        <v>0.27</v>
      </c>
      <c r="M378">
        <v>0.65</v>
      </c>
      <c r="N378">
        <f t="shared" si="79"/>
        <v>7.5541361256544475</v>
      </c>
      <c r="O378">
        <f t="shared" si="80"/>
        <v>0.46333333333333332</v>
      </c>
      <c r="P378" s="6">
        <f t="shared" si="81"/>
        <v>3.5000830715532274</v>
      </c>
      <c r="R378">
        <f t="shared" si="82"/>
        <v>0.83180000000000009</v>
      </c>
      <c r="S378" t="str">
        <f t="shared" si="83"/>
        <v>Yes</v>
      </c>
      <c r="T378" t="str">
        <f t="shared" si="84"/>
        <v>Yes</v>
      </c>
    </row>
    <row r="379" spans="1:20" x14ac:dyDescent="0.3">
      <c r="A379" s="15">
        <v>1</v>
      </c>
      <c r="B379" s="15">
        <v>1</v>
      </c>
      <c r="C379" s="15">
        <v>1</v>
      </c>
      <c r="D379" s="18">
        <v>6</v>
      </c>
      <c r="E379">
        <v>5.6</v>
      </c>
      <c r="G379">
        <v>7.62</v>
      </c>
      <c r="H379">
        <v>8.65</v>
      </c>
      <c r="I379">
        <v>9.64</v>
      </c>
      <c r="J379">
        <v>10.62</v>
      </c>
      <c r="K379">
        <v>0.76</v>
      </c>
      <c r="L379">
        <v>0.27</v>
      </c>
      <c r="M379">
        <v>0.38</v>
      </c>
      <c r="N379">
        <f t="shared" si="79"/>
        <v>9.1304010025062698</v>
      </c>
      <c r="O379">
        <f t="shared" si="80"/>
        <v>0.61333333333333329</v>
      </c>
      <c r="P379" s="6">
        <f t="shared" si="81"/>
        <v>5.5999792815371787</v>
      </c>
      <c r="R379">
        <f t="shared" si="82"/>
        <v>0.79489999999999994</v>
      </c>
      <c r="S379" t="str">
        <f t="shared" si="83"/>
        <v>Yes</v>
      </c>
      <c r="T379" t="str">
        <f t="shared" si="84"/>
        <v>Yes</v>
      </c>
    </row>
    <row r="380" spans="1:20" x14ac:dyDescent="0.3">
      <c r="A380" s="15">
        <v>1</v>
      </c>
      <c r="B380" s="15">
        <v>1</v>
      </c>
      <c r="C380" s="3">
        <v>2</v>
      </c>
      <c r="D380" s="15">
        <v>1</v>
      </c>
      <c r="E380">
        <v>4.5</v>
      </c>
      <c r="G380">
        <v>4.75</v>
      </c>
      <c r="H380">
        <v>5.77</v>
      </c>
      <c r="I380">
        <v>6.8</v>
      </c>
      <c r="J380">
        <v>7.8</v>
      </c>
      <c r="K380">
        <v>0.74</v>
      </c>
      <c r="L380">
        <v>0.21</v>
      </c>
      <c r="M380">
        <v>0.17</v>
      </c>
      <c r="N380">
        <f t="shared" si="79"/>
        <v>6.2791748366013076</v>
      </c>
      <c r="O380">
        <f t="shared" si="80"/>
        <v>0.71666666666666667</v>
      </c>
      <c r="P380" s="6">
        <f t="shared" si="81"/>
        <v>4.5000752995642701</v>
      </c>
      <c r="R380">
        <f t="shared" si="82"/>
        <v>0.62060000000000004</v>
      </c>
      <c r="S380" t="str">
        <f t="shared" si="83"/>
        <v>Yes</v>
      </c>
      <c r="T380" t="str">
        <f t="shared" si="84"/>
        <v>Yes</v>
      </c>
    </row>
    <row r="381" spans="1:20" x14ac:dyDescent="0.3">
      <c r="A381" s="15">
        <v>1</v>
      </c>
      <c r="B381" s="15">
        <v>1</v>
      </c>
      <c r="C381" s="3">
        <v>2</v>
      </c>
      <c r="D381" s="3">
        <v>2</v>
      </c>
      <c r="E381">
        <v>3.5</v>
      </c>
      <c r="G381">
        <v>13.1</v>
      </c>
      <c r="H381">
        <v>14.1</v>
      </c>
      <c r="I381">
        <v>15.1</v>
      </c>
      <c r="J381">
        <v>16.04</v>
      </c>
      <c r="K381">
        <v>0.45</v>
      </c>
      <c r="L381">
        <v>0.65</v>
      </c>
      <c r="M381">
        <v>0.43</v>
      </c>
      <c r="N381">
        <f t="shared" si="79"/>
        <v>14.58253807106599</v>
      </c>
      <c r="O381">
        <f t="shared" si="80"/>
        <v>0.24</v>
      </c>
      <c r="P381" s="6">
        <f t="shared" si="81"/>
        <v>3.4998091370558373</v>
      </c>
      <c r="R381">
        <f t="shared" si="82"/>
        <v>0.80989999999999995</v>
      </c>
      <c r="S381" t="str">
        <f t="shared" si="83"/>
        <v>Yes</v>
      </c>
      <c r="T381" t="str">
        <f t="shared" si="84"/>
        <v>Yes</v>
      </c>
    </row>
    <row r="382" spans="1:20" x14ac:dyDescent="0.3">
      <c r="A382" s="15">
        <v>1</v>
      </c>
      <c r="B382" s="15">
        <v>1</v>
      </c>
      <c r="C382" s="3">
        <v>2</v>
      </c>
      <c r="D382" s="16">
        <v>3</v>
      </c>
      <c r="E382">
        <v>6.3</v>
      </c>
      <c r="G382">
        <v>9.7200000000000006</v>
      </c>
      <c r="H382">
        <v>10.68</v>
      </c>
      <c r="I382">
        <v>11.7</v>
      </c>
      <c r="J382">
        <v>12.64</v>
      </c>
      <c r="K382">
        <v>0.76</v>
      </c>
      <c r="L382">
        <v>0.32</v>
      </c>
      <c r="M382">
        <v>0.43</v>
      </c>
      <c r="N382">
        <f t="shared" si="79"/>
        <v>11.184196277495774</v>
      </c>
      <c r="O382">
        <f t="shared" si="80"/>
        <v>0.56333333333333335</v>
      </c>
      <c r="P382" s="6">
        <f t="shared" si="81"/>
        <v>6.3004305696559531</v>
      </c>
      <c r="R382">
        <f t="shared" si="82"/>
        <v>0.8649</v>
      </c>
      <c r="S382" t="str">
        <f t="shared" si="83"/>
        <v>Yes</v>
      </c>
      <c r="T382" t="str">
        <f t="shared" si="84"/>
        <v>Yes</v>
      </c>
    </row>
    <row r="383" spans="1:20" x14ac:dyDescent="0.3">
      <c r="A383" s="15">
        <v>1</v>
      </c>
      <c r="B383" s="15">
        <v>1</v>
      </c>
      <c r="C383" s="3">
        <v>2</v>
      </c>
      <c r="D383" s="17">
        <v>4</v>
      </c>
      <c r="E383">
        <v>4.4000000000000004</v>
      </c>
      <c r="G383">
        <v>8.1</v>
      </c>
      <c r="H383">
        <v>9.07</v>
      </c>
      <c r="I383">
        <v>10.1</v>
      </c>
      <c r="J383">
        <v>11</v>
      </c>
      <c r="K383">
        <v>0.65</v>
      </c>
      <c r="L383">
        <v>0.37</v>
      </c>
      <c r="M383">
        <v>0.53</v>
      </c>
      <c r="N383">
        <f t="shared" si="79"/>
        <v>9.5647243426632702</v>
      </c>
      <c r="O383">
        <f t="shared" si="80"/>
        <v>0.45999999999999996</v>
      </c>
      <c r="P383" s="6">
        <f t="shared" si="81"/>
        <v>4.3997731976251035</v>
      </c>
      <c r="R383">
        <f t="shared" si="82"/>
        <v>0.84030000000000005</v>
      </c>
      <c r="S383" t="str">
        <f t="shared" si="83"/>
        <v>Yes</v>
      </c>
      <c r="T383" t="str">
        <f t="shared" si="84"/>
        <v>Yes</v>
      </c>
    </row>
    <row r="384" spans="1:20" x14ac:dyDescent="0.3">
      <c r="A384" s="15">
        <v>1</v>
      </c>
      <c r="B384" s="15">
        <v>1</v>
      </c>
      <c r="C384" s="3">
        <v>2</v>
      </c>
      <c r="D384" s="5">
        <v>5</v>
      </c>
      <c r="E384">
        <v>2.2999999999999998</v>
      </c>
      <c r="G384">
        <v>2.2999999999999998</v>
      </c>
      <c r="H384">
        <v>3.4</v>
      </c>
      <c r="I384">
        <v>4.2</v>
      </c>
      <c r="J384">
        <v>5.13</v>
      </c>
      <c r="K384">
        <v>0.67</v>
      </c>
      <c r="L384">
        <v>0.21</v>
      </c>
      <c r="M384">
        <v>0.41</v>
      </c>
      <c r="N384">
        <f t="shared" si="79"/>
        <v>3.749577594123048</v>
      </c>
      <c r="O384">
        <f t="shared" si="80"/>
        <v>0.6133333333333334</v>
      </c>
      <c r="P384" s="6">
        <f t="shared" si="81"/>
        <v>2.2997409243954698</v>
      </c>
      <c r="R384">
        <f t="shared" si="82"/>
        <v>0.66110000000000002</v>
      </c>
      <c r="S384" t="str">
        <f t="shared" si="83"/>
        <v>Yes</v>
      </c>
      <c r="T384" t="str">
        <f t="shared" si="84"/>
        <v>Yes</v>
      </c>
    </row>
    <row r="385" spans="1:20" x14ac:dyDescent="0.3">
      <c r="A385" s="15">
        <v>1</v>
      </c>
      <c r="B385" s="15">
        <v>1</v>
      </c>
      <c r="C385" s="3">
        <v>2</v>
      </c>
      <c r="D385" s="18">
        <v>6</v>
      </c>
      <c r="E385">
        <v>4.3</v>
      </c>
      <c r="G385">
        <v>6</v>
      </c>
      <c r="H385">
        <v>7</v>
      </c>
      <c r="I385">
        <v>8</v>
      </c>
      <c r="J385">
        <v>9</v>
      </c>
      <c r="K385">
        <v>0.49</v>
      </c>
      <c r="L385">
        <v>0.28000000000000003</v>
      </c>
      <c r="M385">
        <v>0.21</v>
      </c>
      <c r="N385">
        <f t="shared" si="79"/>
        <v>7.5</v>
      </c>
      <c r="O385">
        <f t="shared" si="80"/>
        <v>0.57333333333333336</v>
      </c>
      <c r="P385" s="6">
        <f t="shared" si="81"/>
        <v>4.3</v>
      </c>
      <c r="R385">
        <f t="shared" si="82"/>
        <v>0.36259999999999998</v>
      </c>
      <c r="S385" t="str">
        <f t="shared" si="83"/>
        <v>Yes</v>
      </c>
      <c r="T385" t="str">
        <f t="shared" si="84"/>
        <v>Yes</v>
      </c>
    </row>
    <row r="386" spans="1:20" x14ac:dyDescent="0.3">
      <c r="A386" s="15">
        <v>1</v>
      </c>
      <c r="B386" s="15">
        <v>1</v>
      </c>
      <c r="C386" s="16">
        <v>3</v>
      </c>
      <c r="D386" s="15">
        <v>1</v>
      </c>
      <c r="E386">
        <v>3.4</v>
      </c>
      <c r="G386">
        <v>8.6</v>
      </c>
      <c r="H386">
        <v>9.6</v>
      </c>
      <c r="I386">
        <v>10.4</v>
      </c>
      <c r="J386">
        <v>11.4</v>
      </c>
      <c r="K386">
        <v>0.46</v>
      </c>
      <c r="L386">
        <v>0.61</v>
      </c>
      <c r="M386">
        <v>0.22</v>
      </c>
      <c r="N386">
        <f t="shared" si="79"/>
        <v>10.000000000000004</v>
      </c>
      <c r="O386">
        <f t="shared" si="80"/>
        <v>0.34</v>
      </c>
      <c r="P386" s="6">
        <f t="shared" si="81"/>
        <v>3.4000000000000012</v>
      </c>
      <c r="R386">
        <f t="shared" si="82"/>
        <v>0.6321</v>
      </c>
      <c r="S386" t="str">
        <f t="shared" si="83"/>
        <v>Yes</v>
      </c>
      <c r="T386" t="str">
        <f t="shared" si="84"/>
        <v>Yes</v>
      </c>
    </row>
    <row r="387" spans="1:20" x14ac:dyDescent="0.3">
      <c r="A387" s="15">
        <v>1</v>
      </c>
      <c r="B387" s="15">
        <v>1</v>
      </c>
      <c r="C387" s="16">
        <v>3</v>
      </c>
      <c r="D387" s="3">
        <v>2</v>
      </c>
      <c r="E387">
        <v>2.2999999999999998</v>
      </c>
      <c r="G387">
        <v>1.7</v>
      </c>
      <c r="H387">
        <v>2.77</v>
      </c>
      <c r="I387">
        <v>3.9</v>
      </c>
      <c r="J387">
        <v>4.8</v>
      </c>
      <c r="K387">
        <v>0.47</v>
      </c>
      <c r="L387">
        <v>0.12</v>
      </c>
      <c r="M387">
        <v>0.13</v>
      </c>
      <c r="N387">
        <f t="shared" si="79"/>
        <v>3.2859022852639881</v>
      </c>
      <c r="O387">
        <f t="shared" si="80"/>
        <v>0.70000000000000007</v>
      </c>
      <c r="P387" s="6">
        <f t="shared" si="81"/>
        <v>2.300131599684792</v>
      </c>
      <c r="R387">
        <f t="shared" si="82"/>
        <v>0.25219999999999998</v>
      </c>
      <c r="S387" t="str">
        <f t="shared" si="83"/>
        <v>Yes</v>
      </c>
      <c r="T387" t="str">
        <f t="shared" si="84"/>
        <v>Yes</v>
      </c>
    </row>
    <row r="388" spans="1:20" x14ac:dyDescent="0.3">
      <c r="A388" s="15">
        <v>1</v>
      </c>
      <c r="B388" s="15">
        <v>1</v>
      </c>
      <c r="C388" s="16">
        <v>3</v>
      </c>
      <c r="D388" s="16">
        <v>3</v>
      </c>
      <c r="E388">
        <v>4.5</v>
      </c>
      <c r="G388">
        <v>6.6</v>
      </c>
      <c r="H388">
        <v>7.6</v>
      </c>
      <c r="I388">
        <v>8.6999999999999993</v>
      </c>
      <c r="J388">
        <v>9.3000000000000007</v>
      </c>
      <c r="K388">
        <v>0.72</v>
      </c>
      <c r="L388">
        <v>0.28000000000000003</v>
      </c>
      <c r="M388">
        <v>0.48</v>
      </c>
      <c r="N388">
        <f t="shared" si="79"/>
        <v>8.0359649122806989</v>
      </c>
      <c r="O388">
        <f t="shared" si="80"/>
        <v>0.55999999999999994</v>
      </c>
      <c r="P388" s="6">
        <f t="shared" si="81"/>
        <v>4.5001403508771913</v>
      </c>
      <c r="R388">
        <f t="shared" si="82"/>
        <v>0.82719999999999994</v>
      </c>
      <c r="S388" t="str">
        <f t="shared" si="83"/>
        <v>Yes</v>
      </c>
      <c r="T388" t="str">
        <f t="shared" si="84"/>
        <v>Yes</v>
      </c>
    </row>
    <row r="389" spans="1:20" x14ac:dyDescent="0.3">
      <c r="A389" s="15">
        <v>1</v>
      </c>
      <c r="B389" s="15">
        <v>1</v>
      </c>
      <c r="C389" s="16">
        <v>3</v>
      </c>
      <c r="D389" s="17">
        <v>4</v>
      </c>
      <c r="E389">
        <v>5.6</v>
      </c>
      <c r="G389">
        <v>10.3</v>
      </c>
      <c r="H389">
        <v>11.23</v>
      </c>
      <c r="I389">
        <v>12.23</v>
      </c>
      <c r="J389">
        <v>13.22</v>
      </c>
      <c r="K389">
        <v>0.56000000000000005</v>
      </c>
      <c r="L389">
        <v>0.39</v>
      </c>
      <c r="M389">
        <v>0.35</v>
      </c>
      <c r="N389">
        <f t="shared" si="79"/>
        <v>11.747448979591834</v>
      </c>
      <c r="O389">
        <f t="shared" si="80"/>
        <v>0.47666666666666674</v>
      </c>
      <c r="P389" s="6">
        <f t="shared" si="81"/>
        <v>5.5996173469387749</v>
      </c>
      <c r="R389">
        <f t="shared" si="82"/>
        <v>0.58820000000000006</v>
      </c>
      <c r="S389" t="str">
        <f t="shared" si="83"/>
        <v>Yes</v>
      </c>
      <c r="T389" t="str">
        <f t="shared" si="84"/>
        <v>Yes</v>
      </c>
    </row>
    <row r="390" spans="1:20" x14ac:dyDescent="0.3">
      <c r="A390" s="15">
        <v>1</v>
      </c>
      <c r="B390" s="15">
        <v>1</v>
      </c>
      <c r="C390" s="16">
        <v>3</v>
      </c>
      <c r="D390" s="5">
        <v>5</v>
      </c>
      <c r="E390">
        <v>3.5</v>
      </c>
      <c r="G390">
        <v>5.5</v>
      </c>
      <c r="H390">
        <v>6.5</v>
      </c>
      <c r="I390">
        <v>7.5</v>
      </c>
      <c r="J390">
        <v>8.5</v>
      </c>
      <c r="K390">
        <v>0.38</v>
      </c>
      <c r="L390">
        <v>0.26</v>
      </c>
      <c r="M390">
        <v>0.36</v>
      </c>
      <c r="N390">
        <f t="shared" si="79"/>
        <v>7</v>
      </c>
      <c r="O390">
        <f t="shared" si="80"/>
        <v>0.5</v>
      </c>
      <c r="P390" s="6">
        <f t="shared" si="81"/>
        <v>3.5</v>
      </c>
      <c r="R390">
        <f t="shared" si="82"/>
        <v>0.34160000000000001</v>
      </c>
      <c r="S390" t="str">
        <f t="shared" si="83"/>
        <v>Yes</v>
      </c>
      <c r="T390" t="str">
        <f t="shared" si="84"/>
        <v>Yes</v>
      </c>
    </row>
    <row r="391" spans="1:20" x14ac:dyDescent="0.3">
      <c r="A391" s="15">
        <v>1</v>
      </c>
      <c r="B391" s="15">
        <v>1</v>
      </c>
      <c r="C391" s="16">
        <v>3</v>
      </c>
      <c r="D391" s="18">
        <v>6</v>
      </c>
      <c r="E391">
        <v>2.4</v>
      </c>
      <c r="G391">
        <v>2.11</v>
      </c>
      <c r="H391">
        <v>3.07</v>
      </c>
      <c r="I391">
        <v>4</v>
      </c>
      <c r="J391">
        <v>5</v>
      </c>
      <c r="K391">
        <v>0.64</v>
      </c>
      <c r="L391">
        <v>0.23</v>
      </c>
      <c r="M391">
        <v>0.15</v>
      </c>
      <c r="N391">
        <f t="shared" si="79"/>
        <v>3.5467102966841177</v>
      </c>
      <c r="O391">
        <f t="shared" si="80"/>
        <v>0.67666666666666664</v>
      </c>
      <c r="P391" s="6">
        <f t="shared" si="81"/>
        <v>2.3999406340895861</v>
      </c>
      <c r="R391">
        <f t="shared" si="82"/>
        <v>0.48500000000000004</v>
      </c>
      <c r="S391" t="str">
        <f t="shared" si="83"/>
        <v>Yes</v>
      </c>
      <c r="T391" t="str">
        <f t="shared" si="84"/>
        <v>Yes</v>
      </c>
    </row>
    <row r="392" spans="1:20" x14ac:dyDescent="0.3">
      <c r="A392" s="15">
        <v>1</v>
      </c>
      <c r="B392" s="3">
        <v>2</v>
      </c>
      <c r="C392" s="15">
        <v>1</v>
      </c>
      <c r="D392" s="15">
        <v>1</v>
      </c>
      <c r="E392">
        <v>3.5</v>
      </c>
      <c r="G392">
        <v>8.3000000000000007</v>
      </c>
      <c r="H392">
        <v>9.5</v>
      </c>
      <c r="I392">
        <v>10.5</v>
      </c>
      <c r="J392">
        <v>11.38</v>
      </c>
      <c r="K392">
        <v>0.37</v>
      </c>
      <c r="L392">
        <v>0.52</v>
      </c>
      <c r="M392">
        <v>0.27</v>
      </c>
      <c r="N392">
        <f t="shared" si="79"/>
        <v>9.9064052287581674</v>
      </c>
      <c r="O392">
        <f t="shared" si="80"/>
        <v>0.35333333333333333</v>
      </c>
      <c r="P392" s="6">
        <f t="shared" si="81"/>
        <v>3.5002631808278859</v>
      </c>
      <c r="R392">
        <f t="shared" si="82"/>
        <v>0.48020000000000002</v>
      </c>
      <c r="S392" t="str">
        <f t="shared" si="83"/>
        <v>Yes</v>
      </c>
      <c r="T392" t="str">
        <f t="shared" si="84"/>
        <v>Yes</v>
      </c>
    </row>
    <row r="393" spans="1:20" x14ac:dyDescent="0.3">
      <c r="A393" s="15">
        <v>1</v>
      </c>
      <c r="B393" s="3">
        <v>2</v>
      </c>
      <c r="C393" s="15">
        <v>1</v>
      </c>
      <c r="D393" s="3">
        <v>2</v>
      </c>
      <c r="E393">
        <v>3.4</v>
      </c>
      <c r="G393">
        <v>4.09</v>
      </c>
      <c r="H393">
        <v>5</v>
      </c>
      <c r="I393">
        <v>6.08</v>
      </c>
      <c r="J393">
        <v>7</v>
      </c>
      <c r="K393">
        <v>0.74</v>
      </c>
      <c r="L393">
        <v>0.27</v>
      </c>
      <c r="M393">
        <v>0.36</v>
      </c>
      <c r="N393">
        <f t="shared" si="79"/>
        <v>5.5428822055137834</v>
      </c>
      <c r="O393">
        <f t="shared" si="80"/>
        <v>0.61333333333333329</v>
      </c>
      <c r="P393" s="6">
        <f t="shared" si="81"/>
        <v>3.3996344193817869</v>
      </c>
      <c r="R393">
        <f t="shared" si="82"/>
        <v>0.75009999999999999</v>
      </c>
      <c r="S393" t="str">
        <f t="shared" si="83"/>
        <v>Yes</v>
      </c>
      <c r="T393" t="str">
        <f t="shared" si="84"/>
        <v>Yes</v>
      </c>
    </row>
    <row r="394" spans="1:20" x14ac:dyDescent="0.3">
      <c r="A394" s="15">
        <v>1</v>
      </c>
      <c r="B394" s="3">
        <v>2</v>
      </c>
      <c r="C394" s="15">
        <v>1</v>
      </c>
      <c r="D394" s="16">
        <v>3</v>
      </c>
      <c r="E394">
        <v>4.5</v>
      </c>
      <c r="G394">
        <v>7.5</v>
      </c>
      <c r="H394">
        <v>8.5</v>
      </c>
      <c r="I394">
        <v>9.5</v>
      </c>
      <c r="J394">
        <v>10.5</v>
      </c>
      <c r="K394">
        <v>0.57999999999999996</v>
      </c>
      <c r="L394">
        <v>0.32</v>
      </c>
      <c r="M394">
        <v>0.44</v>
      </c>
      <c r="N394">
        <f t="shared" si="79"/>
        <v>9</v>
      </c>
      <c r="O394">
        <f t="shared" si="80"/>
        <v>0.5</v>
      </c>
      <c r="P394" s="6">
        <f t="shared" si="81"/>
        <v>4.5</v>
      </c>
      <c r="R394">
        <f t="shared" si="82"/>
        <v>0.63239999999999996</v>
      </c>
      <c r="S394" t="str">
        <f t="shared" si="83"/>
        <v>Yes</v>
      </c>
      <c r="T394" t="str">
        <f t="shared" si="84"/>
        <v>Yes</v>
      </c>
    </row>
    <row r="395" spans="1:20" x14ac:dyDescent="0.3">
      <c r="A395" s="15">
        <v>1</v>
      </c>
      <c r="B395" s="3">
        <v>2</v>
      </c>
      <c r="C395" s="15">
        <v>1</v>
      </c>
      <c r="D395" s="17">
        <v>4</v>
      </c>
      <c r="E395">
        <v>3.5</v>
      </c>
      <c r="G395">
        <v>4.1500000000000004</v>
      </c>
      <c r="H395">
        <v>5.0999999999999996</v>
      </c>
      <c r="I395" s="11">
        <v>6.1</v>
      </c>
      <c r="J395">
        <v>7.1</v>
      </c>
      <c r="K395">
        <v>0.62</v>
      </c>
      <c r="L395">
        <v>0.21</v>
      </c>
      <c r="M395">
        <v>0.33</v>
      </c>
      <c r="N395">
        <f t="shared" si="79"/>
        <v>5.6145569620253175</v>
      </c>
      <c r="O395">
        <f t="shared" si="80"/>
        <v>0.62333333333333341</v>
      </c>
      <c r="P395" s="6">
        <f t="shared" si="81"/>
        <v>3.4997405063291152</v>
      </c>
      <c r="R395">
        <f t="shared" si="82"/>
        <v>0.53739999999999999</v>
      </c>
      <c r="S395" t="str">
        <f t="shared" si="83"/>
        <v>Yes</v>
      </c>
      <c r="T395" t="str">
        <f t="shared" si="84"/>
        <v>Yes</v>
      </c>
    </row>
    <row r="396" spans="1:20" x14ac:dyDescent="0.3">
      <c r="A396" s="15">
        <v>1</v>
      </c>
      <c r="B396" s="3">
        <v>2</v>
      </c>
      <c r="C396" s="15">
        <v>1</v>
      </c>
      <c r="D396" s="5">
        <v>5</v>
      </c>
      <c r="E396">
        <v>2.4</v>
      </c>
      <c r="G396">
        <v>2.56</v>
      </c>
      <c r="H396">
        <v>3.52</v>
      </c>
      <c r="I396">
        <v>4.5</v>
      </c>
      <c r="J396">
        <v>5.58</v>
      </c>
      <c r="K396">
        <v>0.64</v>
      </c>
      <c r="L396">
        <v>0.34</v>
      </c>
      <c r="M396">
        <v>0.18</v>
      </c>
      <c r="N396">
        <f t="shared" si="79"/>
        <v>4.0450999999999997</v>
      </c>
      <c r="O396">
        <f t="shared" si="80"/>
        <v>0.59333333333333338</v>
      </c>
      <c r="P396" s="6">
        <f t="shared" si="81"/>
        <v>2.4000926666666667</v>
      </c>
      <c r="R396">
        <f t="shared" si="82"/>
        <v>0.55759999999999998</v>
      </c>
      <c r="S396" t="str">
        <f t="shared" si="83"/>
        <v>Yes</v>
      </c>
      <c r="T396" t="str">
        <f t="shared" si="84"/>
        <v>Yes</v>
      </c>
    </row>
    <row r="397" spans="1:20" x14ac:dyDescent="0.3">
      <c r="A397" s="15">
        <v>1</v>
      </c>
      <c r="B397" s="3">
        <v>2</v>
      </c>
      <c r="C397" s="15">
        <v>1</v>
      </c>
      <c r="D397" s="18">
        <v>6</v>
      </c>
      <c r="E397">
        <v>5.5</v>
      </c>
      <c r="G397">
        <v>8.7899999999999991</v>
      </c>
      <c r="H397">
        <v>9.6</v>
      </c>
      <c r="I397">
        <v>10.6</v>
      </c>
      <c r="J397">
        <v>11.7</v>
      </c>
      <c r="K397">
        <v>0.47</v>
      </c>
      <c r="L397">
        <v>0.32</v>
      </c>
      <c r="M397">
        <v>0.21</v>
      </c>
      <c r="N397">
        <f t="shared" si="79"/>
        <v>10.184305200341011</v>
      </c>
      <c r="O397">
        <f t="shared" si="80"/>
        <v>0.54</v>
      </c>
      <c r="P397" s="6">
        <f t="shared" si="81"/>
        <v>5.4995248081841464</v>
      </c>
      <c r="R397">
        <f t="shared" si="82"/>
        <v>0.36739999999999995</v>
      </c>
      <c r="S397" t="str">
        <f t="shared" si="83"/>
        <v>Yes</v>
      </c>
      <c r="T397" t="str">
        <f t="shared" si="84"/>
        <v>Yes</v>
      </c>
    </row>
    <row r="398" spans="1:20" x14ac:dyDescent="0.3">
      <c r="A398" s="15">
        <v>1</v>
      </c>
      <c r="B398" s="3">
        <v>2</v>
      </c>
      <c r="C398" s="3">
        <v>2</v>
      </c>
      <c r="D398" s="15">
        <v>1</v>
      </c>
      <c r="E398">
        <v>1.5</v>
      </c>
      <c r="G398">
        <v>3.21</v>
      </c>
      <c r="H398">
        <v>4.12</v>
      </c>
      <c r="I398">
        <v>5.1100000000000003</v>
      </c>
      <c r="J398">
        <v>6.1</v>
      </c>
      <c r="K398">
        <v>0.19</v>
      </c>
      <c r="L398">
        <v>0.34</v>
      </c>
      <c r="M398">
        <v>0.54</v>
      </c>
      <c r="N398">
        <f t="shared" si="79"/>
        <v>4.6382646048109955</v>
      </c>
      <c r="O398">
        <f t="shared" si="80"/>
        <v>0.32333333333333331</v>
      </c>
      <c r="P398" s="6">
        <f t="shared" si="81"/>
        <v>1.499705555555555</v>
      </c>
      <c r="R398">
        <f t="shared" si="82"/>
        <v>0.44330000000000003</v>
      </c>
      <c r="S398" t="str">
        <f t="shared" si="83"/>
        <v>Yes</v>
      </c>
      <c r="T398" t="str">
        <f t="shared" si="84"/>
        <v>Yes</v>
      </c>
    </row>
    <row r="399" spans="1:20" x14ac:dyDescent="0.3">
      <c r="A399" s="15">
        <v>1</v>
      </c>
      <c r="B399" s="3">
        <v>2</v>
      </c>
      <c r="C399" s="3">
        <v>2</v>
      </c>
      <c r="D399" s="3">
        <v>2</v>
      </c>
      <c r="E399">
        <v>3.8</v>
      </c>
      <c r="G399">
        <v>6.1</v>
      </c>
      <c r="H399">
        <v>7.1</v>
      </c>
      <c r="I399">
        <v>8.1</v>
      </c>
      <c r="J399">
        <v>9.1</v>
      </c>
      <c r="K399">
        <v>0.57999999999999996</v>
      </c>
      <c r="L399">
        <v>0.32</v>
      </c>
      <c r="M399">
        <v>0.44</v>
      </c>
      <c r="N399">
        <f t="shared" si="79"/>
        <v>7.6000000000000014</v>
      </c>
      <c r="O399">
        <f t="shared" si="80"/>
        <v>0.5</v>
      </c>
      <c r="P399" s="6">
        <f t="shared" si="81"/>
        <v>3.8000000000000007</v>
      </c>
      <c r="R399">
        <f t="shared" si="82"/>
        <v>0.63239999999999996</v>
      </c>
      <c r="S399" t="str">
        <f t="shared" si="83"/>
        <v>Yes</v>
      </c>
      <c r="T399" t="str">
        <f t="shared" si="84"/>
        <v>Yes</v>
      </c>
    </row>
    <row r="400" spans="1:20" x14ac:dyDescent="0.3">
      <c r="A400" s="15">
        <v>1</v>
      </c>
      <c r="B400" s="3">
        <v>2</v>
      </c>
      <c r="C400" s="3">
        <v>2</v>
      </c>
      <c r="D400" s="16">
        <v>3</v>
      </c>
      <c r="E400">
        <v>3.8</v>
      </c>
      <c r="G400">
        <v>6.2</v>
      </c>
      <c r="H400">
        <v>7.22</v>
      </c>
      <c r="I400">
        <v>8.3000000000000007</v>
      </c>
      <c r="J400">
        <v>9.3000000000000007</v>
      </c>
      <c r="K400">
        <v>0.52</v>
      </c>
      <c r="L400">
        <v>0.43</v>
      </c>
      <c r="M400">
        <v>0.19</v>
      </c>
      <c r="N400">
        <f t="shared" si="79"/>
        <v>7.7541945773524716</v>
      </c>
      <c r="O400">
        <f t="shared" si="80"/>
        <v>0.49</v>
      </c>
      <c r="P400" s="6">
        <f t="shared" si="81"/>
        <v>3.7995553429027109</v>
      </c>
      <c r="R400">
        <f t="shared" si="82"/>
        <v>0.49140000000000006</v>
      </c>
      <c r="S400" t="str">
        <f t="shared" si="83"/>
        <v>Yes</v>
      </c>
      <c r="T400" t="str">
        <f t="shared" si="84"/>
        <v>Yes</v>
      </c>
    </row>
    <row r="401" spans="1:20" x14ac:dyDescent="0.3">
      <c r="A401" s="15">
        <v>1</v>
      </c>
      <c r="B401" s="3">
        <v>2</v>
      </c>
      <c r="C401" s="3">
        <v>2</v>
      </c>
      <c r="D401" s="17">
        <v>4</v>
      </c>
      <c r="E401">
        <v>3.6</v>
      </c>
      <c r="G401">
        <v>4.68</v>
      </c>
      <c r="H401">
        <v>5.55</v>
      </c>
      <c r="I401">
        <v>6.52</v>
      </c>
      <c r="J401">
        <v>7.5</v>
      </c>
      <c r="K401">
        <v>0.63</v>
      </c>
      <c r="L401">
        <v>0.26</v>
      </c>
      <c r="M401">
        <v>0.33</v>
      </c>
      <c r="N401">
        <f t="shared" si="79"/>
        <v>6.0669744942832002</v>
      </c>
      <c r="O401">
        <f t="shared" si="80"/>
        <v>0.59333333333333338</v>
      </c>
      <c r="P401" s="6">
        <f t="shared" si="81"/>
        <v>3.5997381999413656</v>
      </c>
      <c r="R401">
        <f t="shared" si="82"/>
        <v>0.57340000000000002</v>
      </c>
      <c r="S401" t="str">
        <f t="shared" si="83"/>
        <v>Yes</v>
      </c>
      <c r="T401" t="str">
        <f t="shared" si="84"/>
        <v>Yes</v>
      </c>
    </row>
    <row r="402" spans="1:20" x14ac:dyDescent="0.3">
      <c r="A402" s="15">
        <v>1</v>
      </c>
      <c r="B402" s="3">
        <v>2</v>
      </c>
      <c r="C402" s="3">
        <v>2</v>
      </c>
      <c r="D402" s="5">
        <v>5</v>
      </c>
      <c r="E402">
        <v>2.5</v>
      </c>
      <c r="G402">
        <v>4.7</v>
      </c>
      <c r="H402">
        <v>5.6</v>
      </c>
      <c r="I402">
        <v>6.65</v>
      </c>
      <c r="J402">
        <v>7.8</v>
      </c>
      <c r="K402">
        <v>0.53</v>
      </c>
      <c r="L402">
        <v>0.55000000000000004</v>
      </c>
      <c r="M402">
        <v>0.22</v>
      </c>
      <c r="N402">
        <f t="shared" si="79"/>
        <v>6.1977911646586348</v>
      </c>
      <c r="O402">
        <f t="shared" si="80"/>
        <v>0.40333333333333332</v>
      </c>
      <c r="P402" s="6">
        <f t="shared" si="81"/>
        <v>2.4997757697456491</v>
      </c>
      <c r="R402">
        <f t="shared" si="82"/>
        <v>0.63180000000000014</v>
      </c>
      <c r="S402" t="str">
        <f t="shared" si="83"/>
        <v>Yes</v>
      </c>
      <c r="T402" t="str">
        <f t="shared" si="84"/>
        <v>Yes</v>
      </c>
    </row>
    <row r="403" spans="1:20" x14ac:dyDescent="0.3">
      <c r="A403" s="15">
        <v>1</v>
      </c>
      <c r="B403" s="3">
        <v>2</v>
      </c>
      <c r="C403" s="3">
        <v>2</v>
      </c>
      <c r="D403" s="18">
        <v>6</v>
      </c>
      <c r="E403">
        <v>1.5</v>
      </c>
      <c r="G403">
        <v>1.1000000000000001</v>
      </c>
      <c r="H403">
        <v>2.1</v>
      </c>
      <c r="I403">
        <v>3.1</v>
      </c>
      <c r="J403">
        <v>4</v>
      </c>
      <c r="K403">
        <v>0.55000000000000004</v>
      </c>
      <c r="L403">
        <v>0.34</v>
      </c>
      <c r="M403">
        <v>0.12</v>
      </c>
      <c r="N403">
        <f t="shared" si="79"/>
        <v>2.5709401709401711</v>
      </c>
      <c r="O403">
        <f t="shared" si="80"/>
        <v>0.58333333333333337</v>
      </c>
      <c r="P403" s="6">
        <f t="shared" si="81"/>
        <v>1.4997150997150999</v>
      </c>
      <c r="R403">
        <f t="shared" si="82"/>
        <v>0.43250000000000011</v>
      </c>
      <c r="S403" t="str">
        <f t="shared" si="83"/>
        <v>Yes</v>
      </c>
      <c r="T403" t="str">
        <f t="shared" si="84"/>
        <v>Yes</v>
      </c>
    </row>
    <row r="404" spans="1:20" x14ac:dyDescent="0.3">
      <c r="A404" s="15">
        <v>1</v>
      </c>
      <c r="B404" s="3">
        <v>2</v>
      </c>
      <c r="C404" s="16">
        <v>3</v>
      </c>
      <c r="D404" s="15">
        <v>1</v>
      </c>
      <c r="E404">
        <v>2.5</v>
      </c>
      <c r="G404">
        <v>2.85</v>
      </c>
      <c r="H404">
        <v>3.85</v>
      </c>
      <c r="I404">
        <v>4.82</v>
      </c>
      <c r="J404">
        <v>5.82</v>
      </c>
      <c r="K404">
        <v>0.57999999999999996</v>
      </c>
      <c r="L404">
        <v>0.22</v>
      </c>
      <c r="M404">
        <v>0.41</v>
      </c>
      <c r="N404">
        <f t="shared" si="79"/>
        <v>4.335</v>
      </c>
      <c r="O404">
        <f t="shared" si="80"/>
        <v>0.57666666666666666</v>
      </c>
      <c r="P404" s="6">
        <f t="shared" si="81"/>
        <v>2.4998499999999999</v>
      </c>
      <c r="R404">
        <f t="shared" si="82"/>
        <v>0.55289999999999995</v>
      </c>
      <c r="S404" t="str">
        <f t="shared" si="83"/>
        <v>Yes</v>
      </c>
      <c r="T404" t="str">
        <f t="shared" si="84"/>
        <v>Yes</v>
      </c>
    </row>
    <row r="405" spans="1:20" x14ac:dyDescent="0.3">
      <c r="A405" s="15">
        <v>1</v>
      </c>
      <c r="B405" s="3">
        <v>2</v>
      </c>
      <c r="C405" s="16">
        <v>3</v>
      </c>
      <c r="D405" s="3">
        <v>2</v>
      </c>
      <c r="E405">
        <v>5.3</v>
      </c>
      <c r="G405">
        <v>11.07</v>
      </c>
      <c r="H405">
        <v>12</v>
      </c>
      <c r="I405">
        <v>13</v>
      </c>
      <c r="J405">
        <v>14</v>
      </c>
      <c r="K405">
        <v>0.56999999999999995</v>
      </c>
      <c r="L405">
        <v>0.53</v>
      </c>
      <c r="M405">
        <v>0.24</v>
      </c>
      <c r="N405">
        <f t="shared" si="79"/>
        <v>12.520364715860898</v>
      </c>
      <c r="O405">
        <f t="shared" si="80"/>
        <v>0.42333333333333334</v>
      </c>
      <c r="P405" s="6">
        <f t="shared" si="81"/>
        <v>5.3002877297144471</v>
      </c>
      <c r="R405">
        <f t="shared" si="82"/>
        <v>0.66339999999999999</v>
      </c>
      <c r="S405" t="str">
        <f t="shared" si="83"/>
        <v>Yes</v>
      </c>
      <c r="T405" t="str">
        <f t="shared" si="84"/>
        <v>Yes</v>
      </c>
    </row>
    <row r="406" spans="1:20" x14ac:dyDescent="0.3">
      <c r="A406" s="15">
        <v>1</v>
      </c>
      <c r="B406" s="3">
        <v>2</v>
      </c>
      <c r="C406" s="16">
        <v>3</v>
      </c>
      <c r="D406" s="16">
        <v>3</v>
      </c>
      <c r="E406">
        <v>2.5</v>
      </c>
      <c r="G406">
        <v>5.41</v>
      </c>
      <c r="H406">
        <v>6.35</v>
      </c>
      <c r="I406">
        <v>7.35</v>
      </c>
      <c r="J406">
        <v>8.4</v>
      </c>
      <c r="K406">
        <v>0.59</v>
      </c>
      <c r="L406">
        <v>0.63</v>
      </c>
      <c r="M406">
        <v>0.24</v>
      </c>
      <c r="N406">
        <f t="shared" si="79"/>
        <v>6.882071846282372</v>
      </c>
      <c r="O406">
        <f t="shared" si="80"/>
        <v>0.36333333333333329</v>
      </c>
      <c r="P406" s="6">
        <f t="shared" si="81"/>
        <v>2.5004861041492616</v>
      </c>
      <c r="R406">
        <f t="shared" si="82"/>
        <v>0.80259999999999998</v>
      </c>
      <c r="S406" t="str">
        <f t="shared" si="83"/>
        <v>Yes</v>
      </c>
      <c r="T406" t="str">
        <f t="shared" si="84"/>
        <v>Yes</v>
      </c>
    </row>
    <row r="407" spans="1:20" x14ac:dyDescent="0.3">
      <c r="A407" s="15">
        <v>1</v>
      </c>
      <c r="B407" s="3">
        <v>2</v>
      </c>
      <c r="C407" s="16">
        <v>3</v>
      </c>
      <c r="D407" s="17">
        <v>4</v>
      </c>
      <c r="E407">
        <v>1.7</v>
      </c>
      <c r="G407">
        <v>1.25</v>
      </c>
      <c r="H407">
        <v>2.33</v>
      </c>
      <c r="I407">
        <v>3.2</v>
      </c>
      <c r="J407">
        <v>4.2</v>
      </c>
      <c r="K407">
        <v>0.45</v>
      </c>
      <c r="L407">
        <v>0.23</v>
      </c>
      <c r="M407">
        <v>0.13</v>
      </c>
      <c r="N407">
        <f t="shared" si="79"/>
        <v>2.7413699825479934</v>
      </c>
      <c r="O407">
        <f t="shared" si="80"/>
        <v>0.62</v>
      </c>
      <c r="P407" s="6">
        <f t="shared" si="81"/>
        <v>1.6996493891797559</v>
      </c>
      <c r="R407">
        <f t="shared" si="82"/>
        <v>0.27230000000000004</v>
      </c>
      <c r="S407" t="str">
        <f t="shared" si="83"/>
        <v>Yes</v>
      </c>
      <c r="T407" t="str">
        <f t="shared" si="84"/>
        <v>Yes</v>
      </c>
    </row>
    <row r="408" spans="1:20" x14ac:dyDescent="0.3">
      <c r="A408" s="15">
        <v>1</v>
      </c>
      <c r="B408" s="3">
        <v>2</v>
      </c>
      <c r="C408" s="16">
        <v>3</v>
      </c>
      <c r="D408" s="5">
        <v>5</v>
      </c>
      <c r="E408">
        <v>3.6</v>
      </c>
      <c r="G408">
        <v>5.7</v>
      </c>
      <c r="H408">
        <v>6.7</v>
      </c>
      <c r="I408">
        <v>7.7</v>
      </c>
      <c r="J408">
        <v>8.6999999999999993</v>
      </c>
      <c r="K408">
        <v>0.38</v>
      </c>
      <c r="L408">
        <v>0.26</v>
      </c>
      <c r="M408">
        <v>0.36</v>
      </c>
      <c r="N408">
        <f t="shared" si="79"/>
        <v>7.1999999999999993</v>
      </c>
      <c r="O408">
        <f t="shared" si="80"/>
        <v>0.5</v>
      </c>
      <c r="P408" s="6">
        <f t="shared" si="81"/>
        <v>3.5999999999999996</v>
      </c>
      <c r="R408">
        <f t="shared" si="82"/>
        <v>0.34160000000000001</v>
      </c>
      <c r="S408" t="str">
        <f t="shared" si="83"/>
        <v>Yes</v>
      </c>
      <c r="T408" t="str">
        <f t="shared" si="84"/>
        <v>Yes</v>
      </c>
    </row>
    <row r="409" spans="1:20" x14ac:dyDescent="0.3">
      <c r="A409" s="15">
        <v>1</v>
      </c>
      <c r="B409" s="3">
        <v>2</v>
      </c>
      <c r="C409" s="16">
        <v>3</v>
      </c>
      <c r="D409" s="18">
        <v>6</v>
      </c>
      <c r="E409">
        <v>2.6</v>
      </c>
      <c r="G409">
        <v>5.78</v>
      </c>
      <c r="H409">
        <v>6.7</v>
      </c>
      <c r="I409">
        <v>7.7</v>
      </c>
      <c r="J409">
        <v>8.6999999999999993</v>
      </c>
      <c r="K409">
        <v>0.38</v>
      </c>
      <c r="L409">
        <v>0.43</v>
      </c>
      <c r="M409">
        <v>0.44</v>
      </c>
      <c r="N409">
        <f t="shared" si="79"/>
        <v>7.2232653061224523</v>
      </c>
      <c r="O409">
        <f t="shared" si="80"/>
        <v>0.36000000000000004</v>
      </c>
      <c r="P409" s="6">
        <f t="shared" si="81"/>
        <v>2.6003755102040831</v>
      </c>
      <c r="R409">
        <f t="shared" si="82"/>
        <v>0.52289999999999992</v>
      </c>
      <c r="S409" t="str">
        <f t="shared" si="83"/>
        <v>Yes</v>
      </c>
      <c r="T409" t="str">
        <f t="shared" si="84"/>
        <v>Yes</v>
      </c>
    </row>
    <row r="410" spans="1:20" x14ac:dyDescent="0.3">
      <c r="A410" s="3">
        <v>2</v>
      </c>
      <c r="B410" s="15">
        <v>1</v>
      </c>
      <c r="C410" s="15">
        <v>1</v>
      </c>
      <c r="D410" s="15">
        <v>1</v>
      </c>
      <c r="E410">
        <v>5.6</v>
      </c>
      <c r="G410">
        <v>9.1</v>
      </c>
      <c r="H410">
        <v>10.1</v>
      </c>
      <c r="I410">
        <v>11.08</v>
      </c>
      <c r="J410">
        <v>12</v>
      </c>
      <c r="K410">
        <v>0.67</v>
      </c>
      <c r="L410">
        <v>0.45</v>
      </c>
      <c r="M410">
        <v>0.18</v>
      </c>
      <c r="N410">
        <f t="shared" si="79"/>
        <v>10.56670103092784</v>
      </c>
      <c r="O410">
        <f t="shared" si="80"/>
        <v>0.53</v>
      </c>
      <c r="P410" s="6">
        <f t="shared" si="81"/>
        <v>5.6003515463917557</v>
      </c>
      <c r="R410">
        <f t="shared" si="82"/>
        <v>0.68380000000000007</v>
      </c>
      <c r="S410" t="str">
        <f t="shared" si="83"/>
        <v>Yes</v>
      </c>
      <c r="T410" t="str">
        <f t="shared" si="84"/>
        <v>Yes</v>
      </c>
    </row>
    <row r="411" spans="1:20" x14ac:dyDescent="0.3">
      <c r="A411" s="3">
        <v>2</v>
      </c>
      <c r="B411" s="15">
        <v>1</v>
      </c>
      <c r="C411" s="15">
        <v>1</v>
      </c>
      <c r="D411" s="3">
        <v>2</v>
      </c>
      <c r="E411">
        <v>2.6</v>
      </c>
      <c r="G411">
        <v>3.94</v>
      </c>
      <c r="H411">
        <v>4.96</v>
      </c>
      <c r="I411">
        <v>5.98</v>
      </c>
      <c r="J411">
        <v>6.95</v>
      </c>
      <c r="K411">
        <v>0.27</v>
      </c>
      <c r="L411">
        <v>0.26</v>
      </c>
      <c r="M411">
        <v>0.32</v>
      </c>
      <c r="N411">
        <f t="shared" si="79"/>
        <v>5.4554425144747736</v>
      </c>
      <c r="O411">
        <f t="shared" si="80"/>
        <v>0.47666666666666663</v>
      </c>
      <c r="P411" s="6">
        <f t="shared" si="81"/>
        <v>2.6004275985663083</v>
      </c>
      <c r="R411">
        <f t="shared" si="82"/>
        <v>0.2429</v>
      </c>
      <c r="S411" t="str">
        <f t="shared" si="83"/>
        <v>Yes</v>
      </c>
      <c r="T411" t="str">
        <f t="shared" si="84"/>
        <v>Yes</v>
      </c>
    </row>
    <row r="412" spans="1:20" x14ac:dyDescent="0.3">
      <c r="A412" s="3">
        <v>2</v>
      </c>
      <c r="B412" s="15">
        <v>1</v>
      </c>
      <c r="C412" s="15">
        <v>1</v>
      </c>
      <c r="D412" s="16">
        <v>3</v>
      </c>
      <c r="E412">
        <v>5.7</v>
      </c>
      <c r="G412">
        <v>7.5</v>
      </c>
      <c r="H412">
        <v>8.8000000000000007</v>
      </c>
      <c r="I412">
        <v>9.85</v>
      </c>
      <c r="J412">
        <v>10.7</v>
      </c>
      <c r="K412">
        <v>0.62</v>
      </c>
      <c r="L412">
        <v>0.27</v>
      </c>
      <c r="M412">
        <v>0.22</v>
      </c>
      <c r="N412">
        <f t="shared" si="79"/>
        <v>9.1935294117647111</v>
      </c>
      <c r="O412">
        <f t="shared" si="80"/>
        <v>0.62</v>
      </c>
      <c r="P412" s="6">
        <f t="shared" si="81"/>
        <v>5.6999882352941205</v>
      </c>
      <c r="R412">
        <f t="shared" si="82"/>
        <v>0.50570000000000004</v>
      </c>
      <c r="S412" t="str">
        <f t="shared" si="83"/>
        <v>Yes</v>
      </c>
      <c r="T412" t="str">
        <f t="shared" si="84"/>
        <v>Yes</v>
      </c>
    </row>
    <row r="413" spans="1:20" x14ac:dyDescent="0.3">
      <c r="A413" s="3">
        <v>2</v>
      </c>
      <c r="B413" s="15">
        <v>1</v>
      </c>
      <c r="C413" s="15">
        <v>1</v>
      </c>
      <c r="D413" s="17">
        <v>4</v>
      </c>
      <c r="E413">
        <v>2.4</v>
      </c>
      <c r="G413">
        <v>2.35</v>
      </c>
      <c r="H413">
        <v>3.22</v>
      </c>
      <c r="I413" s="11">
        <v>4.26</v>
      </c>
      <c r="J413">
        <v>5.23</v>
      </c>
      <c r="K413">
        <v>0.66</v>
      </c>
      <c r="L413">
        <v>0.22</v>
      </c>
      <c r="M413">
        <v>0.31</v>
      </c>
      <c r="N413">
        <f t="shared" si="79"/>
        <v>3.7689115646258506</v>
      </c>
      <c r="O413">
        <f t="shared" si="80"/>
        <v>0.63666666666666671</v>
      </c>
      <c r="P413" s="6">
        <f t="shared" si="81"/>
        <v>2.3995403628117917</v>
      </c>
      <c r="R413">
        <f t="shared" si="82"/>
        <v>0.58010000000000006</v>
      </c>
      <c r="S413" t="str">
        <f t="shared" si="83"/>
        <v>Yes</v>
      </c>
      <c r="T413" t="str">
        <f t="shared" si="84"/>
        <v>Yes</v>
      </c>
    </row>
    <row r="414" spans="1:20" x14ac:dyDescent="0.3">
      <c r="A414" s="3">
        <v>2</v>
      </c>
      <c r="B414" s="15">
        <v>1</v>
      </c>
      <c r="C414" s="15">
        <v>1</v>
      </c>
      <c r="D414" s="5">
        <v>5</v>
      </c>
      <c r="E414">
        <v>5.2</v>
      </c>
      <c r="G414">
        <v>7.8</v>
      </c>
      <c r="H414">
        <v>8.8000000000000007</v>
      </c>
      <c r="I414">
        <v>9.8000000000000007</v>
      </c>
      <c r="J414">
        <v>10.75</v>
      </c>
      <c r="K414">
        <v>0.82</v>
      </c>
      <c r="L414">
        <v>0.51</v>
      </c>
      <c r="M414">
        <v>0.12</v>
      </c>
      <c r="N414">
        <f t="shared" si="79"/>
        <v>9.2854430379746908</v>
      </c>
      <c r="O414">
        <f t="shared" si="80"/>
        <v>0.55999999999999994</v>
      </c>
      <c r="P414" s="6">
        <f t="shared" si="81"/>
        <v>5.1998481012658262</v>
      </c>
      <c r="R414">
        <f t="shared" si="82"/>
        <v>0.94689999999999985</v>
      </c>
      <c r="S414" t="str">
        <f t="shared" si="83"/>
        <v>Yes</v>
      </c>
      <c r="T414" t="str">
        <f t="shared" si="84"/>
        <v>Yes</v>
      </c>
    </row>
    <row r="415" spans="1:20" x14ac:dyDescent="0.3">
      <c r="A415" s="3">
        <v>2</v>
      </c>
      <c r="B415" s="15">
        <v>1</v>
      </c>
      <c r="C415" s="15">
        <v>1</v>
      </c>
      <c r="D415" s="18">
        <v>6</v>
      </c>
      <c r="E415">
        <v>4.5999999999999996</v>
      </c>
      <c r="G415">
        <v>6.6</v>
      </c>
      <c r="H415">
        <v>7.5</v>
      </c>
      <c r="I415">
        <v>8.31</v>
      </c>
      <c r="J415">
        <v>9.3000000000000007</v>
      </c>
      <c r="K415">
        <v>0.55000000000000004</v>
      </c>
      <c r="L415">
        <v>0.21</v>
      </c>
      <c r="M415">
        <v>0.39</v>
      </c>
      <c r="N415">
        <f t="shared" si="79"/>
        <v>7.9315384615384659</v>
      </c>
      <c r="O415">
        <f t="shared" si="80"/>
        <v>0.57999999999999996</v>
      </c>
      <c r="P415" s="6">
        <f t="shared" si="81"/>
        <v>4.6002923076923095</v>
      </c>
      <c r="R415">
        <f t="shared" si="82"/>
        <v>0.49870000000000003</v>
      </c>
      <c r="S415" t="str">
        <f t="shared" si="83"/>
        <v>Yes</v>
      </c>
      <c r="T415" t="str">
        <f t="shared" si="84"/>
        <v>Yes</v>
      </c>
    </row>
    <row r="416" spans="1:20" x14ac:dyDescent="0.3">
      <c r="A416" s="3">
        <v>2</v>
      </c>
      <c r="B416" s="15">
        <v>1</v>
      </c>
      <c r="C416" s="3">
        <v>2</v>
      </c>
      <c r="D416" s="15">
        <v>1</v>
      </c>
      <c r="E416">
        <v>4.0999999999999996</v>
      </c>
      <c r="G416">
        <v>8.07</v>
      </c>
      <c r="H416">
        <v>9.07</v>
      </c>
      <c r="I416">
        <v>10</v>
      </c>
      <c r="J416">
        <v>11</v>
      </c>
      <c r="K416">
        <v>0.48</v>
      </c>
      <c r="L416">
        <v>0.53</v>
      </c>
      <c r="M416">
        <v>0.13</v>
      </c>
      <c r="N416">
        <f t="shared" si="79"/>
        <v>9.5349999999999966</v>
      </c>
      <c r="O416">
        <f t="shared" si="80"/>
        <v>0.43</v>
      </c>
      <c r="P416" s="6">
        <f t="shared" si="81"/>
        <v>4.1000499999999986</v>
      </c>
      <c r="R416">
        <f t="shared" si="82"/>
        <v>0.52820000000000011</v>
      </c>
      <c r="S416" t="str">
        <f t="shared" si="83"/>
        <v>Yes</v>
      </c>
      <c r="T416" t="str">
        <f t="shared" si="84"/>
        <v>Yes</v>
      </c>
    </row>
    <row r="417" spans="1:20" x14ac:dyDescent="0.3">
      <c r="A417" s="3">
        <v>2</v>
      </c>
      <c r="B417" s="15">
        <v>1</v>
      </c>
      <c r="C417" s="3">
        <v>2</v>
      </c>
      <c r="D417" s="3">
        <v>2</v>
      </c>
      <c r="E417">
        <v>3.3</v>
      </c>
      <c r="G417">
        <v>4.3099999999999996</v>
      </c>
      <c r="H417">
        <v>5.35</v>
      </c>
      <c r="I417">
        <v>6.4</v>
      </c>
      <c r="J417">
        <v>7.5</v>
      </c>
      <c r="K417">
        <v>0.82</v>
      </c>
      <c r="L417">
        <v>0.51</v>
      </c>
      <c r="M417">
        <v>0.12</v>
      </c>
      <c r="N417">
        <f t="shared" si="79"/>
        <v>5.8925235849056623</v>
      </c>
      <c r="O417">
        <f t="shared" si="80"/>
        <v>0.55999999999999994</v>
      </c>
      <c r="P417" s="6">
        <f t="shared" si="81"/>
        <v>3.2998132075471704</v>
      </c>
      <c r="R417">
        <f t="shared" si="82"/>
        <v>0.94689999999999985</v>
      </c>
      <c r="S417" t="str">
        <f t="shared" si="83"/>
        <v>Yes</v>
      </c>
      <c r="T417" t="str">
        <f t="shared" si="84"/>
        <v>Yes</v>
      </c>
    </row>
    <row r="418" spans="1:20" x14ac:dyDescent="0.3">
      <c r="A418" s="3">
        <v>2</v>
      </c>
      <c r="B418" s="15">
        <v>1</v>
      </c>
      <c r="C418" s="3">
        <v>2</v>
      </c>
      <c r="D418" s="16">
        <v>3</v>
      </c>
      <c r="E418">
        <v>2.6</v>
      </c>
      <c r="G418">
        <v>2.7</v>
      </c>
      <c r="H418">
        <v>3.75</v>
      </c>
      <c r="I418">
        <v>4.82</v>
      </c>
      <c r="J418">
        <v>5.71</v>
      </c>
      <c r="K418">
        <v>0.56999999999999995</v>
      </c>
      <c r="L418">
        <v>0.21</v>
      </c>
      <c r="M418">
        <v>0.31</v>
      </c>
      <c r="N418">
        <f t="shared" si="79"/>
        <v>4.2386601307189533</v>
      </c>
      <c r="O418">
        <f t="shared" si="80"/>
        <v>0.61333333333333329</v>
      </c>
      <c r="P418" s="6">
        <f t="shared" si="81"/>
        <v>2.599711546840958</v>
      </c>
      <c r="R418">
        <f t="shared" si="82"/>
        <v>0.46509999999999996</v>
      </c>
      <c r="S418" t="str">
        <f t="shared" si="83"/>
        <v>Yes</v>
      </c>
      <c r="T418" t="str">
        <f t="shared" si="84"/>
        <v>Yes</v>
      </c>
    </row>
    <row r="419" spans="1:20" x14ac:dyDescent="0.3">
      <c r="A419" s="3">
        <v>2</v>
      </c>
      <c r="B419" s="15">
        <v>1</v>
      </c>
      <c r="C419" s="3">
        <v>2</v>
      </c>
      <c r="D419" s="17">
        <v>4</v>
      </c>
      <c r="E419">
        <v>2.1</v>
      </c>
      <c r="G419">
        <v>2</v>
      </c>
      <c r="H419">
        <v>3</v>
      </c>
      <c r="I419">
        <v>4</v>
      </c>
      <c r="J419">
        <v>5</v>
      </c>
      <c r="K419">
        <v>0.59</v>
      </c>
      <c r="L419">
        <v>0.28999999999999998</v>
      </c>
      <c r="M419">
        <v>0.21</v>
      </c>
      <c r="N419">
        <f t="shared" si="79"/>
        <v>3.5</v>
      </c>
      <c r="O419">
        <f t="shared" si="80"/>
        <v>0.6</v>
      </c>
      <c r="P419" s="6">
        <f t="shared" si="81"/>
        <v>2.1</v>
      </c>
      <c r="R419">
        <f t="shared" si="82"/>
        <v>0.47629999999999995</v>
      </c>
      <c r="S419" t="str">
        <f t="shared" si="83"/>
        <v>Yes</v>
      </c>
      <c r="T419" t="str">
        <f t="shared" si="84"/>
        <v>Yes</v>
      </c>
    </row>
    <row r="420" spans="1:20" x14ac:dyDescent="0.3">
      <c r="A420" s="3">
        <v>2</v>
      </c>
      <c r="B420" s="15">
        <v>1</v>
      </c>
      <c r="C420" s="3">
        <v>2</v>
      </c>
      <c r="D420" s="5">
        <v>5</v>
      </c>
      <c r="E420">
        <v>2.7</v>
      </c>
      <c r="G420">
        <v>6.1</v>
      </c>
      <c r="H420">
        <v>7.1</v>
      </c>
      <c r="I420">
        <v>8.1</v>
      </c>
      <c r="J420">
        <v>9</v>
      </c>
      <c r="K420">
        <v>0.38</v>
      </c>
      <c r="L420">
        <v>0.47</v>
      </c>
      <c r="M420">
        <v>0.37</v>
      </c>
      <c r="N420">
        <f t="shared" si="79"/>
        <v>7.570940170940168</v>
      </c>
      <c r="O420">
        <f t="shared" si="80"/>
        <v>0.35666666666666669</v>
      </c>
      <c r="P420" s="6">
        <f t="shared" si="81"/>
        <v>2.7003019943019932</v>
      </c>
      <c r="R420">
        <f t="shared" si="82"/>
        <v>0.50219999999999998</v>
      </c>
      <c r="S420" t="str">
        <f t="shared" si="83"/>
        <v>Yes</v>
      </c>
      <c r="T420" t="str">
        <f t="shared" si="84"/>
        <v>Yes</v>
      </c>
    </row>
    <row r="421" spans="1:20" x14ac:dyDescent="0.3">
      <c r="A421" s="3">
        <v>2</v>
      </c>
      <c r="B421" s="15">
        <v>1</v>
      </c>
      <c r="C421" s="3">
        <v>2</v>
      </c>
      <c r="D421" s="18">
        <v>6</v>
      </c>
      <c r="E421">
        <v>1.9</v>
      </c>
      <c r="G421">
        <v>2.4</v>
      </c>
      <c r="H421">
        <v>3.35</v>
      </c>
      <c r="I421">
        <v>4.34</v>
      </c>
      <c r="J421">
        <v>5.4</v>
      </c>
      <c r="K421">
        <v>0.19</v>
      </c>
      <c r="L421">
        <v>0.22</v>
      </c>
      <c r="M421">
        <v>0.28000000000000003</v>
      </c>
      <c r="N421">
        <f t="shared" si="79"/>
        <v>3.8771177944862156</v>
      </c>
      <c r="O421">
        <f t="shared" si="80"/>
        <v>0.49</v>
      </c>
      <c r="P421" s="6">
        <f t="shared" si="81"/>
        <v>1.8997877192982455</v>
      </c>
      <c r="R421">
        <f t="shared" si="82"/>
        <v>0.16289999999999999</v>
      </c>
      <c r="S421" t="str">
        <f t="shared" si="83"/>
        <v>Yes</v>
      </c>
      <c r="T421" t="str">
        <f t="shared" si="84"/>
        <v>Yes</v>
      </c>
    </row>
    <row r="422" spans="1:20" x14ac:dyDescent="0.3">
      <c r="A422" s="3">
        <v>2</v>
      </c>
      <c r="B422" s="15">
        <v>1</v>
      </c>
      <c r="C422" s="16">
        <v>3</v>
      </c>
      <c r="D422" s="15">
        <v>1</v>
      </c>
      <c r="E422">
        <v>5.6</v>
      </c>
      <c r="G422">
        <v>6.61</v>
      </c>
      <c r="H422">
        <v>7.31</v>
      </c>
      <c r="I422">
        <v>7.8</v>
      </c>
      <c r="J422">
        <v>8.1999999999999993</v>
      </c>
      <c r="K422">
        <v>0.76</v>
      </c>
      <c r="L422">
        <v>0.11</v>
      </c>
      <c r="M422">
        <v>0.28999999999999998</v>
      </c>
      <c r="N422">
        <f t="shared" si="79"/>
        <v>7.4667788461538374</v>
      </c>
      <c r="O422">
        <f t="shared" si="80"/>
        <v>0.75</v>
      </c>
      <c r="P422" s="6">
        <f t="shared" si="81"/>
        <v>5.6000841346153782</v>
      </c>
      <c r="R422">
        <f t="shared" si="82"/>
        <v>0.67379999999999995</v>
      </c>
      <c r="S422" t="str">
        <f t="shared" si="83"/>
        <v>Yes</v>
      </c>
      <c r="T422" t="str">
        <f t="shared" si="84"/>
        <v>Yes</v>
      </c>
    </row>
    <row r="423" spans="1:20" x14ac:dyDescent="0.3">
      <c r="A423" s="3">
        <v>2</v>
      </c>
      <c r="B423" s="15">
        <v>1</v>
      </c>
      <c r="C423" s="16">
        <v>3</v>
      </c>
      <c r="D423" s="3">
        <v>2</v>
      </c>
      <c r="E423">
        <v>2.5</v>
      </c>
      <c r="G423">
        <v>2.78</v>
      </c>
      <c r="H423">
        <v>3.5</v>
      </c>
      <c r="I423">
        <v>4.8</v>
      </c>
      <c r="J423">
        <v>5.5</v>
      </c>
      <c r="K423">
        <v>0.63</v>
      </c>
      <c r="L423">
        <v>0.27</v>
      </c>
      <c r="M423">
        <v>0.28000000000000003</v>
      </c>
      <c r="N423">
        <f t="shared" si="79"/>
        <v>4.1444112769485892</v>
      </c>
      <c r="O423">
        <f t="shared" si="80"/>
        <v>0.60333333333333339</v>
      </c>
      <c r="P423" s="6">
        <f t="shared" si="81"/>
        <v>2.5004614704256491</v>
      </c>
      <c r="R423">
        <f t="shared" si="82"/>
        <v>0.54820000000000002</v>
      </c>
      <c r="S423" t="str">
        <f t="shared" si="83"/>
        <v>Yes</v>
      </c>
      <c r="T423" t="str">
        <f t="shared" si="84"/>
        <v>Yes</v>
      </c>
    </row>
    <row r="424" spans="1:20" x14ac:dyDescent="0.3">
      <c r="A424" s="3">
        <v>2</v>
      </c>
      <c r="B424" s="15">
        <v>1</v>
      </c>
      <c r="C424" s="16">
        <v>3</v>
      </c>
      <c r="D424" s="16">
        <v>3</v>
      </c>
      <c r="E424">
        <v>1.6</v>
      </c>
      <c r="G424">
        <v>4.78</v>
      </c>
      <c r="H424">
        <v>5.85</v>
      </c>
      <c r="I424">
        <v>6.79</v>
      </c>
      <c r="J424">
        <v>7.85</v>
      </c>
      <c r="K424">
        <v>0.28000000000000003</v>
      </c>
      <c r="L424">
        <v>0.45</v>
      </c>
      <c r="M424">
        <v>0.62</v>
      </c>
      <c r="N424">
        <f t="shared" si="79"/>
        <v>6.3170573566084798</v>
      </c>
      <c r="O424">
        <f t="shared" si="80"/>
        <v>0.25333333333333335</v>
      </c>
      <c r="P424" s="6">
        <f t="shared" si="81"/>
        <v>1.6003211970074818</v>
      </c>
      <c r="R424">
        <f t="shared" si="82"/>
        <v>0.6653</v>
      </c>
      <c r="S424" t="str">
        <f t="shared" si="83"/>
        <v>Yes</v>
      </c>
      <c r="T424" t="str">
        <f t="shared" si="84"/>
        <v>Yes</v>
      </c>
    </row>
    <row r="425" spans="1:20" x14ac:dyDescent="0.3">
      <c r="A425" s="3">
        <v>2</v>
      </c>
      <c r="B425" s="15">
        <v>1</v>
      </c>
      <c r="C425" s="16">
        <v>3</v>
      </c>
      <c r="D425" s="17">
        <v>4</v>
      </c>
      <c r="E425">
        <v>3.7</v>
      </c>
      <c r="G425">
        <v>5.44</v>
      </c>
      <c r="H425">
        <v>6.5</v>
      </c>
      <c r="I425">
        <v>7.3</v>
      </c>
      <c r="J425">
        <v>8.1999999999999993</v>
      </c>
      <c r="K425">
        <v>0.56000000000000005</v>
      </c>
      <c r="L425">
        <v>0.25</v>
      </c>
      <c r="M425">
        <v>0.44</v>
      </c>
      <c r="N425">
        <f t="shared" si="79"/>
        <v>6.8526591760299631</v>
      </c>
      <c r="O425">
        <f t="shared" si="80"/>
        <v>0.54</v>
      </c>
      <c r="P425" s="6">
        <f t="shared" si="81"/>
        <v>3.7004359550561805</v>
      </c>
      <c r="R425">
        <f t="shared" si="82"/>
        <v>0.5697000000000001</v>
      </c>
      <c r="S425" t="str">
        <f t="shared" si="83"/>
        <v>Yes</v>
      </c>
      <c r="T425" t="str">
        <f t="shared" si="84"/>
        <v>Yes</v>
      </c>
    </row>
    <row r="426" spans="1:20" x14ac:dyDescent="0.3">
      <c r="A426" s="3">
        <v>2</v>
      </c>
      <c r="B426" s="15">
        <v>1</v>
      </c>
      <c r="C426" s="16">
        <v>3</v>
      </c>
      <c r="D426" s="5">
        <v>5</v>
      </c>
      <c r="E426">
        <v>3.8</v>
      </c>
      <c r="G426">
        <v>5.3</v>
      </c>
      <c r="H426">
        <v>6.34</v>
      </c>
      <c r="I426">
        <v>7.3</v>
      </c>
      <c r="J426">
        <v>8.2200000000000006</v>
      </c>
      <c r="K426">
        <v>0.53</v>
      </c>
      <c r="L426">
        <v>0.27</v>
      </c>
      <c r="M426">
        <v>0.31</v>
      </c>
      <c r="N426">
        <f t="shared" si="79"/>
        <v>6.7849484536082478</v>
      </c>
      <c r="O426">
        <f t="shared" si="80"/>
        <v>0.55999999999999994</v>
      </c>
      <c r="P426" s="6">
        <f t="shared" si="81"/>
        <v>3.7995711340206184</v>
      </c>
      <c r="R426">
        <f t="shared" si="82"/>
        <v>0.44990000000000008</v>
      </c>
      <c r="S426" t="str">
        <f t="shared" si="83"/>
        <v>Yes</v>
      </c>
      <c r="T426" t="str">
        <f t="shared" si="84"/>
        <v>Yes</v>
      </c>
    </row>
    <row r="427" spans="1:20" x14ac:dyDescent="0.3">
      <c r="A427" s="3">
        <v>2</v>
      </c>
      <c r="B427" s="15">
        <v>1</v>
      </c>
      <c r="C427" s="16">
        <v>3</v>
      </c>
      <c r="D427" s="18">
        <v>6</v>
      </c>
      <c r="E427">
        <v>4.5999999999999996</v>
      </c>
      <c r="G427">
        <v>7.56</v>
      </c>
      <c r="H427">
        <v>8.65</v>
      </c>
      <c r="I427">
        <v>9.5</v>
      </c>
      <c r="J427">
        <v>10.4</v>
      </c>
      <c r="K427">
        <v>0.63</v>
      </c>
      <c r="L427">
        <v>0.28000000000000003</v>
      </c>
      <c r="M427">
        <v>0.54</v>
      </c>
      <c r="N427">
        <f t="shared" si="79"/>
        <v>9.0189611562782339</v>
      </c>
      <c r="O427">
        <f t="shared" si="80"/>
        <v>0.5099999999999999</v>
      </c>
      <c r="P427" s="6">
        <f t="shared" si="81"/>
        <v>4.5996701897018983</v>
      </c>
      <c r="R427">
        <f t="shared" si="82"/>
        <v>0.76690000000000014</v>
      </c>
      <c r="S427" t="str">
        <f t="shared" si="83"/>
        <v>Yes</v>
      </c>
      <c r="T427" t="str">
        <f t="shared" si="84"/>
        <v>Yes</v>
      </c>
    </row>
    <row r="428" spans="1:20" x14ac:dyDescent="0.3">
      <c r="A428" s="3">
        <v>2</v>
      </c>
      <c r="B428" s="3">
        <v>2</v>
      </c>
      <c r="C428" s="15">
        <v>1</v>
      </c>
      <c r="D428" s="15">
        <v>1</v>
      </c>
      <c r="E428">
        <v>4.2</v>
      </c>
      <c r="G428">
        <v>7.1</v>
      </c>
      <c r="H428">
        <v>8.1</v>
      </c>
      <c r="I428">
        <v>9.1</v>
      </c>
      <c r="J428">
        <v>10</v>
      </c>
      <c r="K428">
        <v>0.45</v>
      </c>
      <c r="L428">
        <v>0.38</v>
      </c>
      <c r="M428">
        <v>0.22</v>
      </c>
      <c r="N428">
        <f t="shared" si="79"/>
        <v>8.5709401709401671</v>
      </c>
      <c r="O428">
        <f t="shared" si="80"/>
        <v>0.49</v>
      </c>
      <c r="P428" s="6">
        <f t="shared" si="81"/>
        <v>4.1997606837606822</v>
      </c>
      <c r="R428">
        <f t="shared" si="82"/>
        <v>0.39529999999999998</v>
      </c>
      <c r="S428" t="str">
        <f t="shared" si="83"/>
        <v>Yes</v>
      </c>
      <c r="T428" t="str">
        <f t="shared" si="84"/>
        <v>Yes</v>
      </c>
    </row>
    <row r="429" spans="1:20" x14ac:dyDescent="0.3">
      <c r="A429" s="3">
        <v>2</v>
      </c>
      <c r="B429" s="3">
        <v>2</v>
      </c>
      <c r="C429" s="15">
        <v>1</v>
      </c>
      <c r="D429" s="3">
        <v>2</v>
      </c>
      <c r="E429">
        <v>4.5</v>
      </c>
      <c r="G429">
        <v>6.7</v>
      </c>
      <c r="H429">
        <v>7.75</v>
      </c>
      <c r="I429">
        <v>8.8000000000000007</v>
      </c>
      <c r="J429">
        <v>9.6999999999999993</v>
      </c>
      <c r="K429">
        <v>0.75</v>
      </c>
      <c r="L429">
        <v>0.45</v>
      </c>
      <c r="M429">
        <v>0.21</v>
      </c>
      <c r="N429">
        <f t="shared" si="79"/>
        <v>8.2314814814814792</v>
      </c>
      <c r="O429">
        <f t="shared" si="80"/>
        <v>0.54666666666666675</v>
      </c>
      <c r="P429" s="6">
        <f t="shared" si="81"/>
        <v>4.4998765432098757</v>
      </c>
      <c r="R429">
        <f t="shared" si="82"/>
        <v>0.80910000000000004</v>
      </c>
      <c r="S429" t="str">
        <f t="shared" si="83"/>
        <v>Yes</v>
      </c>
      <c r="T429" t="str">
        <f t="shared" si="84"/>
        <v>Yes</v>
      </c>
    </row>
    <row r="430" spans="1:20" x14ac:dyDescent="0.3">
      <c r="A430" s="3">
        <v>2</v>
      </c>
      <c r="B430" s="3">
        <v>2</v>
      </c>
      <c r="C430" s="15">
        <v>1</v>
      </c>
      <c r="D430" s="16">
        <v>3</v>
      </c>
      <c r="E430">
        <v>2.5</v>
      </c>
      <c r="G430">
        <v>4.4000000000000004</v>
      </c>
      <c r="H430">
        <v>5.2</v>
      </c>
      <c r="I430">
        <v>6.25</v>
      </c>
      <c r="J430">
        <v>7.2</v>
      </c>
      <c r="K430">
        <v>0.26</v>
      </c>
      <c r="L430">
        <v>0.42</v>
      </c>
      <c r="M430">
        <v>0.12</v>
      </c>
      <c r="N430">
        <f t="shared" si="79"/>
        <v>5.7681818181818185</v>
      </c>
      <c r="O430">
        <f t="shared" si="80"/>
        <v>0.43333333333333335</v>
      </c>
      <c r="P430" s="6">
        <f t="shared" si="81"/>
        <v>2.499545454545455</v>
      </c>
      <c r="R430">
        <f t="shared" si="82"/>
        <v>0.25840000000000002</v>
      </c>
      <c r="S430" t="str">
        <f t="shared" si="83"/>
        <v>Yes</v>
      </c>
      <c r="T430" t="str">
        <f t="shared" si="84"/>
        <v>Yes</v>
      </c>
    </row>
    <row r="431" spans="1:20" x14ac:dyDescent="0.3">
      <c r="A431" s="3">
        <v>2</v>
      </c>
      <c r="B431" s="3">
        <v>2</v>
      </c>
      <c r="C431" s="15">
        <v>1</v>
      </c>
      <c r="D431" s="17">
        <v>4</v>
      </c>
      <c r="E431">
        <v>2.8</v>
      </c>
      <c r="G431">
        <v>3.03</v>
      </c>
      <c r="H431">
        <v>3.95</v>
      </c>
      <c r="I431" s="11">
        <v>4.91</v>
      </c>
      <c r="J431">
        <v>5.88</v>
      </c>
      <c r="K431">
        <v>0.64</v>
      </c>
      <c r="L431">
        <v>0.28000000000000003</v>
      </c>
      <c r="M431">
        <v>0.19</v>
      </c>
      <c r="N431">
        <f t="shared" si="79"/>
        <v>4.4445669291338579</v>
      </c>
      <c r="O431">
        <f t="shared" si="80"/>
        <v>0.63</v>
      </c>
      <c r="P431" s="6">
        <f t="shared" si="81"/>
        <v>2.8000771653543306</v>
      </c>
      <c r="R431">
        <f t="shared" si="82"/>
        <v>0.52410000000000001</v>
      </c>
      <c r="S431" t="str">
        <f t="shared" si="83"/>
        <v>Yes</v>
      </c>
      <c r="T431" t="str">
        <f t="shared" si="84"/>
        <v>Yes</v>
      </c>
    </row>
    <row r="432" spans="1:20" x14ac:dyDescent="0.3">
      <c r="A432" s="3">
        <v>2</v>
      </c>
      <c r="B432" s="3">
        <v>2</v>
      </c>
      <c r="C432" s="15">
        <v>1</v>
      </c>
      <c r="D432" s="5">
        <v>5</v>
      </c>
      <c r="E432">
        <v>1.7</v>
      </c>
      <c r="G432">
        <v>2.4900000000000002</v>
      </c>
      <c r="H432">
        <v>3.15</v>
      </c>
      <c r="I432">
        <v>4.2</v>
      </c>
      <c r="J432">
        <v>5.12</v>
      </c>
      <c r="K432">
        <v>0.01</v>
      </c>
      <c r="L432">
        <v>0.22</v>
      </c>
      <c r="M432">
        <v>0.21</v>
      </c>
      <c r="N432">
        <f t="shared" si="79"/>
        <v>3.7493025362318844</v>
      </c>
      <c r="O432">
        <f t="shared" si="80"/>
        <v>0.45333333333333331</v>
      </c>
      <c r="P432" s="6">
        <f t="shared" si="81"/>
        <v>1.6996838164251209</v>
      </c>
      <c r="R432">
        <f t="shared" si="82"/>
        <v>9.2599999999999988E-2</v>
      </c>
      <c r="S432" t="str">
        <f t="shared" si="83"/>
        <v>Yes</v>
      </c>
      <c r="T432" t="str">
        <f t="shared" si="84"/>
        <v>Yes</v>
      </c>
    </row>
    <row r="433" spans="1:20" x14ac:dyDescent="0.3">
      <c r="A433" s="3">
        <v>2</v>
      </c>
      <c r="B433" s="3">
        <v>2</v>
      </c>
      <c r="C433" s="15">
        <v>1</v>
      </c>
      <c r="D433" s="18">
        <v>6</v>
      </c>
      <c r="E433">
        <v>3.8</v>
      </c>
      <c r="G433">
        <v>6</v>
      </c>
      <c r="H433">
        <v>7</v>
      </c>
      <c r="I433">
        <v>8</v>
      </c>
      <c r="J433">
        <v>9</v>
      </c>
      <c r="K433">
        <v>0.43</v>
      </c>
      <c r="L433">
        <v>0.23</v>
      </c>
      <c r="M433">
        <v>0.45</v>
      </c>
      <c r="N433">
        <f t="shared" si="79"/>
        <v>7.5</v>
      </c>
      <c r="O433">
        <f t="shared" si="80"/>
        <v>0.50666666666666671</v>
      </c>
      <c r="P433" s="6">
        <f t="shared" si="81"/>
        <v>3.8000000000000003</v>
      </c>
      <c r="R433">
        <f t="shared" si="82"/>
        <v>0.44030000000000002</v>
      </c>
      <c r="S433" t="str">
        <f t="shared" si="83"/>
        <v>Yes</v>
      </c>
      <c r="T433" t="str">
        <f t="shared" si="84"/>
        <v>Yes</v>
      </c>
    </row>
    <row r="434" spans="1:20" x14ac:dyDescent="0.3">
      <c r="A434" s="3">
        <v>2</v>
      </c>
      <c r="B434" s="3">
        <v>2</v>
      </c>
      <c r="C434" s="3">
        <v>2</v>
      </c>
      <c r="D434" s="15">
        <v>1</v>
      </c>
      <c r="E434">
        <v>3.6</v>
      </c>
      <c r="G434">
        <v>6.5</v>
      </c>
      <c r="H434">
        <v>7.5</v>
      </c>
      <c r="I434">
        <v>8.5</v>
      </c>
      <c r="J434">
        <v>9.5</v>
      </c>
      <c r="K434">
        <v>0.56000000000000005</v>
      </c>
      <c r="L434">
        <v>0.28000000000000003</v>
      </c>
      <c r="M434">
        <v>0.65</v>
      </c>
      <c r="N434">
        <f t="shared" si="79"/>
        <v>8</v>
      </c>
      <c r="O434">
        <f t="shared" si="80"/>
        <v>0.45</v>
      </c>
      <c r="P434" s="6">
        <f t="shared" si="81"/>
        <v>3.6</v>
      </c>
      <c r="R434">
        <f t="shared" si="82"/>
        <v>0.81450000000000011</v>
      </c>
      <c r="S434" t="str">
        <f t="shared" si="83"/>
        <v>Yes</v>
      </c>
      <c r="T434" t="str">
        <f t="shared" si="84"/>
        <v>Yes</v>
      </c>
    </row>
    <row r="435" spans="1:20" x14ac:dyDescent="0.3">
      <c r="A435" s="3">
        <v>2</v>
      </c>
      <c r="B435" s="3">
        <v>2</v>
      </c>
      <c r="C435" s="3">
        <v>2</v>
      </c>
      <c r="D435" s="3">
        <v>2</v>
      </c>
      <c r="E435">
        <v>4.0999999999999996</v>
      </c>
      <c r="G435">
        <v>7.9</v>
      </c>
      <c r="H435">
        <v>8.8800000000000008</v>
      </c>
      <c r="I435">
        <v>9.8800000000000008</v>
      </c>
      <c r="J435">
        <v>10.89</v>
      </c>
      <c r="K435">
        <v>0.56999999999999995</v>
      </c>
      <c r="L435">
        <v>0.46</v>
      </c>
      <c r="M435">
        <v>0.34</v>
      </c>
      <c r="N435">
        <f t="shared" si="79"/>
        <v>9.3887468671679137</v>
      </c>
      <c r="O435">
        <f t="shared" si="80"/>
        <v>0.43666666666666659</v>
      </c>
      <c r="P435" s="6">
        <f t="shared" si="81"/>
        <v>4.0997527986633218</v>
      </c>
      <c r="R435">
        <f t="shared" si="82"/>
        <v>0.65210000000000001</v>
      </c>
      <c r="S435" t="str">
        <f t="shared" si="83"/>
        <v>Yes</v>
      </c>
      <c r="T435" t="str">
        <f t="shared" si="84"/>
        <v>Yes</v>
      </c>
    </row>
    <row r="436" spans="1:20" x14ac:dyDescent="0.3">
      <c r="A436" s="3">
        <v>2</v>
      </c>
      <c r="B436" s="3">
        <v>2</v>
      </c>
      <c r="C436" s="3">
        <v>2</v>
      </c>
      <c r="D436" s="16">
        <v>3</v>
      </c>
      <c r="E436">
        <v>2.8</v>
      </c>
      <c r="G436">
        <v>4.0999999999999996</v>
      </c>
      <c r="H436">
        <v>5.0999999999999996</v>
      </c>
      <c r="I436">
        <v>6.05</v>
      </c>
      <c r="J436">
        <v>7.01</v>
      </c>
      <c r="K436">
        <v>0.65</v>
      </c>
      <c r="L436">
        <v>0.46</v>
      </c>
      <c r="M436">
        <v>0.22</v>
      </c>
      <c r="N436">
        <f t="shared" si="79"/>
        <v>5.563307426597583</v>
      </c>
      <c r="O436">
        <f t="shared" si="80"/>
        <v>0.5033333333333333</v>
      </c>
      <c r="P436" s="6">
        <f t="shared" si="81"/>
        <v>2.8001980713874501</v>
      </c>
      <c r="R436">
        <f t="shared" si="82"/>
        <v>0.68250000000000011</v>
      </c>
      <c r="S436" t="str">
        <f t="shared" si="83"/>
        <v>Yes</v>
      </c>
      <c r="T436" t="str">
        <f t="shared" si="84"/>
        <v>Yes</v>
      </c>
    </row>
    <row r="437" spans="1:20" x14ac:dyDescent="0.3">
      <c r="A437" s="3">
        <v>2</v>
      </c>
      <c r="B437" s="3">
        <v>2</v>
      </c>
      <c r="C437" s="3">
        <v>2</v>
      </c>
      <c r="D437" s="17">
        <v>4</v>
      </c>
      <c r="E437">
        <v>2.5</v>
      </c>
      <c r="G437">
        <v>3.83</v>
      </c>
      <c r="H437">
        <v>4.91</v>
      </c>
      <c r="I437">
        <v>5.9</v>
      </c>
      <c r="J437">
        <v>6.95</v>
      </c>
      <c r="K437">
        <v>0.56999999999999995</v>
      </c>
      <c r="L437">
        <v>0.37</v>
      </c>
      <c r="M437">
        <v>0.44</v>
      </c>
      <c r="N437">
        <f t="shared" si="79"/>
        <v>5.3962043795620422</v>
      </c>
      <c r="O437">
        <f t="shared" si="80"/>
        <v>0.46333333333333332</v>
      </c>
      <c r="P437" s="6">
        <f t="shared" si="81"/>
        <v>2.5002413625304127</v>
      </c>
      <c r="R437">
        <f t="shared" si="82"/>
        <v>0.65539999999999998</v>
      </c>
      <c r="S437" t="str">
        <f t="shared" si="83"/>
        <v>Yes</v>
      </c>
      <c r="T437" t="str">
        <f t="shared" si="84"/>
        <v>Yes</v>
      </c>
    </row>
    <row r="438" spans="1:20" x14ac:dyDescent="0.3">
      <c r="A438" s="3">
        <v>2</v>
      </c>
      <c r="B438" s="3">
        <v>2</v>
      </c>
      <c r="C438" s="3">
        <v>2</v>
      </c>
      <c r="D438" s="5">
        <v>5</v>
      </c>
      <c r="E438">
        <v>1.9</v>
      </c>
      <c r="G438">
        <v>1.45</v>
      </c>
      <c r="H438">
        <v>2</v>
      </c>
      <c r="I438">
        <v>3</v>
      </c>
      <c r="J438">
        <v>4.42</v>
      </c>
      <c r="K438">
        <v>0.28000000000000003</v>
      </c>
      <c r="L438">
        <v>0.1</v>
      </c>
      <c r="M438">
        <v>0.01</v>
      </c>
      <c r="N438">
        <f t="shared" si="79"/>
        <v>2.7534760705289671</v>
      </c>
      <c r="O438">
        <f t="shared" si="80"/>
        <v>0.69</v>
      </c>
      <c r="P438" s="6">
        <f t="shared" si="81"/>
        <v>1.8998984886649872</v>
      </c>
      <c r="R438">
        <f t="shared" si="82"/>
        <v>8.8500000000000009E-2</v>
      </c>
      <c r="S438" t="str">
        <f t="shared" si="83"/>
        <v>Yes</v>
      </c>
      <c r="T438" t="str">
        <f t="shared" si="84"/>
        <v>Yes</v>
      </c>
    </row>
    <row r="439" spans="1:20" x14ac:dyDescent="0.3">
      <c r="A439" s="3">
        <v>2</v>
      </c>
      <c r="B439" s="3">
        <v>2</v>
      </c>
      <c r="C439" s="3">
        <v>2</v>
      </c>
      <c r="D439" s="18">
        <v>6</v>
      </c>
      <c r="E439">
        <v>4.2</v>
      </c>
      <c r="G439">
        <v>5.31</v>
      </c>
      <c r="H439">
        <v>6.4</v>
      </c>
      <c r="I439">
        <v>7.48</v>
      </c>
      <c r="J439">
        <v>8.1199999999999992</v>
      </c>
      <c r="K439">
        <v>0.67</v>
      </c>
      <c r="L439">
        <v>0.35</v>
      </c>
      <c r="M439">
        <v>0.12</v>
      </c>
      <c r="N439">
        <f t="shared" ref="N439:N463" si="85">((I439^2)+(I439*J439)+(J439^2)-(G439^2)-(G439*H439)-(H439^2))/(3*(J439+I439-G439-H439))</f>
        <v>6.8108226221079695</v>
      </c>
      <c r="O439">
        <f t="shared" ref="O439:O463" si="86">(K439-(2*L439)-M439+2)/3</f>
        <v>0.6166666666666667</v>
      </c>
      <c r="P439" s="6">
        <f t="shared" ref="P439:P463" si="87">N439*O439</f>
        <v>4.2000072836332478</v>
      </c>
      <c r="R439">
        <f t="shared" ref="R439:R463" si="88">K439^2+L439^2+M439^2</f>
        <v>0.58579999999999999</v>
      </c>
      <c r="S439" t="str">
        <f t="shared" ref="S439:S502" si="89">IF(AND(R439&gt;=0,R439&lt;=1),"Yes","No")</f>
        <v>Yes</v>
      </c>
      <c r="T439" t="str">
        <f t="shared" ref="T439:T463" si="90">IF(ROUND(P439,2)=E439,"Yes","No")</f>
        <v>Yes</v>
      </c>
    </row>
    <row r="440" spans="1:20" x14ac:dyDescent="0.3">
      <c r="A440" s="3">
        <v>2</v>
      </c>
      <c r="B440" s="3">
        <v>2</v>
      </c>
      <c r="C440" s="16">
        <v>3</v>
      </c>
      <c r="D440" s="15">
        <v>1</v>
      </c>
      <c r="E440">
        <v>4.5999999999999996</v>
      </c>
      <c r="G440">
        <v>9.4499999999999993</v>
      </c>
      <c r="H440">
        <v>10.4</v>
      </c>
      <c r="I440">
        <v>11.42</v>
      </c>
      <c r="J440">
        <v>12.22</v>
      </c>
      <c r="K440">
        <v>0.56999999999999995</v>
      </c>
      <c r="L440">
        <v>0.28999999999999998</v>
      </c>
      <c r="M440">
        <v>0.72</v>
      </c>
      <c r="N440">
        <f t="shared" si="85"/>
        <v>10.866728232189967</v>
      </c>
      <c r="O440">
        <f t="shared" si="86"/>
        <v>0.42333333333333334</v>
      </c>
      <c r="P440" s="6">
        <f t="shared" si="87"/>
        <v>4.6002482849604194</v>
      </c>
      <c r="R440">
        <f t="shared" si="88"/>
        <v>0.9274</v>
      </c>
      <c r="S440" t="str">
        <f t="shared" si="89"/>
        <v>Yes</v>
      </c>
      <c r="T440" t="str">
        <f t="shared" si="90"/>
        <v>Yes</v>
      </c>
    </row>
    <row r="441" spans="1:20" x14ac:dyDescent="0.3">
      <c r="A441" s="3">
        <v>2</v>
      </c>
      <c r="B441" s="3">
        <v>2</v>
      </c>
      <c r="C441" s="16">
        <v>3</v>
      </c>
      <c r="D441" s="3">
        <v>2</v>
      </c>
      <c r="E441">
        <v>5.0999999999999996</v>
      </c>
      <c r="G441">
        <v>12.43</v>
      </c>
      <c r="H441">
        <v>13.4</v>
      </c>
      <c r="I441">
        <v>14.4</v>
      </c>
      <c r="J441">
        <v>15.4</v>
      </c>
      <c r="K441">
        <v>0.52</v>
      </c>
      <c r="L441">
        <v>0.56000000000000005</v>
      </c>
      <c r="M441">
        <v>0.3</v>
      </c>
      <c r="N441">
        <f t="shared" si="85"/>
        <v>13.908740554156164</v>
      </c>
      <c r="O441">
        <f t="shared" si="86"/>
        <v>0.36666666666666664</v>
      </c>
      <c r="P441" s="6">
        <f t="shared" si="87"/>
        <v>5.0998715365239269</v>
      </c>
      <c r="R441">
        <f t="shared" si="88"/>
        <v>0.67400000000000004</v>
      </c>
      <c r="S441" t="str">
        <f t="shared" si="89"/>
        <v>Yes</v>
      </c>
      <c r="T441" t="str">
        <f t="shared" si="90"/>
        <v>Yes</v>
      </c>
    </row>
    <row r="442" spans="1:20" x14ac:dyDescent="0.3">
      <c r="A442" s="3">
        <v>2</v>
      </c>
      <c r="B442" s="3">
        <v>2</v>
      </c>
      <c r="C442" s="16">
        <v>3</v>
      </c>
      <c r="D442" s="16">
        <v>3</v>
      </c>
      <c r="E442">
        <v>3.7</v>
      </c>
      <c r="G442">
        <v>7.45</v>
      </c>
      <c r="H442">
        <v>8.44</v>
      </c>
      <c r="I442">
        <v>9.4499999999999993</v>
      </c>
      <c r="J442">
        <v>10.46</v>
      </c>
      <c r="K442">
        <v>0.47</v>
      </c>
      <c r="L442">
        <v>0.34</v>
      </c>
      <c r="M442">
        <v>0.55000000000000004</v>
      </c>
      <c r="N442">
        <f t="shared" si="85"/>
        <v>8.9508291873963515</v>
      </c>
      <c r="O442">
        <f t="shared" si="86"/>
        <v>0.41333333333333327</v>
      </c>
      <c r="P442" s="6">
        <f t="shared" si="87"/>
        <v>3.6996760641238247</v>
      </c>
      <c r="R442">
        <f t="shared" si="88"/>
        <v>0.63900000000000001</v>
      </c>
      <c r="S442" t="str">
        <f t="shared" si="89"/>
        <v>Yes</v>
      </c>
      <c r="T442" t="str">
        <f t="shared" si="90"/>
        <v>Yes</v>
      </c>
    </row>
    <row r="443" spans="1:20" x14ac:dyDescent="0.3">
      <c r="A443" s="3">
        <v>2</v>
      </c>
      <c r="B443" s="3">
        <v>2</v>
      </c>
      <c r="C443" s="16">
        <v>3</v>
      </c>
      <c r="D443" s="17">
        <v>4</v>
      </c>
      <c r="E443">
        <v>1.6</v>
      </c>
      <c r="G443">
        <v>2.5</v>
      </c>
      <c r="H443">
        <v>3.7</v>
      </c>
      <c r="I443">
        <v>4.5999999999999996</v>
      </c>
      <c r="J443">
        <v>5.76</v>
      </c>
      <c r="K443">
        <v>0.47</v>
      </c>
      <c r="L443">
        <v>0.55000000000000004</v>
      </c>
      <c r="M443">
        <v>0.21</v>
      </c>
      <c r="N443">
        <f t="shared" si="85"/>
        <v>4.1381089743589747</v>
      </c>
      <c r="O443">
        <f t="shared" si="86"/>
        <v>0.38666666666666666</v>
      </c>
      <c r="P443" s="6">
        <f t="shared" si="87"/>
        <v>1.6000688034188035</v>
      </c>
      <c r="R443">
        <f t="shared" si="88"/>
        <v>0.56750000000000012</v>
      </c>
      <c r="S443" t="str">
        <f t="shared" si="89"/>
        <v>Yes</v>
      </c>
      <c r="T443" t="str">
        <f t="shared" si="90"/>
        <v>Yes</v>
      </c>
    </row>
    <row r="444" spans="1:20" x14ac:dyDescent="0.3">
      <c r="A444" s="3">
        <v>2</v>
      </c>
      <c r="B444" s="3">
        <v>2</v>
      </c>
      <c r="C444" s="16">
        <v>3</v>
      </c>
      <c r="D444" s="5">
        <v>5</v>
      </c>
      <c r="E444">
        <v>2.5</v>
      </c>
      <c r="G444">
        <v>3.44</v>
      </c>
      <c r="H444">
        <v>4.4400000000000004</v>
      </c>
      <c r="I444">
        <v>5.55</v>
      </c>
      <c r="J444">
        <v>6.45</v>
      </c>
      <c r="K444">
        <v>0.65</v>
      </c>
      <c r="L444">
        <v>0.45</v>
      </c>
      <c r="M444">
        <v>0.24</v>
      </c>
      <c r="N444">
        <f t="shared" si="85"/>
        <v>4.966156957928801</v>
      </c>
      <c r="O444">
        <f t="shared" si="86"/>
        <v>0.5033333333333333</v>
      </c>
      <c r="P444" s="6">
        <f t="shared" si="87"/>
        <v>2.4996323354908299</v>
      </c>
      <c r="R444">
        <f t="shared" si="88"/>
        <v>0.68259999999999998</v>
      </c>
      <c r="S444" t="str">
        <f t="shared" si="89"/>
        <v>Yes</v>
      </c>
      <c r="T444" t="str">
        <f t="shared" si="90"/>
        <v>Yes</v>
      </c>
    </row>
    <row r="445" spans="1:20" x14ac:dyDescent="0.3">
      <c r="A445" s="3">
        <v>2</v>
      </c>
      <c r="B445" s="3">
        <v>2</v>
      </c>
      <c r="C445" s="16">
        <v>3</v>
      </c>
      <c r="D445" s="18">
        <v>6</v>
      </c>
      <c r="E445">
        <v>2.6</v>
      </c>
      <c r="G445">
        <v>10.35</v>
      </c>
      <c r="H445">
        <v>11.31</v>
      </c>
      <c r="I445">
        <v>12.3</v>
      </c>
      <c r="J445">
        <v>13.3</v>
      </c>
      <c r="K445">
        <v>0.28000000000000003</v>
      </c>
      <c r="L445">
        <v>0.57999999999999996</v>
      </c>
      <c r="M445">
        <v>0.46</v>
      </c>
      <c r="N445">
        <f t="shared" si="85"/>
        <v>11.816658206429784</v>
      </c>
      <c r="O445">
        <f t="shared" si="86"/>
        <v>0.22000000000000006</v>
      </c>
      <c r="P445" s="6">
        <f t="shared" si="87"/>
        <v>2.599664805414553</v>
      </c>
      <c r="R445">
        <f t="shared" si="88"/>
        <v>0.62640000000000007</v>
      </c>
      <c r="S445" t="str">
        <f t="shared" si="89"/>
        <v>Yes</v>
      </c>
      <c r="T445" t="str">
        <f t="shared" si="90"/>
        <v>Yes</v>
      </c>
    </row>
    <row r="446" spans="1:20" x14ac:dyDescent="0.3">
      <c r="A446" s="16">
        <v>3</v>
      </c>
      <c r="B446" s="15">
        <v>1</v>
      </c>
      <c r="C446" s="15">
        <v>1</v>
      </c>
      <c r="D446" s="15">
        <v>1</v>
      </c>
      <c r="E446">
        <v>5.2</v>
      </c>
      <c r="G446">
        <v>8.51</v>
      </c>
      <c r="H446">
        <v>9.6</v>
      </c>
      <c r="I446">
        <v>10.69</v>
      </c>
      <c r="J446">
        <v>11.5</v>
      </c>
      <c r="K446">
        <v>0.68</v>
      </c>
      <c r="L446">
        <v>0.34</v>
      </c>
      <c r="M446">
        <v>0.45</v>
      </c>
      <c r="N446">
        <f t="shared" si="85"/>
        <v>10.064133986928109</v>
      </c>
      <c r="O446">
        <f t="shared" si="86"/>
        <v>0.51666666666666672</v>
      </c>
      <c r="P446" s="6">
        <f t="shared" si="87"/>
        <v>5.1998025599128566</v>
      </c>
      <c r="R446">
        <f t="shared" si="88"/>
        <v>0.78050000000000008</v>
      </c>
      <c r="S446" t="str">
        <f t="shared" si="89"/>
        <v>Yes</v>
      </c>
      <c r="T446" t="str">
        <f t="shared" si="90"/>
        <v>Yes</v>
      </c>
    </row>
    <row r="447" spans="1:20" x14ac:dyDescent="0.3">
      <c r="A447" s="16">
        <v>3</v>
      </c>
      <c r="B447" s="15">
        <v>1</v>
      </c>
      <c r="C447" s="15">
        <v>1</v>
      </c>
      <c r="D447" s="3">
        <v>2</v>
      </c>
      <c r="E447">
        <v>4.5999999999999996</v>
      </c>
      <c r="G447">
        <v>10.5</v>
      </c>
      <c r="H447">
        <v>11.75</v>
      </c>
      <c r="I447">
        <v>12.75</v>
      </c>
      <c r="J447">
        <v>13.5</v>
      </c>
      <c r="K447">
        <v>0.49</v>
      </c>
      <c r="L447">
        <v>0.56000000000000005</v>
      </c>
      <c r="M447">
        <v>0.23</v>
      </c>
      <c r="N447">
        <f t="shared" si="85"/>
        <v>12.104166666666666</v>
      </c>
      <c r="O447">
        <f t="shared" si="86"/>
        <v>0.37999999999999995</v>
      </c>
      <c r="P447" s="6">
        <f t="shared" si="87"/>
        <v>4.5995833333333325</v>
      </c>
      <c r="R447">
        <f t="shared" si="88"/>
        <v>0.60660000000000003</v>
      </c>
      <c r="S447" t="str">
        <f t="shared" si="89"/>
        <v>Yes</v>
      </c>
      <c r="T447" t="str">
        <f t="shared" si="90"/>
        <v>Yes</v>
      </c>
    </row>
    <row r="448" spans="1:20" x14ac:dyDescent="0.3">
      <c r="A448" s="16">
        <v>3</v>
      </c>
      <c r="B448" s="15">
        <v>1</v>
      </c>
      <c r="C448" s="15">
        <v>1</v>
      </c>
      <c r="D448" s="16">
        <v>3</v>
      </c>
      <c r="E448">
        <v>2.6</v>
      </c>
      <c r="G448">
        <v>9.06</v>
      </c>
      <c r="H448">
        <v>10.11</v>
      </c>
      <c r="I448">
        <v>11</v>
      </c>
      <c r="J448">
        <v>12</v>
      </c>
      <c r="K448">
        <v>0.37</v>
      </c>
      <c r="L448">
        <v>0.64</v>
      </c>
      <c r="M448">
        <v>0.35</v>
      </c>
      <c r="N448">
        <f t="shared" si="85"/>
        <v>10.540269799825937</v>
      </c>
      <c r="O448">
        <f t="shared" si="86"/>
        <v>0.24666666666666667</v>
      </c>
      <c r="P448" s="6">
        <f t="shared" si="87"/>
        <v>2.5999332172903982</v>
      </c>
      <c r="R448">
        <f t="shared" si="88"/>
        <v>0.66899999999999993</v>
      </c>
      <c r="S448" t="str">
        <f t="shared" si="89"/>
        <v>Yes</v>
      </c>
      <c r="T448" t="str">
        <f t="shared" si="90"/>
        <v>Yes</v>
      </c>
    </row>
    <row r="449" spans="1:20" x14ac:dyDescent="0.3">
      <c r="A449" s="16">
        <v>3</v>
      </c>
      <c r="B449" s="15">
        <v>1</v>
      </c>
      <c r="C449" s="15">
        <v>1</v>
      </c>
      <c r="D449" s="17">
        <v>4</v>
      </c>
      <c r="E449">
        <v>2.9</v>
      </c>
      <c r="G449">
        <v>5.0999999999999996</v>
      </c>
      <c r="H449">
        <v>6.1</v>
      </c>
      <c r="I449">
        <v>7.16</v>
      </c>
      <c r="J449">
        <v>8.1999999999999993</v>
      </c>
      <c r="K449">
        <v>0.23</v>
      </c>
      <c r="L449">
        <v>0.33</v>
      </c>
      <c r="M449">
        <v>0.26</v>
      </c>
      <c r="N449">
        <f t="shared" si="85"/>
        <v>6.6416346153846169</v>
      </c>
      <c r="O449">
        <f t="shared" si="86"/>
        <v>0.4366666666666667</v>
      </c>
      <c r="P449" s="6">
        <f t="shared" si="87"/>
        <v>2.9001804487179497</v>
      </c>
      <c r="R449">
        <f t="shared" si="88"/>
        <v>0.22939999999999999</v>
      </c>
      <c r="S449" t="str">
        <f t="shared" si="89"/>
        <v>Yes</v>
      </c>
      <c r="T449" t="str">
        <f t="shared" si="90"/>
        <v>Yes</v>
      </c>
    </row>
    <row r="450" spans="1:20" x14ac:dyDescent="0.3">
      <c r="A450" s="16">
        <v>3</v>
      </c>
      <c r="B450" s="15">
        <v>1</v>
      </c>
      <c r="C450" s="15">
        <v>1</v>
      </c>
      <c r="D450" s="5">
        <v>5</v>
      </c>
      <c r="E450">
        <v>1.4</v>
      </c>
      <c r="G450">
        <v>4.9000000000000004</v>
      </c>
      <c r="H450">
        <v>5.87</v>
      </c>
      <c r="I450">
        <v>6.75</v>
      </c>
      <c r="J450">
        <v>7.9</v>
      </c>
      <c r="K450">
        <v>0.28000000000000003</v>
      </c>
      <c r="L450">
        <v>0.57999999999999996</v>
      </c>
      <c r="M450">
        <v>0.46</v>
      </c>
      <c r="N450">
        <f t="shared" si="85"/>
        <v>6.3631958762886605</v>
      </c>
      <c r="O450">
        <f t="shared" si="86"/>
        <v>0.22000000000000006</v>
      </c>
      <c r="P450" s="6">
        <f t="shared" si="87"/>
        <v>1.3999030927835057</v>
      </c>
      <c r="R450">
        <f t="shared" si="88"/>
        <v>0.62640000000000007</v>
      </c>
      <c r="S450" t="str">
        <f t="shared" si="89"/>
        <v>Yes</v>
      </c>
      <c r="T450" t="str">
        <f t="shared" si="90"/>
        <v>Yes</v>
      </c>
    </row>
    <row r="451" spans="1:20" x14ac:dyDescent="0.3">
      <c r="A451" s="16">
        <v>3</v>
      </c>
      <c r="B451" s="15">
        <v>1</v>
      </c>
      <c r="C451" s="15">
        <v>1</v>
      </c>
      <c r="D451" s="18">
        <v>6</v>
      </c>
      <c r="E451">
        <v>3.6</v>
      </c>
      <c r="G451">
        <v>5.2</v>
      </c>
      <c r="H451">
        <v>6.12</v>
      </c>
      <c r="I451">
        <v>7.15</v>
      </c>
      <c r="J451">
        <v>8.18</v>
      </c>
      <c r="K451">
        <v>0.75</v>
      </c>
      <c r="L451">
        <v>0.45</v>
      </c>
      <c r="M451">
        <v>0.23</v>
      </c>
      <c r="N451">
        <f t="shared" si="85"/>
        <v>6.6669576059850382</v>
      </c>
      <c r="O451">
        <f t="shared" si="86"/>
        <v>0.54</v>
      </c>
      <c r="P451" s="6">
        <f t="shared" si="87"/>
        <v>3.6001571072319209</v>
      </c>
      <c r="R451">
        <f t="shared" si="88"/>
        <v>0.81790000000000007</v>
      </c>
      <c r="S451" t="str">
        <f t="shared" si="89"/>
        <v>Yes</v>
      </c>
      <c r="T451" t="str">
        <f t="shared" si="90"/>
        <v>Yes</v>
      </c>
    </row>
    <row r="452" spans="1:20" x14ac:dyDescent="0.3">
      <c r="A452" s="16">
        <v>3</v>
      </c>
      <c r="B452" s="15">
        <v>1</v>
      </c>
      <c r="C452" s="3">
        <v>2</v>
      </c>
      <c r="D452" s="15">
        <v>1</v>
      </c>
      <c r="E452">
        <v>2.6</v>
      </c>
      <c r="G452">
        <v>4.8</v>
      </c>
      <c r="H452">
        <v>5.78</v>
      </c>
      <c r="I452">
        <v>6.8</v>
      </c>
      <c r="J452">
        <v>7.78</v>
      </c>
      <c r="K452">
        <v>0.56000000000000005</v>
      </c>
      <c r="L452">
        <v>0.35</v>
      </c>
      <c r="M452">
        <v>0.62</v>
      </c>
      <c r="N452">
        <f t="shared" si="85"/>
        <v>6.29</v>
      </c>
      <c r="O452">
        <f t="shared" si="86"/>
        <v>0.41333333333333339</v>
      </c>
      <c r="P452" s="6">
        <f t="shared" si="87"/>
        <v>2.5998666666666672</v>
      </c>
      <c r="R452">
        <f t="shared" si="88"/>
        <v>0.82050000000000001</v>
      </c>
      <c r="S452" t="str">
        <f t="shared" si="89"/>
        <v>Yes</v>
      </c>
      <c r="T452" t="str">
        <f t="shared" si="90"/>
        <v>Yes</v>
      </c>
    </row>
    <row r="453" spans="1:20" x14ac:dyDescent="0.3">
      <c r="A453" s="16">
        <v>3</v>
      </c>
      <c r="B453" s="15">
        <v>1</v>
      </c>
      <c r="C453" s="3">
        <v>2</v>
      </c>
      <c r="D453" s="3">
        <v>2</v>
      </c>
      <c r="E453">
        <v>4.5999999999999996</v>
      </c>
      <c r="G453">
        <v>7.37</v>
      </c>
      <c r="H453">
        <v>8.1999999999999993</v>
      </c>
      <c r="I453">
        <v>9.1999999999999993</v>
      </c>
      <c r="J453">
        <v>10.15</v>
      </c>
      <c r="K453">
        <v>0.57999999999999996</v>
      </c>
      <c r="L453">
        <v>0.27</v>
      </c>
      <c r="M453">
        <v>0.46</v>
      </c>
      <c r="N453">
        <f t="shared" si="85"/>
        <v>8.7347089947089938</v>
      </c>
      <c r="O453">
        <f t="shared" si="86"/>
        <v>0.52666666666666662</v>
      </c>
      <c r="P453" s="6">
        <f t="shared" si="87"/>
        <v>4.6002800705467362</v>
      </c>
      <c r="R453">
        <f t="shared" si="88"/>
        <v>0.62090000000000001</v>
      </c>
      <c r="S453" t="str">
        <f t="shared" si="89"/>
        <v>Yes</v>
      </c>
      <c r="T453" t="str">
        <f t="shared" si="90"/>
        <v>Yes</v>
      </c>
    </row>
    <row r="454" spans="1:20" x14ac:dyDescent="0.3">
      <c r="A454" s="16">
        <v>3</v>
      </c>
      <c r="B454" s="15">
        <v>1</v>
      </c>
      <c r="C454" s="3">
        <v>2</v>
      </c>
      <c r="D454" s="16">
        <v>3</v>
      </c>
      <c r="E454">
        <v>3.7</v>
      </c>
      <c r="G454">
        <v>10.4</v>
      </c>
      <c r="H454">
        <v>11.25</v>
      </c>
      <c r="I454">
        <v>12.24</v>
      </c>
      <c r="J454">
        <v>13.31</v>
      </c>
      <c r="K454">
        <v>0.37</v>
      </c>
      <c r="L454">
        <v>0.46</v>
      </c>
      <c r="M454">
        <v>0.51</v>
      </c>
      <c r="N454">
        <f t="shared" si="85"/>
        <v>11.809025641025638</v>
      </c>
      <c r="O454">
        <f t="shared" si="86"/>
        <v>0.3133333333333333</v>
      </c>
      <c r="P454" s="6">
        <f t="shared" si="87"/>
        <v>3.7001613675213663</v>
      </c>
      <c r="R454">
        <f t="shared" si="88"/>
        <v>0.60860000000000003</v>
      </c>
      <c r="S454" t="str">
        <f t="shared" si="89"/>
        <v>Yes</v>
      </c>
      <c r="T454" t="str">
        <f t="shared" si="90"/>
        <v>Yes</v>
      </c>
    </row>
    <row r="455" spans="1:20" x14ac:dyDescent="0.3">
      <c r="A455" s="16">
        <v>3</v>
      </c>
      <c r="B455" s="15">
        <v>1</v>
      </c>
      <c r="C455" s="3">
        <v>2</v>
      </c>
      <c r="D455" s="17">
        <v>4</v>
      </c>
      <c r="E455">
        <v>2.7</v>
      </c>
      <c r="G455">
        <v>5.0999999999999996</v>
      </c>
      <c r="H455">
        <v>6.1</v>
      </c>
      <c r="I455">
        <v>7.1</v>
      </c>
      <c r="J455">
        <v>8.0500000000000007</v>
      </c>
      <c r="K455">
        <v>0.56999999999999995</v>
      </c>
      <c r="L455">
        <v>0.35</v>
      </c>
      <c r="M455">
        <v>0.64</v>
      </c>
      <c r="N455">
        <f t="shared" si="85"/>
        <v>6.5854430379746836</v>
      </c>
      <c r="O455">
        <f t="shared" si="86"/>
        <v>0.41</v>
      </c>
      <c r="P455" s="6">
        <f t="shared" si="87"/>
        <v>2.7000316455696201</v>
      </c>
      <c r="R455">
        <f t="shared" si="88"/>
        <v>0.85699999999999998</v>
      </c>
      <c r="S455" t="str">
        <f t="shared" si="89"/>
        <v>Yes</v>
      </c>
      <c r="T455" t="str">
        <f t="shared" si="90"/>
        <v>Yes</v>
      </c>
    </row>
    <row r="456" spans="1:20" x14ac:dyDescent="0.3">
      <c r="A456" s="16">
        <v>3</v>
      </c>
      <c r="B456" s="15">
        <v>1</v>
      </c>
      <c r="C456" s="3">
        <v>2</v>
      </c>
      <c r="D456" s="5">
        <v>5</v>
      </c>
      <c r="E456">
        <v>2.6</v>
      </c>
      <c r="G456">
        <v>4.8899999999999997</v>
      </c>
      <c r="H456">
        <v>5.88</v>
      </c>
      <c r="I456">
        <v>6.9</v>
      </c>
      <c r="J456">
        <v>7.9</v>
      </c>
      <c r="K456">
        <v>0.46</v>
      </c>
      <c r="L456">
        <v>0.36</v>
      </c>
      <c r="M456">
        <v>0.52</v>
      </c>
      <c r="N456">
        <f t="shared" si="85"/>
        <v>6.3929114971050485</v>
      </c>
      <c r="O456">
        <f t="shared" si="86"/>
        <v>0.40666666666666668</v>
      </c>
      <c r="P456" s="6">
        <f t="shared" si="87"/>
        <v>2.59978400882272</v>
      </c>
      <c r="R456">
        <f t="shared" si="88"/>
        <v>0.61160000000000003</v>
      </c>
      <c r="S456" t="str">
        <f t="shared" si="89"/>
        <v>Yes</v>
      </c>
      <c r="T456" t="str">
        <f t="shared" si="90"/>
        <v>Yes</v>
      </c>
    </row>
    <row r="457" spans="1:20" x14ac:dyDescent="0.3">
      <c r="A457" s="16">
        <v>3</v>
      </c>
      <c r="B457" s="15">
        <v>1</v>
      </c>
      <c r="C457" s="3">
        <v>2</v>
      </c>
      <c r="D457" s="18">
        <v>6</v>
      </c>
      <c r="E457">
        <v>2.7</v>
      </c>
      <c r="G457">
        <v>4.3600000000000003</v>
      </c>
      <c r="H457">
        <v>5.35</v>
      </c>
      <c r="I457">
        <v>6.33</v>
      </c>
      <c r="J457">
        <v>7.42</v>
      </c>
      <c r="K457">
        <v>0.63</v>
      </c>
      <c r="L457">
        <v>0.46</v>
      </c>
      <c r="M457">
        <v>0.33</v>
      </c>
      <c r="N457">
        <f t="shared" si="85"/>
        <v>5.869290429042902</v>
      </c>
      <c r="O457">
        <f t="shared" si="86"/>
        <v>0.45999999999999996</v>
      </c>
      <c r="P457" s="6">
        <f t="shared" si="87"/>
        <v>2.6998735973597348</v>
      </c>
      <c r="R457">
        <f t="shared" si="88"/>
        <v>0.71740000000000004</v>
      </c>
      <c r="S457" t="str">
        <f t="shared" si="89"/>
        <v>Yes</v>
      </c>
      <c r="T457" t="str">
        <f t="shared" si="90"/>
        <v>Yes</v>
      </c>
    </row>
    <row r="458" spans="1:20" x14ac:dyDescent="0.3">
      <c r="A458" s="16">
        <v>3</v>
      </c>
      <c r="B458" s="15">
        <v>1</v>
      </c>
      <c r="C458" s="16">
        <v>3</v>
      </c>
      <c r="D458" s="15">
        <v>1</v>
      </c>
      <c r="E458">
        <v>2.7</v>
      </c>
      <c r="G458">
        <v>2.0099999999999998</v>
      </c>
      <c r="H458">
        <v>3.01</v>
      </c>
      <c r="I458">
        <v>4.01</v>
      </c>
      <c r="J458">
        <v>5</v>
      </c>
      <c r="K458">
        <v>0.82</v>
      </c>
      <c r="L458">
        <v>0.15</v>
      </c>
      <c r="M458">
        <v>0.21</v>
      </c>
      <c r="N458">
        <f t="shared" si="85"/>
        <v>3.5070843776106937</v>
      </c>
      <c r="O458">
        <f t="shared" si="86"/>
        <v>0.77</v>
      </c>
      <c r="P458" s="6">
        <f t="shared" si="87"/>
        <v>2.7004549707602341</v>
      </c>
      <c r="R458">
        <f t="shared" si="88"/>
        <v>0.73899999999999988</v>
      </c>
      <c r="S458" t="str">
        <f t="shared" si="89"/>
        <v>Yes</v>
      </c>
      <c r="T458" t="str">
        <f t="shared" si="90"/>
        <v>Yes</v>
      </c>
    </row>
    <row r="459" spans="1:20" x14ac:dyDescent="0.3">
      <c r="A459" s="16">
        <v>3</v>
      </c>
      <c r="B459" s="15">
        <v>1</v>
      </c>
      <c r="C459" s="16">
        <v>3</v>
      </c>
      <c r="D459" s="3">
        <v>2</v>
      </c>
      <c r="E459">
        <v>2.8</v>
      </c>
      <c r="G459">
        <v>3</v>
      </c>
      <c r="H459">
        <v>3.96</v>
      </c>
      <c r="I459">
        <v>4.96</v>
      </c>
      <c r="J459">
        <v>5.95</v>
      </c>
      <c r="K459">
        <v>0.75</v>
      </c>
      <c r="L459">
        <v>0.33</v>
      </c>
      <c r="M459">
        <v>0.21</v>
      </c>
      <c r="N459">
        <f t="shared" si="85"/>
        <v>4.4687341772151905</v>
      </c>
      <c r="O459">
        <f t="shared" si="86"/>
        <v>0.62666666666666659</v>
      </c>
      <c r="P459" s="6">
        <f t="shared" si="87"/>
        <v>2.8004067510548523</v>
      </c>
      <c r="R459">
        <f t="shared" si="88"/>
        <v>0.71550000000000002</v>
      </c>
      <c r="S459" t="str">
        <f t="shared" si="89"/>
        <v>Yes</v>
      </c>
      <c r="T459" t="str">
        <f t="shared" si="90"/>
        <v>Yes</v>
      </c>
    </row>
    <row r="460" spans="1:20" x14ac:dyDescent="0.3">
      <c r="A460" s="16">
        <v>3</v>
      </c>
      <c r="B460" s="15">
        <v>1</v>
      </c>
      <c r="C460" s="16">
        <v>3</v>
      </c>
      <c r="D460" s="16">
        <v>3</v>
      </c>
      <c r="E460">
        <v>4.2</v>
      </c>
      <c r="G460">
        <v>5.0999999999999996</v>
      </c>
      <c r="H460">
        <v>6</v>
      </c>
      <c r="I460">
        <v>7</v>
      </c>
      <c r="J460">
        <v>8</v>
      </c>
      <c r="K460">
        <v>0.54</v>
      </c>
      <c r="L460">
        <v>0.25</v>
      </c>
      <c r="M460">
        <v>0.11</v>
      </c>
      <c r="N460">
        <f t="shared" si="85"/>
        <v>6.5290598290598298</v>
      </c>
      <c r="O460">
        <f t="shared" si="86"/>
        <v>0.64333333333333331</v>
      </c>
      <c r="P460" s="6">
        <f t="shared" si="87"/>
        <v>4.2003618233618241</v>
      </c>
      <c r="R460">
        <f t="shared" si="88"/>
        <v>0.36620000000000003</v>
      </c>
      <c r="S460" t="str">
        <f t="shared" si="89"/>
        <v>Yes</v>
      </c>
      <c r="T460" t="str">
        <f t="shared" si="90"/>
        <v>Yes</v>
      </c>
    </row>
    <row r="461" spans="1:20" x14ac:dyDescent="0.3">
      <c r="A461" s="16">
        <v>3</v>
      </c>
      <c r="B461" s="15">
        <v>1</v>
      </c>
      <c r="C461" s="16">
        <v>3</v>
      </c>
      <c r="D461" s="17">
        <v>4</v>
      </c>
      <c r="E461">
        <v>3.7</v>
      </c>
      <c r="G461">
        <v>7.9</v>
      </c>
      <c r="H461">
        <v>8.8000000000000007</v>
      </c>
      <c r="I461">
        <v>9.9</v>
      </c>
      <c r="J461">
        <v>10.72</v>
      </c>
      <c r="K461">
        <v>0.51</v>
      </c>
      <c r="L461">
        <v>0.61</v>
      </c>
      <c r="M461">
        <v>0.1</v>
      </c>
      <c r="N461">
        <f t="shared" si="85"/>
        <v>9.3270748299319735</v>
      </c>
      <c r="O461">
        <f t="shared" si="86"/>
        <v>0.39666666666666667</v>
      </c>
      <c r="P461" s="6">
        <f t="shared" si="87"/>
        <v>3.6997396825396827</v>
      </c>
      <c r="R461">
        <f t="shared" si="88"/>
        <v>0.64219999999999999</v>
      </c>
      <c r="S461" t="str">
        <f t="shared" si="89"/>
        <v>Yes</v>
      </c>
      <c r="T461" t="str">
        <f t="shared" si="90"/>
        <v>Yes</v>
      </c>
    </row>
    <row r="462" spans="1:20" x14ac:dyDescent="0.3">
      <c r="A462" s="16">
        <v>3</v>
      </c>
      <c r="B462" s="15">
        <v>1</v>
      </c>
      <c r="C462" s="16">
        <v>3</v>
      </c>
      <c r="D462" s="5">
        <v>5</v>
      </c>
      <c r="E462">
        <v>5.3</v>
      </c>
      <c r="G462">
        <v>7.7</v>
      </c>
      <c r="H462">
        <v>8.6</v>
      </c>
      <c r="I462">
        <v>9.5299999999999994</v>
      </c>
      <c r="J462">
        <v>10.5</v>
      </c>
      <c r="K462">
        <v>0.64</v>
      </c>
      <c r="L462">
        <v>0.35</v>
      </c>
      <c r="M462">
        <v>0.19</v>
      </c>
      <c r="N462">
        <f t="shared" si="85"/>
        <v>9.0854244861483391</v>
      </c>
      <c r="O462">
        <f t="shared" si="86"/>
        <v>0.58333333333333337</v>
      </c>
      <c r="P462" s="6">
        <f t="shared" si="87"/>
        <v>5.2998309502531979</v>
      </c>
      <c r="R462">
        <f t="shared" si="88"/>
        <v>0.56820000000000004</v>
      </c>
      <c r="S462" t="str">
        <f t="shared" si="89"/>
        <v>Yes</v>
      </c>
      <c r="T462" t="str">
        <f t="shared" si="90"/>
        <v>Yes</v>
      </c>
    </row>
    <row r="463" spans="1:20" x14ac:dyDescent="0.3">
      <c r="A463" s="16">
        <v>3</v>
      </c>
      <c r="B463" s="15">
        <v>1</v>
      </c>
      <c r="C463" s="16">
        <v>3</v>
      </c>
      <c r="D463" s="18">
        <v>6</v>
      </c>
      <c r="E463">
        <v>2.9</v>
      </c>
      <c r="G463">
        <v>2.91</v>
      </c>
      <c r="H463">
        <v>3.88</v>
      </c>
      <c r="I463">
        <v>4.8499999999999996</v>
      </c>
      <c r="J463">
        <v>5.92</v>
      </c>
      <c r="K463">
        <v>0.85</v>
      </c>
      <c r="L463">
        <v>0.33</v>
      </c>
      <c r="M463">
        <v>0.21</v>
      </c>
      <c r="N463">
        <f t="shared" si="85"/>
        <v>4.3942713567839196</v>
      </c>
      <c r="O463">
        <f t="shared" si="86"/>
        <v>0.66</v>
      </c>
      <c r="P463" s="6">
        <f t="shared" si="87"/>
        <v>2.9002190954773872</v>
      </c>
      <c r="R463">
        <f t="shared" si="88"/>
        <v>0.87549999999999994</v>
      </c>
      <c r="S463" t="str">
        <f t="shared" si="89"/>
        <v>Yes</v>
      </c>
      <c r="T463" t="str">
        <f t="shared" si="90"/>
        <v>Yes</v>
      </c>
    </row>
    <row r="464" spans="1:20" x14ac:dyDescent="0.3">
      <c r="A464" s="16">
        <v>3</v>
      </c>
      <c r="B464" s="3">
        <v>2</v>
      </c>
      <c r="C464" s="15">
        <v>1</v>
      </c>
      <c r="D464" s="15">
        <v>1</v>
      </c>
      <c r="E464">
        <v>4.7</v>
      </c>
      <c r="G464">
        <v>7.4</v>
      </c>
      <c r="H464">
        <v>8.4</v>
      </c>
      <c r="I464">
        <v>9.14</v>
      </c>
      <c r="J464">
        <v>10.1</v>
      </c>
      <c r="K464">
        <v>0.57999999999999996</v>
      </c>
      <c r="L464">
        <v>0.28000000000000003</v>
      </c>
      <c r="M464">
        <v>0.41</v>
      </c>
      <c r="N464">
        <f t="shared" ref="N464:N486" si="91">((I464^2)+(I464*J464)+(J464^2)-(G464^2)-(G464*H464)-(H464^2))/(3*(J464+I464-G464-H464))</f>
        <v>8.7581007751937978</v>
      </c>
      <c r="O464">
        <f t="shared" ref="O464:O486" si="92">(K464-(2*L464)-M464+2)/3</f>
        <v>0.53666666666666663</v>
      </c>
      <c r="P464" s="6">
        <f t="shared" ref="P464:P486" si="93">N464*O464</f>
        <v>4.7001807493540042</v>
      </c>
      <c r="R464">
        <f t="shared" ref="R464:R486" si="94">K464^2+L464^2+M464^2</f>
        <v>0.58289999999999997</v>
      </c>
      <c r="S464" t="str">
        <f t="shared" si="89"/>
        <v>Yes</v>
      </c>
      <c r="T464" t="str">
        <f t="shared" ref="T464:T486" si="95">IF(ROUND(P464,2)=E464,"Yes","No")</f>
        <v>Yes</v>
      </c>
    </row>
    <row r="465" spans="1:20" x14ac:dyDescent="0.3">
      <c r="A465" s="16">
        <v>3</v>
      </c>
      <c r="B465" s="3">
        <v>2</v>
      </c>
      <c r="C465" s="15">
        <v>1</v>
      </c>
      <c r="D465" s="3">
        <v>2</v>
      </c>
      <c r="E465">
        <v>3.7</v>
      </c>
      <c r="G465">
        <v>5.1100000000000003</v>
      </c>
      <c r="H465">
        <v>6.11</v>
      </c>
      <c r="I465">
        <v>7.1</v>
      </c>
      <c r="J465">
        <v>8.11</v>
      </c>
      <c r="K465">
        <v>0.64</v>
      </c>
      <c r="L465">
        <v>0.34</v>
      </c>
      <c r="M465">
        <v>0.28000000000000003</v>
      </c>
      <c r="N465">
        <f t="shared" si="91"/>
        <v>6.6079197994987489</v>
      </c>
      <c r="O465">
        <f t="shared" si="92"/>
        <v>0.55999999999999994</v>
      </c>
      <c r="P465" s="6">
        <f t="shared" si="93"/>
        <v>3.7004350877192991</v>
      </c>
      <c r="R465">
        <f t="shared" si="94"/>
        <v>0.60360000000000003</v>
      </c>
      <c r="S465" t="str">
        <f t="shared" si="89"/>
        <v>Yes</v>
      </c>
      <c r="T465" t="str">
        <f t="shared" si="95"/>
        <v>Yes</v>
      </c>
    </row>
    <row r="466" spans="1:20" x14ac:dyDescent="0.3">
      <c r="A466" s="16">
        <v>3</v>
      </c>
      <c r="B466" s="3">
        <v>2</v>
      </c>
      <c r="C466" s="15">
        <v>1</v>
      </c>
      <c r="D466" s="16">
        <v>3</v>
      </c>
      <c r="E466">
        <v>3.8</v>
      </c>
      <c r="G466">
        <v>4.53</v>
      </c>
      <c r="H466">
        <v>5.8</v>
      </c>
      <c r="I466">
        <v>6.82</v>
      </c>
      <c r="J466">
        <v>7.7</v>
      </c>
      <c r="K466">
        <v>0.48</v>
      </c>
      <c r="L466">
        <v>0.24</v>
      </c>
      <c r="M466">
        <v>0.16</v>
      </c>
      <c r="N466">
        <f t="shared" si="91"/>
        <v>6.1958233890214816</v>
      </c>
      <c r="O466">
        <f t="shared" si="92"/>
        <v>0.6133333333333334</v>
      </c>
      <c r="P466" s="6">
        <f t="shared" si="93"/>
        <v>3.8001050119331756</v>
      </c>
      <c r="R466">
        <f t="shared" si="94"/>
        <v>0.31359999999999999</v>
      </c>
      <c r="S466" t="str">
        <f t="shared" si="89"/>
        <v>Yes</v>
      </c>
      <c r="T466" t="str">
        <f t="shared" si="95"/>
        <v>Yes</v>
      </c>
    </row>
    <row r="467" spans="1:20" x14ac:dyDescent="0.3">
      <c r="A467" s="16">
        <v>3</v>
      </c>
      <c r="B467" s="3">
        <v>2</v>
      </c>
      <c r="C467" s="15">
        <v>1</v>
      </c>
      <c r="D467" s="17">
        <v>4</v>
      </c>
      <c r="E467">
        <v>1.9</v>
      </c>
      <c r="G467">
        <v>2.12</v>
      </c>
      <c r="H467">
        <v>3.2</v>
      </c>
      <c r="I467">
        <v>4.2</v>
      </c>
      <c r="J467">
        <v>5.2</v>
      </c>
      <c r="K467">
        <v>0.55000000000000004</v>
      </c>
      <c r="L467">
        <v>0.45</v>
      </c>
      <c r="M467">
        <v>0.1</v>
      </c>
      <c r="N467">
        <f t="shared" si="91"/>
        <v>3.6766013071895434</v>
      </c>
      <c r="O467">
        <f t="shared" si="92"/>
        <v>0.51666666666666672</v>
      </c>
      <c r="P467" s="6">
        <f t="shared" si="93"/>
        <v>1.8995773420479309</v>
      </c>
      <c r="R467">
        <f t="shared" si="94"/>
        <v>0.51500000000000012</v>
      </c>
      <c r="S467" t="str">
        <f t="shared" si="89"/>
        <v>Yes</v>
      </c>
      <c r="T467" t="str">
        <f t="shared" si="95"/>
        <v>Yes</v>
      </c>
    </row>
    <row r="468" spans="1:20" x14ac:dyDescent="0.3">
      <c r="A468" s="16">
        <v>3</v>
      </c>
      <c r="B468" s="3">
        <v>2</v>
      </c>
      <c r="C468" s="15">
        <v>1</v>
      </c>
      <c r="D468" s="5">
        <v>5</v>
      </c>
      <c r="E468">
        <v>2.5</v>
      </c>
      <c r="G468">
        <v>3.26</v>
      </c>
      <c r="H468">
        <v>4.2</v>
      </c>
      <c r="I468">
        <v>5.2</v>
      </c>
      <c r="J468">
        <v>6.2</v>
      </c>
      <c r="K468">
        <v>0.49</v>
      </c>
      <c r="L468">
        <v>0.23</v>
      </c>
      <c r="M468">
        <v>0.44</v>
      </c>
      <c r="N468">
        <f t="shared" si="91"/>
        <v>4.717461928934009</v>
      </c>
      <c r="O468">
        <f t="shared" si="92"/>
        <v>0.52999999999999992</v>
      </c>
      <c r="P468" s="6">
        <f t="shared" si="93"/>
        <v>2.5002548223350245</v>
      </c>
      <c r="R468">
        <f t="shared" si="94"/>
        <v>0.48659999999999998</v>
      </c>
      <c r="S468" t="str">
        <f t="shared" si="89"/>
        <v>Yes</v>
      </c>
      <c r="T468" t="str">
        <f t="shared" si="95"/>
        <v>Yes</v>
      </c>
    </row>
    <row r="469" spans="1:20" x14ac:dyDescent="0.3">
      <c r="A469" s="16">
        <v>3</v>
      </c>
      <c r="B469" s="3">
        <v>2</v>
      </c>
      <c r="C469" s="15">
        <v>1</v>
      </c>
      <c r="D469" s="18">
        <v>6</v>
      </c>
      <c r="E469">
        <v>2.9</v>
      </c>
      <c r="G469">
        <v>5.8</v>
      </c>
      <c r="H469">
        <v>6.75</v>
      </c>
      <c r="I469">
        <v>7.6</v>
      </c>
      <c r="J469">
        <v>8.6</v>
      </c>
      <c r="K469">
        <v>0.57999999999999996</v>
      </c>
      <c r="L469">
        <v>0.36</v>
      </c>
      <c r="M469">
        <v>0.65</v>
      </c>
      <c r="N469">
        <f t="shared" si="91"/>
        <v>7.1897260273972625</v>
      </c>
      <c r="O469">
        <f t="shared" si="92"/>
        <v>0.40333333333333332</v>
      </c>
      <c r="P469" s="6">
        <f t="shared" si="93"/>
        <v>2.8998561643835625</v>
      </c>
      <c r="R469">
        <f t="shared" si="94"/>
        <v>0.88850000000000007</v>
      </c>
      <c r="S469" t="str">
        <f t="shared" si="89"/>
        <v>Yes</v>
      </c>
      <c r="T469" t="str">
        <f t="shared" si="95"/>
        <v>Yes</v>
      </c>
    </row>
    <row r="470" spans="1:20" x14ac:dyDescent="0.3">
      <c r="A470" s="16">
        <v>3</v>
      </c>
      <c r="B470" s="3">
        <v>2</v>
      </c>
      <c r="C470" s="3">
        <v>2</v>
      </c>
      <c r="D470" s="15">
        <v>1</v>
      </c>
      <c r="E470">
        <v>2.6</v>
      </c>
      <c r="G470">
        <v>10.14</v>
      </c>
      <c r="H470">
        <v>11.15</v>
      </c>
      <c r="I470">
        <v>12.12</v>
      </c>
      <c r="J470">
        <v>13.15</v>
      </c>
      <c r="K470">
        <v>0.47</v>
      </c>
      <c r="L470">
        <v>0.8</v>
      </c>
      <c r="M470">
        <v>0.2</v>
      </c>
      <c r="N470">
        <f t="shared" si="91"/>
        <v>11.64085427135678</v>
      </c>
      <c r="O470">
        <f t="shared" si="92"/>
        <v>0.2233333333333333</v>
      </c>
      <c r="P470" s="6">
        <f t="shared" si="93"/>
        <v>2.5997907872696806</v>
      </c>
      <c r="R470">
        <f t="shared" si="94"/>
        <v>0.90090000000000015</v>
      </c>
      <c r="S470" t="str">
        <f t="shared" si="89"/>
        <v>Yes</v>
      </c>
      <c r="T470" t="str">
        <f t="shared" si="95"/>
        <v>Yes</v>
      </c>
    </row>
    <row r="471" spans="1:20" x14ac:dyDescent="0.3">
      <c r="A471" s="16">
        <v>3</v>
      </c>
      <c r="B471" s="3">
        <v>2</v>
      </c>
      <c r="C471" s="3">
        <v>2</v>
      </c>
      <c r="D471" s="3">
        <v>2</v>
      </c>
      <c r="E471">
        <v>2.1</v>
      </c>
      <c r="G471">
        <v>3.5</v>
      </c>
      <c r="H471">
        <v>4.4000000000000004</v>
      </c>
      <c r="I471">
        <v>5.5</v>
      </c>
      <c r="J471">
        <v>6.3</v>
      </c>
      <c r="K471">
        <v>0.56999999999999995</v>
      </c>
      <c r="L471">
        <v>0.38</v>
      </c>
      <c r="M471">
        <v>0.53</v>
      </c>
      <c r="N471">
        <f t="shared" si="91"/>
        <v>4.9213675213675208</v>
      </c>
      <c r="O471">
        <f t="shared" si="92"/>
        <v>0.42666666666666658</v>
      </c>
      <c r="P471" s="6">
        <f t="shared" si="93"/>
        <v>2.0997834757834752</v>
      </c>
      <c r="R471">
        <f t="shared" si="94"/>
        <v>0.75019999999999998</v>
      </c>
      <c r="S471" t="str">
        <f t="shared" si="89"/>
        <v>Yes</v>
      </c>
      <c r="T471" t="str">
        <f t="shared" si="95"/>
        <v>Yes</v>
      </c>
    </row>
    <row r="472" spans="1:20" x14ac:dyDescent="0.3">
      <c r="A472" s="16">
        <v>3</v>
      </c>
      <c r="B472" s="3">
        <v>2</v>
      </c>
      <c r="C472" s="3">
        <v>2</v>
      </c>
      <c r="D472" s="16">
        <v>3</v>
      </c>
      <c r="E472">
        <v>3.2</v>
      </c>
      <c r="G472">
        <v>6.15</v>
      </c>
      <c r="H472">
        <v>7.12</v>
      </c>
      <c r="I472">
        <v>8.1</v>
      </c>
      <c r="J472">
        <v>9.1</v>
      </c>
      <c r="K472">
        <v>0.49</v>
      </c>
      <c r="L472">
        <v>0.39</v>
      </c>
      <c r="M472">
        <v>0.45</v>
      </c>
      <c r="N472">
        <f t="shared" si="91"/>
        <v>7.6187531806615798</v>
      </c>
      <c r="O472">
        <f t="shared" si="92"/>
        <v>0.42</v>
      </c>
      <c r="P472" s="6">
        <f t="shared" si="93"/>
        <v>3.1998763358778635</v>
      </c>
      <c r="R472">
        <f t="shared" si="94"/>
        <v>0.59470000000000001</v>
      </c>
      <c r="S472" t="str">
        <f t="shared" si="89"/>
        <v>Yes</v>
      </c>
      <c r="T472" t="str">
        <f t="shared" si="95"/>
        <v>Yes</v>
      </c>
    </row>
    <row r="473" spans="1:20" x14ac:dyDescent="0.3">
      <c r="A473" s="16">
        <v>3</v>
      </c>
      <c r="B473" s="3">
        <v>2</v>
      </c>
      <c r="C473" s="3">
        <v>2</v>
      </c>
      <c r="D473" s="17">
        <v>4</v>
      </c>
      <c r="E473">
        <v>6.2</v>
      </c>
      <c r="G473">
        <v>8.6999999999999993</v>
      </c>
      <c r="H473">
        <v>9.6999999999999993</v>
      </c>
      <c r="I473">
        <v>10.6</v>
      </c>
      <c r="J473">
        <v>11.65</v>
      </c>
      <c r="K473">
        <v>0.8</v>
      </c>
      <c r="L473">
        <v>0.25</v>
      </c>
      <c r="M473">
        <v>0.47</v>
      </c>
      <c r="N473">
        <f t="shared" si="91"/>
        <v>10.164718614718613</v>
      </c>
      <c r="O473">
        <f t="shared" si="92"/>
        <v>0.61</v>
      </c>
      <c r="P473" s="6">
        <f t="shared" si="93"/>
        <v>6.2004783549783538</v>
      </c>
      <c r="R473">
        <f t="shared" si="94"/>
        <v>0.92340000000000011</v>
      </c>
      <c r="S473" t="str">
        <f t="shared" si="89"/>
        <v>Yes</v>
      </c>
      <c r="T473" t="str">
        <f t="shared" si="95"/>
        <v>Yes</v>
      </c>
    </row>
    <row r="474" spans="1:20" x14ac:dyDescent="0.3">
      <c r="A474" s="16">
        <v>3</v>
      </c>
      <c r="B474" s="3">
        <v>2</v>
      </c>
      <c r="C474" s="3">
        <v>2</v>
      </c>
      <c r="D474" s="5">
        <v>5</v>
      </c>
      <c r="E474">
        <v>1.7</v>
      </c>
      <c r="G474">
        <v>1.1000000000000001</v>
      </c>
      <c r="H474">
        <v>1.8</v>
      </c>
      <c r="I474">
        <v>2.7</v>
      </c>
      <c r="J474">
        <v>3.97</v>
      </c>
      <c r="K474">
        <v>0.87</v>
      </c>
      <c r="L474">
        <v>0.32</v>
      </c>
      <c r="M474">
        <v>0.12</v>
      </c>
      <c r="N474">
        <f t="shared" si="91"/>
        <v>2.4173209549071615</v>
      </c>
      <c r="O474">
        <f t="shared" si="92"/>
        <v>0.70333333333333325</v>
      </c>
      <c r="P474" s="6">
        <f t="shared" si="93"/>
        <v>1.7001824049513701</v>
      </c>
      <c r="R474">
        <f t="shared" si="94"/>
        <v>0.87370000000000003</v>
      </c>
      <c r="S474" t="str">
        <f t="shared" si="89"/>
        <v>Yes</v>
      </c>
      <c r="T474" t="str">
        <f t="shared" si="95"/>
        <v>Yes</v>
      </c>
    </row>
    <row r="475" spans="1:20" x14ac:dyDescent="0.3">
      <c r="A475" s="16">
        <v>3</v>
      </c>
      <c r="B475" s="3">
        <v>2</v>
      </c>
      <c r="C475" s="3">
        <v>2</v>
      </c>
      <c r="D475" s="18">
        <v>6</v>
      </c>
      <c r="E475">
        <v>1.5</v>
      </c>
      <c r="G475">
        <v>1.22</v>
      </c>
      <c r="H475">
        <v>2.1800000000000002</v>
      </c>
      <c r="I475">
        <v>3.21</v>
      </c>
      <c r="J475">
        <v>4.28</v>
      </c>
      <c r="K475">
        <v>0.56000000000000005</v>
      </c>
      <c r="L475">
        <v>0.35</v>
      </c>
      <c r="M475">
        <v>0.21</v>
      </c>
      <c r="N475">
        <f t="shared" si="91"/>
        <v>2.7270497147514265</v>
      </c>
      <c r="O475">
        <f t="shared" si="92"/>
        <v>0.55000000000000004</v>
      </c>
      <c r="P475" s="6">
        <f t="shared" si="93"/>
        <v>1.4998773431132848</v>
      </c>
      <c r="R475">
        <f t="shared" si="94"/>
        <v>0.48020000000000002</v>
      </c>
      <c r="S475" t="str">
        <f t="shared" si="89"/>
        <v>Yes</v>
      </c>
      <c r="T475" t="str">
        <f t="shared" si="95"/>
        <v>Yes</v>
      </c>
    </row>
    <row r="476" spans="1:20" x14ac:dyDescent="0.3">
      <c r="A476" s="16">
        <v>3</v>
      </c>
      <c r="B476" s="3">
        <v>2</v>
      </c>
      <c r="C476" s="16">
        <v>3</v>
      </c>
      <c r="D476" s="15">
        <v>1</v>
      </c>
      <c r="E476">
        <v>1.3</v>
      </c>
      <c r="G476">
        <v>1.62</v>
      </c>
      <c r="H476">
        <v>2.76</v>
      </c>
      <c r="I476">
        <v>3.86</v>
      </c>
      <c r="J476">
        <v>4.24</v>
      </c>
      <c r="K476">
        <v>0.56999999999999995</v>
      </c>
      <c r="L476">
        <v>0.55000000000000004</v>
      </c>
      <c r="M476">
        <v>0.21</v>
      </c>
      <c r="N476">
        <f t="shared" si="91"/>
        <v>3.0941218637992831</v>
      </c>
      <c r="O476">
        <f t="shared" si="92"/>
        <v>0.41999999999999993</v>
      </c>
      <c r="P476" s="6">
        <f t="shared" si="93"/>
        <v>1.2995311827956988</v>
      </c>
      <c r="R476">
        <f t="shared" si="94"/>
        <v>0.67149999999999999</v>
      </c>
      <c r="S476" t="str">
        <f t="shared" si="89"/>
        <v>Yes</v>
      </c>
      <c r="T476" t="str">
        <f t="shared" si="95"/>
        <v>Yes</v>
      </c>
    </row>
    <row r="477" spans="1:20" x14ac:dyDescent="0.3">
      <c r="A477" s="16">
        <v>3</v>
      </c>
      <c r="B477" s="3">
        <v>2</v>
      </c>
      <c r="C477" s="16">
        <v>3</v>
      </c>
      <c r="D477" s="3">
        <v>2</v>
      </c>
      <c r="E477">
        <v>1.8</v>
      </c>
      <c r="G477">
        <v>10.25</v>
      </c>
      <c r="H477">
        <v>11.25</v>
      </c>
      <c r="I477">
        <v>12.25</v>
      </c>
      <c r="J477">
        <v>13.22</v>
      </c>
      <c r="K477">
        <v>0.14000000000000001</v>
      </c>
      <c r="L477">
        <v>0.47</v>
      </c>
      <c r="M477">
        <v>0.74</v>
      </c>
      <c r="N477">
        <f t="shared" si="91"/>
        <v>11.74125944584384</v>
      </c>
      <c r="O477">
        <f t="shared" si="92"/>
        <v>0.15333333333333332</v>
      </c>
      <c r="P477" s="6">
        <f t="shared" si="93"/>
        <v>1.8003264483627219</v>
      </c>
      <c r="R477">
        <f t="shared" si="94"/>
        <v>0.78810000000000002</v>
      </c>
      <c r="S477" t="str">
        <f t="shared" si="89"/>
        <v>Yes</v>
      </c>
      <c r="T477" t="str">
        <f t="shared" si="95"/>
        <v>Yes</v>
      </c>
    </row>
    <row r="478" spans="1:20" x14ac:dyDescent="0.3">
      <c r="A478" s="16">
        <v>3</v>
      </c>
      <c r="B478" s="3">
        <v>2</v>
      </c>
      <c r="C478" s="16">
        <v>3</v>
      </c>
      <c r="D478" s="16">
        <v>3</v>
      </c>
      <c r="E478">
        <v>4.0999999999999996</v>
      </c>
      <c r="G478">
        <v>4.2</v>
      </c>
      <c r="H478">
        <v>5.25</v>
      </c>
      <c r="I478">
        <v>6.12</v>
      </c>
      <c r="J478">
        <v>7.2</v>
      </c>
      <c r="K478">
        <v>0.65</v>
      </c>
      <c r="L478">
        <v>0.12</v>
      </c>
      <c r="M478">
        <v>0.25</v>
      </c>
      <c r="N478">
        <f t="shared" si="91"/>
        <v>5.6938759689922485</v>
      </c>
      <c r="O478">
        <f t="shared" si="92"/>
        <v>0.72000000000000008</v>
      </c>
      <c r="P478" s="6">
        <f t="shared" si="93"/>
        <v>4.0995906976744196</v>
      </c>
      <c r="R478">
        <f t="shared" si="94"/>
        <v>0.49940000000000007</v>
      </c>
      <c r="S478" t="str">
        <f t="shared" si="89"/>
        <v>Yes</v>
      </c>
      <c r="T478" t="str">
        <f t="shared" si="95"/>
        <v>Yes</v>
      </c>
    </row>
    <row r="479" spans="1:20" x14ac:dyDescent="0.3">
      <c r="A479" s="16">
        <v>3</v>
      </c>
      <c r="B479" s="3">
        <v>2</v>
      </c>
      <c r="C479" s="16">
        <v>3</v>
      </c>
      <c r="D479" s="17">
        <v>4</v>
      </c>
      <c r="E479">
        <v>3.6</v>
      </c>
      <c r="G479">
        <v>4.62</v>
      </c>
      <c r="H479">
        <v>5.66</v>
      </c>
      <c r="I479" s="11">
        <v>6.66</v>
      </c>
      <c r="J479">
        <v>7.62</v>
      </c>
      <c r="K479">
        <v>0.56999999999999995</v>
      </c>
      <c r="L479">
        <v>0.21</v>
      </c>
      <c r="M479">
        <v>0.39</v>
      </c>
      <c r="N479">
        <f t="shared" si="91"/>
        <v>6.1366666666666667</v>
      </c>
      <c r="O479">
        <f t="shared" si="92"/>
        <v>0.58666666666666667</v>
      </c>
      <c r="P479" s="6">
        <f t="shared" si="93"/>
        <v>3.6001777777777777</v>
      </c>
      <c r="R479">
        <f t="shared" si="94"/>
        <v>0.5210999999999999</v>
      </c>
      <c r="S479" t="str">
        <f t="shared" si="89"/>
        <v>Yes</v>
      </c>
      <c r="T479" t="str">
        <f t="shared" si="95"/>
        <v>Yes</v>
      </c>
    </row>
    <row r="480" spans="1:20" x14ac:dyDescent="0.3">
      <c r="A480" s="16">
        <v>3</v>
      </c>
      <c r="B480" s="3">
        <v>2</v>
      </c>
      <c r="C480" s="16">
        <v>3</v>
      </c>
      <c r="D480" s="5">
        <v>5</v>
      </c>
      <c r="E480">
        <v>3.4</v>
      </c>
      <c r="G480">
        <v>6.2</v>
      </c>
      <c r="H480">
        <v>7.25</v>
      </c>
      <c r="I480">
        <v>8.2799999999999994</v>
      </c>
      <c r="J480">
        <v>9.1999999999999993</v>
      </c>
      <c r="K480">
        <v>0.39</v>
      </c>
      <c r="L480">
        <v>0.43</v>
      </c>
      <c r="M480">
        <v>0.21</v>
      </c>
      <c r="N480">
        <f t="shared" si="91"/>
        <v>7.7272043010752727</v>
      </c>
      <c r="O480">
        <f t="shared" si="92"/>
        <v>0.44</v>
      </c>
      <c r="P480" s="6">
        <f t="shared" si="93"/>
        <v>3.3999698924731199</v>
      </c>
      <c r="R480">
        <f t="shared" si="94"/>
        <v>0.38109999999999994</v>
      </c>
      <c r="S480" t="str">
        <f t="shared" si="89"/>
        <v>Yes</v>
      </c>
      <c r="T480" t="str">
        <f t="shared" si="95"/>
        <v>Yes</v>
      </c>
    </row>
    <row r="481" spans="1:20" x14ac:dyDescent="0.3">
      <c r="A481" s="16">
        <v>3</v>
      </c>
      <c r="B481" s="3">
        <v>2</v>
      </c>
      <c r="C481" s="16">
        <v>3</v>
      </c>
      <c r="D481" s="18">
        <v>6</v>
      </c>
      <c r="E481">
        <v>2.5</v>
      </c>
      <c r="G481">
        <v>6.46</v>
      </c>
      <c r="H481">
        <v>7.46</v>
      </c>
      <c r="I481">
        <v>8.11</v>
      </c>
      <c r="J481">
        <v>9.1999999999999993</v>
      </c>
      <c r="K481">
        <v>0.34</v>
      </c>
      <c r="L481">
        <v>0.63</v>
      </c>
      <c r="M481">
        <v>0.12</v>
      </c>
      <c r="N481">
        <f t="shared" si="91"/>
        <v>7.8121238938053104</v>
      </c>
      <c r="O481">
        <f t="shared" si="92"/>
        <v>0.32</v>
      </c>
      <c r="P481" s="6">
        <f t="shared" si="93"/>
        <v>2.4998796460176993</v>
      </c>
      <c r="R481">
        <f t="shared" si="94"/>
        <v>0.52690000000000003</v>
      </c>
      <c r="S481" t="str">
        <f t="shared" si="89"/>
        <v>Yes</v>
      </c>
      <c r="T481" t="str">
        <f t="shared" si="95"/>
        <v>Yes</v>
      </c>
    </row>
    <row r="482" spans="1:20" x14ac:dyDescent="0.3">
      <c r="A482" s="17">
        <v>4</v>
      </c>
      <c r="B482" s="15">
        <v>1</v>
      </c>
      <c r="C482" s="15">
        <v>1</v>
      </c>
      <c r="D482" s="15">
        <v>1</v>
      </c>
      <c r="E482">
        <v>3.4</v>
      </c>
      <c r="G482">
        <v>7</v>
      </c>
      <c r="H482">
        <v>8</v>
      </c>
      <c r="I482" s="11">
        <v>9</v>
      </c>
      <c r="J482">
        <v>10</v>
      </c>
      <c r="K482">
        <v>0.39</v>
      </c>
      <c r="L482">
        <v>0.37</v>
      </c>
      <c r="M482">
        <v>0.45</v>
      </c>
      <c r="N482">
        <f t="shared" si="91"/>
        <v>8.5</v>
      </c>
      <c r="O482">
        <f t="shared" si="92"/>
        <v>0.39999999999999997</v>
      </c>
      <c r="P482" s="6">
        <f t="shared" si="93"/>
        <v>3.4</v>
      </c>
      <c r="R482">
        <f t="shared" si="94"/>
        <v>0.49150000000000005</v>
      </c>
      <c r="S482" t="str">
        <f t="shared" si="89"/>
        <v>Yes</v>
      </c>
      <c r="T482" t="str">
        <f t="shared" si="95"/>
        <v>Yes</v>
      </c>
    </row>
    <row r="483" spans="1:20" x14ac:dyDescent="0.3">
      <c r="A483" s="17">
        <v>4</v>
      </c>
      <c r="B483" s="15">
        <v>1</v>
      </c>
      <c r="C483" s="15">
        <v>1</v>
      </c>
      <c r="D483" s="3">
        <v>2</v>
      </c>
      <c r="E483">
        <v>6.4</v>
      </c>
      <c r="G483">
        <v>10.94</v>
      </c>
      <c r="H483">
        <v>11.85</v>
      </c>
      <c r="I483">
        <v>12.76</v>
      </c>
      <c r="J483">
        <v>13.95</v>
      </c>
      <c r="K483">
        <v>0.55000000000000004</v>
      </c>
      <c r="L483">
        <v>0.45</v>
      </c>
      <c r="M483">
        <v>0.1</v>
      </c>
      <c r="N483">
        <f t="shared" si="91"/>
        <v>12.387499999999999</v>
      </c>
      <c r="O483">
        <f t="shared" si="92"/>
        <v>0.51666666666666672</v>
      </c>
      <c r="P483" s="6">
        <f t="shared" si="93"/>
        <v>6.4002083333333335</v>
      </c>
      <c r="R483">
        <f t="shared" si="94"/>
        <v>0.51500000000000012</v>
      </c>
      <c r="S483" t="str">
        <f t="shared" si="89"/>
        <v>Yes</v>
      </c>
      <c r="T483" t="str">
        <f t="shared" si="95"/>
        <v>Yes</v>
      </c>
    </row>
    <row r="484" spans="1:20" x14ac:dyDescent="0.3">
      <c r="A484" s="17">
        <v>4</v>
      </c>
      <c r="B484" s="15">
        <v>1</v>
      </c>
      <c r="C484" s="15">
        <v>1</v>
      </c>
      <c r="D484" s="16">
        <v>3</v>
      </c>
      <c r="E484">
        <v>4.5999999999999996</v>
      </c>
      <c r="G484">
        <v>8.4600000000000009</v>
      </c>
      <c r="H484">
        <v>9.5</v>
      </c>
      <c r="I484">
        <v>10.1</v>
      </c>
      <c r="J484">
        <v>11.1</v>
      </c>
      <c r="K484">
        <v>0.5</v>
      </c>
      <c r="L484">
        <v>0.21</v>
      </c>
      <c r="M484">
        <v>0.67</v>
      </c>
      <c r="N484">
        <f t="shared" si="91"/>
        <v>9.7879012345678991</v>
      </c>
      <c r="O484">
        <f t="shared" si="92"/>
        <v>0.47</v>
      </c>
      <c r="P484" s="6">
        <f t="shared" si="93"/>
        <v>4.6003135802469126</v>
      </c>
      <c r="R484">
        <f t="shared" si="94"/>
        <v>0.7430000000000001</v>
      </c>
      <c r="S484" t="str">
        <f t="shared" si="89"/>
        <v>Yes</v>
      </c>
      <c r="T484" t="str">
        <f t="shared" si="95"/>
        <v>Yes</v>
      </c>
    </row>
    <row r="485" spans="1:20" x14ac:dyDescent="0.3">
      <c r="A485" s="17">
        <v>4</v>
      </c>
      <c r="B485" s="15">
        <v>1</v>
      </c>
      <c r="C485" s="15">
        <v>1</v>
      </c>
      <c r="D485" s="17">
        <v>4</v>
      </c>
      <c r="E485">
        <v>2.4</v>
      </c>
      <c r="G485">
        <v>6</v>
      </c>
      <c r="H485">
        <v>7</v>
      </c>
      <c r="I485">
        <v>8</v>
      </c>
      <c r="J485">
        <v>9</v>
      </c>
      <c r="K485">
        <v>0.34</v>
      </c>
      <c r="L485">
        <v>0.63</v>
      </c>
      <c r="M485">
        <v>0.12</v>
      </c>
      <c r="N485">
        <f t="shared" si="91"/>
        <v>7.5</v>
      </c>
      <c r="O485">
        <f t="shared" si="92"/>
        <v>0.32</v>
      </c>
      <c r="P485" s="6">
        <f t="shared" si="93"/>
        <v>2.4</v>
      </c>
      <c r="R485">
        <f t="shared" si="94"/>
        <v>0.52690000000000003</v>
      </c>
      <c r="S485" t="str">
        <f t="shared" si="89"/>
        <v>Yes</v>
      </c>
      <c r="T485" t="str">
        <f t="shared" si="95"/>
        <v>Yes</v>
      </c>
    </row>
    <row r="486" spans="1:20" x14ac:dyDescent="0.3">
      <c r="A486" s="17">
        <v>4</v>
      </c>
      <c r="B486" s="15">
        <v>1</v>
      </c>
      <c r="C486" s="15">
        <v>1</v>
      </c>
      <c r="D486" s="5">
        <v>5</v>
      </c>
      <c r="E486">
        <v>3.6</v>
      </c>
      <c r="G486">
        <v>4.62</v>
      </c>
      <c r="H486">
        <v>5.66</v>
      </c>
      <c r="I486" s="11">
        <v>6.66</v>
      </c>
      <c r="J486">
        <v>7.62</v>
      </c>
      <c r="K486">
        <v>0.56999999999999995</v>
      </c>
      <c r="L486">
        <v>0.21</v>
      </c>
      <c r="M486">
        <v>0.39</v>
      </c>
      <c r="N486">
        <f t="shared" si="91"/>
        <v>6.1366666666666667</v>
      </c>
      <c r="O486">
        <f t="shared" si="92"/>
        <v>0.58666666666666667</v>
      </c>
      <c r="P486" s="6">
        <f t="shared" si="93"/>
        <v>3.6001777777777777</v>
      </c>
      <c r="R486">
        <f t="shared" si="94"/>
        <v>0.5210999999999999</v>
      </c>
      <c r="S486" t="str">
        <f t="shared" si="89"/>
        <v>Yes</v>
      </c>
      <c r="T486" t="str">
        <f t="shared" si="95"/>
        <v>Yes</v>
      </c>
    </row>
    <row r="487" spans="1:20" x14ac:dyDescent="0.3">
      <c r="A487" s="17">
        <v>4</v>
      </c>
      <c r="B487" s="15">
        <v>1</v>
      </c>
      <c r="C487" s="15">
        <v>1</v>
      </c>
      <c r="D487" s="18">
        <v>6</v>
      </c>
      <c r="E487">
        <v>4.5999999999999996</v>
      </c>
      <c r="G487">
        <v>7.1</v>
      </c>
      <c r="H487">
        <v>8.1999999999999993</v>
      </c>
      <c r="I487">
        <v>9.01</v>
      </c>
      <c r="J487">
        <v>10</v>
      </c>
      <c r="K487">
        <v>0.57999999999999996</v>
      </c>
      <c r="L487">
        <v>0.28000000000000003</v>
      </c>
      <c r="M487">
        <v>0.41</v>
      </c>
      <c r="N487">
        <f t="shared" ref="N487:N517" si="96">((I487^2)+(I487*J487)+(J487^2)-(G487^2)-(G487*H487)-(H487^2))/(3*(J487+I487-G487-H487))</f>
        <v>8.5723360287511259</v>
      </c>
      <c r="O487">
        <f t="shared" ref="O487:O517" si="97">(K487-(2*L487)-M487+2)/3</f>
        <v>0.53666666666666663</v>
      </c>
      <c r="P487" s="6">
        <f t="shared" ref="P487:P517" si="98">N487*O487</f>
        <v>4.600487002096437</v>
      </c>
      <c r="R487">
        <f t="shared" ref="R487:R517" si="99">K487^2+L487^2+M487^2</f>
        <v>0.58289999999999997</v>
      </c>
      <c r="S487" t="str">
        <f t="shared" si="89"/>
        <v>Yes</v>
      </c>
      <c r="T487" t="str">
        <f t="shared" ref="T487:T517" si="100">IF(ROUND(P487,2)=E487,"Yes","No")</f>
        <v>Yes</v>
      </c>
    </row>
    <row r="488" spans="1:20" x14ac:dyDescent="0.3">
      <c r="A488" s="17">
        <v>4</v>
      </c>
      <c r="B488" s="15">
        <v>1</v>
      </c>
      <c r="C488" s="3">
        <v>2</v>
      </c>
      <c r="D488" s="15">
        <v>1</v>
      </c>
      <c r="E488">
        <v>1.4</v>
      </c>
      <c r="G488">
        <v>1</v>
      </c>
      <c r="H488">
        <v>2</v>
      </c>
      <c r="I488">
        <v>3</v>
      </c>
      <c r="J488">
        <v>4</v>
      </c>
      <c r="K488">
        <v>0.71</v>
      </c>
      <c r="L488">
        <v>0.41</v>
      </c>
      <c r="M488">
        <v>0.21</v>
      </c>
      <c r="N488">
        <f t="shared" si="96"/>
        <v>2.5</v>
      </c>
      <c r="O488">
        <f t="shared" si="97"/>
        <v>0.56000000000000005</v>
      </c>
      <c r="P488" s="6">
        <f t="shared" si="98"/>
        <v>1.4000000000000001</v>
      </c>
      <c r="R488">
        <f t="shared" si="99"/>
        <v>0.71629999999999994</v>
      </c>
      <c r="S488" t="str">
        <f t="shared" si="89"/>
        <v>Yes</v>
      </c>
      <c r="T488" t="str">
        <f t="shared" si="100"/>
        <v>Yes</v>
      </c>
    </row>
    <row r="489" spans="1:20" x14ac:dyDescent="0.3">
      <c r="A489" s="17">
        <v>4</v>
      </c>
      <c r="B489" s="15">
        <v>1</v>
      </c>
      <c r="C489" s="3">
        <v>2</v>
      </c>
      <c r="D489" s="3">
        <v>2</v>
      </c>
      <c r="E489">
        <v>3.5</v>
      </c>
      <c r="G489">
        <v>4.72</v>
      </c>
      <c r="H489">
        <v>5.72</v>
      </c>
      <c r="I489">
        <v>6.75</v>
      </c>
      <c r="J489">
        <v>7.8</v>
      </c>
      <c r="K489">
        <v>0.67</v>
      </c>
      <c r="L489">
        <v>0.22</v>
      </c>
      <c r="M489">
        <v>0.55000000000000004</v>
      </c>
      <c r="N489">
        <f t="shared" si="96"/>
        <v>6.2495782643957796</v>
      </c>
      <c r="O489">
        <f t="shared" si="97"/>
        <v>0.55999999999999994</v>
      </c>
      <c r="P489" s="6">
        <f t="shared" si="98"/>
        <v>3.4997638280616363</v>
      </c>
      <c r="R489">
        <f t="shared" si="99"/>
        <v>0.79980000000000007</v>
      </c>
      <c r="S489" t="str">
        <f t="shared" si="89"/>
        <v>Yes</v>
      </c>
      <c r="T489" t="str">
        <f t="shared" si="100"/>
        <v>Yes</v>
      </c>
    </row>
    <row r="490" spans="1:20" x14ac:dyDescent="0.3">
      <c r="A490" s="17">
        <v>4</v>
      </c>
      <c r="B490" s="15">
        <v>1</v>
      </c>
      <c r="C490" s="3">
        <v>2</v>
      </c>
      <c r="D490" s="16">
        <v>3</v>
      </c>
      <c r="E490">
        <v>2.6</v>
      </c>
      <c r="G490">
        <v>2.46</v>
      </c>
      <c r="H490">
        <v>3.49</v>
      </c>
      <c r="I490">
        <v>4.5</v>
      </c>
      <c r="J490">
        <v>5.2</v>
      </c>
      <c r="K490">
        <v>0.46</v>
      </c>
      <c r="L490">
        <v>0.12</v>
      </c>
      <c r="M490">
        <v>0.22</v>
      </c>
      <c r="N490">
        <f t="shared" si="96"/>
        <v>3.899813333333336</v>
      </c>
      <c r="O490">
        <f t="shared" si="97"/>
        <v>0.66666666666666663</v>
      </c>
      <c r="P490" s="6">
        <f t="shared" si="98"/>
        <v>2.599875555555557</v>
      </c>
      <c r="R490">
        <f t="shared" si="99"/>
        <v>0.27439999999999998</v>
      </c>
      <c r="S490" t="str">
        <f t="shared" si="89"/>
        <v>Yes</v>
      </c>
      <c r="T490" t="str">
        <f t="shared" si="100"/>
        <v>Yes</v>
      </c>
    </row>
    <row r="491" spans="1:20" x14ac:dyDescent="0.3">
      <c r="A491" s="17">
        <v>4</v>
      </c>
      <c r="B491" s="15">
        <v>1</v>
      </c>
      <c r="C491" s="3">
        <v>2</v>
      </c>
      <c r="D491" s="17">
        <v>4</v>
      </c>
      <c r="E491">
        <v>3.6</v>
      </c>
      <c r="G491">
        <v>4.99</v>
      </c>
      <c r="H491">
        <v>5.91</v>
      </c>
      <c r="I491">
        <v>6.9</v>
      </c>
      <c r="J491">
        <v>7.9</v>
      </c>
      <c r="K491">
        <v>0.71</v>
      </c>
      <c r="L491">
        <v>0.46</v>
      </c>
      <c r="M491">
        <v>0.11</v>
      </c>
      <c r="N491">
        <f t="shared" si="96"/>
        <v>6.4282820512820491</v>
      </c>
      <c r="O491">
        <f t="shared" si="97"/>
        <v>0.55999999999999994</v>
      </c>
      <c r="P491" s="6">
        <f t="shared" si="98"/>
        <v>3.5998379487179473</v>
      </c>
      <c r="R491">
        <f t="shared" si="99"/>
        <v>0.7278</v>
      </c>
      <c r="S491" t="str">
        <f t="shared" si="89"/>
        <v>Yes</v>
      </c>
      <c r="T491" t="str">
        <f t="shared" si="100"/>
        <v>Yes</v>
      </c>
    </row>
    <row r="492" spans="1:20" x14ac:dyDescent="0.3">
      <c r="A492" s="17">
        <v>4</v>
      </c>
      <c r="B492" s="15">
        <v>1</v>
      </c>
      <c r="C492" s="3">
        <v>2</v>
      </c>
      <c r="D492" s="5">
        <v>5</v>
      </c>
      <c r="E492">
        <v>2.4</v>
      </c>
      <c r="G492">
        <v>2.5</v>
      </c>
      <c r="H492">
        <v>3.37</v>
      </c>
      <c r="I492">
        <v>4.42</v>
      </c>
      <c r="J492">
        <v>5.35</v>
      </c>
      <c r="K492">
        <v>0.45</v>
      </c>
      <c r="L492">
        <v>0.21</v>
      </c>
      <c r="M492">
        <v>0.19</v>
      </c>
      <c r="N492">
        <f t="shared" si="96"/>
        <v>3.9123076923076918</v>
      </c>
      <c r="O492">
        <f t="shared" si="97"/>
        <v>0.6133333333333334</v>
      </c>
      <c r="P492" s="6">
        <f t="shared" si="98"/>
        <v>2.399548717948718</v>
      </c>
      <c r="R492">
        <f t="shared" si="99"/>
        <v>0.28270000000000001</v>
      </c>
      <c r="S492" t="str">
        <f t="shared" si="89"/>
        <v>Yes</v>
      </c>
      <c r="T492" t="str">
        <f t="shared" si="100"/>
        <v>Yes</v>
      </c>
    </row>
    <row r="493" spans="1:20" x14ac:dyDescent="0.3">
      <c r="A493" s="17">
        <v>4</v>
      </c>
      <c r="B493" s="15">
        <v>1</v>
      </c>
      <c r="C493" s="3">
        <v>2</v>
      </c>
      <c r="D493" s="18">
        <v>6</v>
      </c>
      <c r="E493">
        <v>5.7</v>
      </c>
      <c r="G493">
        <v>8.6999999999999993</v>
      </c>
      <c r="H493">
        <v>9.8000000000000007</v>
      </c>
      <c r="I493">
        <v>10.75</v>
      </c>
      <c r="J493">
        <v>11.52</v>
      </c>
      <c r="K493">
        <v>0.71</v>
      </c>
      <c r="L493">
        <v>0.46</v>
      </c>
      <c r="M493">
        <v>0.11</v>
      </c>
      <c r="N493">
        <f t="shared" si="96"/>
        <v>10.17885941644562</v>
      </c>
      <c r="O493">
        <f t="shared" si="97"/>
        <v>0.55999999999999994</v>
      </c>
      <c r="P493" s="6">
        <f t="shared" si="98"/>
        <v>5.700161273209547</v>
      </c>
      <c r="R493">
        <f t="shared" si="99"/>
        <v>0.7278</v>
      </c>
      <c r="S493" t="str">
        <f t="shared" si="89"/>
        <v>Yes</v>
      </c>
      <c r="T493" t="str">
        <f t="shared" si="100"/>
        <v>Yes</v>
      </c>
    </row>
    <row r="494" spans="1:20" x14ac:dyDescent="0.3">
      <c r="A494" s="17">
        <v>4</v>
      </c>
      <c r="B494" s="15">
        <v>1</v>
      </c>
      <c r="C494" s="16">
        <v>3</v>
      </c>
      <c r="D494" s="15">
        <v>1</v>
      </c>
      <c r="E494">
        <v>3.6</v>
      </c>
      <c r="G494">
        <v>3.9</v>
      </c>
      <c r="H494">
        <v>4.84</v>
      </c>
      <c r="I494">
        <v>5.9</v>
      </c>
      <c r="J494">
        <v>6.85</v>
      </c>
      <c r="K494">
        <v>0.64</v>
      </c>
      <c r="L494">
        <v>0.22</v>
      </c>
      <c r="M494">
        <v>0.19</v>
      </c>
      <c r="N494">
        <f t="shared" si="96"/>
        <v>5.3728927680798</v>
      </c>
      <c r="O494">
        <f t="shared" si="97"/>
        <v>0.66999999999999993</v>
      </c>
      <c r="P494" s="6">
        <f t="shared" si="98"/>
        <v>3.5998381546134657</v>
      </c>
      <c r="R494">
        <f t="shared" si="99"/>
        <v>0.49410000000000004</v>
      </c>
      <c r="S494" t="str">
        <f t="shared" si="89"/>
        <v>Yes</v>
      </c>
      <c r="T494" t="str">
        <f t="shared" si="100"/>
        <v>Yes</v>
      </c>
    </row>
    <row r="495" spans="1:20" x14ac:dyDescent="0.3">
      <c r="A495" s="17">
        <v>4</v>
      </c>
      <c r="B495" s="15">
        <v>1</v>
      </c>
      <c r="C495" s="16">
        <v>3</v>
      </c>
      <c r="D495" s="3">
        <v>2</v>
      </c>
      <c r="E495">
        <v>3.6</v>
      </c>
      <c r="G495">
        <v>9.32</v>
      </c>
      <c r="H495">
        <v>10.32</v>
      </c>
      <c r="I495">
        <v>11.28</v>
      </c>
      <c r="J495">
        <v>12.28</v>
      </c>
      <c r="K495">
        <v>0.36</v>
      </c>
      <c r="L495">
        <v>0.62</v>
      </c>
      <c r="M495">
        <v>0.12</v>
      </c>
      <c r="N495">
        <f t="shared" si="96"/>
        <v>10.800000000000008</v>
      </c>
      <c r="O495">
        <f t="shared" si="97"/>
        <v>0.33333333333333331</v>
      </c>
      <c r="P495" s="6">
        <f t="shared" si="98"/>
        <v>3.6000000000000023</v>
      </c>
      <c r="R495">
        <f t="shared" si="99"/>
        <v>0.52839999999999998</v>
      </c>
      <c r="S495" t="str">
        <f t="shared" si="89"/>
        <v>Yes</v>
      </c>
      <c r="T495" t="str">
        <f t="shared" si="100"/>
        <v>Yes</v>
      </c>
    </row>
    <row r="496" spans="1:20" x14ac:dyDescent="0.3">
      <c r="A496" s="17">
        <v>4</v>
      </c>
      <c r="B496" s="15">
        <v>1</v>
      </c>
      <c r="C496" s="16">
        <v>3</v>
      </c>
      <c r="D496" s="16">
        <v>3</v>
      </c>
      <c r="E496">
        <v>2.7</v>
      </c>
      <c r="G496">
        <v>4.4400000000000004</v>
      </c>
      <c r="H496">
        <v>5.4</v>
      </c>
      <c r="I496">
        <v>6.4</v>
      </c>
      <c r="J496">
        <v>7.4</v>
      </c>
      <c r="K496">
        <v>0.51</v>
      </c>
      <c r="L496">
        <v>0.51</v>
      </c>
      <c r="M496">
        <v>0.12</v>
      </c>
      <c r="N496">
        <f t="shared" si="96"/>
        <v>5.9116498316498358</v>
      </c>
      <c r="O496">
        <f t="shared" si="97"/>
        <v>0.45666666666666672</v>
      </c>
      <c r="P496" s="6">
        <f t="shared" si="98"/>
        <v>2.6996534231200919</v>
      </c>
      <c r="R496">
        <f t="shared" si="99"/>
        <v>0.53459999999999996</v>
      </c>
      <c r="S496" t="str">
        <f t="shared" si="89"/>
        <v>Yes</v>
      </c>
      <c r="T496" t="str">
        <f t="shared" si="100"/>
        <v>Yes</v>
      </c>
    </row>
    <row r="497" spans="1:20" x14ac:dyDescent="0.3">
      <c r="A497" s="17">
        <v>4</v>
      </c>
      <c r="B497" s="15">
        <v>1</v>
      </c>
      <c r="C497" s="16">
        <v>3</v>
      </c>
      <c r="D497" s="17">
        <v>4</v>
      </c>
      <c r="E497">
        <v>2.2000000000000002</v>
      </c>
      <c r="G497">
        <v>2.1</v>
      </c>
      <c r="H497">
        <v>3</v>
      </c>
      <c r="I497">
        <v>4</v>
      </c>
      <c r="J497">
        <v>5</v>
      </c>
      <c r="K497">
        <v>0.6</v>
      </c>
      <c r="L497">
        <v>0.2</v>
      </c>
      <c r="M497">
        <v>0.33</v>
      </c>
      <c r="N497">
        <f t="shared" si="96"/>
        <v>3.5290598290598294</v>
      </c>
      <c r="O497">
        <f t="shared" si="97"/>
        <v>0.62333333333333329</v>
      </c>
      <c r="P497" s="6">
        <f t="shared" si="98"/>
        <v>2.199780626780627</v>
      </c>
      <c r="R497">
        <f t="shared" si="99"/>
        <v>0.50890000000000002</v>
      </c>
      <c r="S497" t="str">
        <f t="shared" si="89"/>
        <v>Yes</v>
      </c>
      <c r="T497" t="str">
        <f t="shared" si="100"/>
        <v>Yes</v>
      </c>
    </row>
    <row r="498" spans="1:20" x14ac:dyDescent="0.3">
      <c r="A498" s="17">
        <v>4</v>
      </c>
      <c r="B498" s="15">
        <v>1</v>
      </c>
      <c r="C498" s="16">
        <v>3</v>
      </c>
      <c r="D498" s="5">
        <v>5</v>
      </c>
      <c r="E498">
        <v>2.5</v>
      </c>
      <c r="G498">
        <v>2.4500000000000002</v>
      </c>
      <c r="H498">
        <v>3.5</v>
      </c>
      <c r="I498">
        <v>4.3</v>
      </c>
      <c r="J498">
        <v>5.0999999999999996</v>
      </c>
      <c r="K498">
        <v>0.71</v>
      </c>
      <c r="L498">
        <v>0.22</v>
      </c>
      <c r="M498">
        <v>0.31</v>
      </c>
      <c r="N498">
        <f t="shared" si="96"/>
        <v>3.8263285024154601</v>
      </c>
      <c r="O498">
        <f t="shared" si="97"/>
        <v>0.65333333333333332</v>
      </c>
      <c r="P498" s="6">
        <f t="shared" si="98"/>
        <v>2.499867954911434</v>
      </c>
      <c r="R498">
        <f t="shared" si="99"/>
        <v>0.64859999999999995</v>
      </c>
      <c r="S498" t="str">
        <f t="shared" si="89"/>
        <v>Yes</v>
      </c>
      <c r="T498" t="str">
        <f t="shared" si="100"/>
        <v>Yes</v>
      </c>
    </row>
    <row r="499" spans="1:20" x14ac:dyDescent="0.3">
      <c r="A499" s="17">
        <v>4</v>
      </c>
      <c r="B499" s="15">
        <v>1</v>
      </c>
      <c r="C499" s="16">
        <v>3</v>
      </c>
      <c r="D499" s="18">
        <v>6</v>
      </c>
      <c r="E499">
        <v>1.8</v>
      </c>
      <c r="G499">
        <v>1.1399999999999999</v>
      </c>
      <c r="H499">
        <v>2.09</v>
      </c>
      <c r="I499">
        <v>3</v>
      </c>
      <c r="J499">
        <v>4</v>
      </c>
      <c r="K499">
        <v>0.87</v>
      </c>
      <c r="L499">
        <v>0.32</v>
      </c>
      <c r="M499">
        <v>0.12</v>
      </c>
      <c r="N499">
        <f t="shared" si="96"/>
        <v>2.5596551724137933</v>
      </c>
      <c r="O499">
        <f t="shared" si="97"/>
        <v>0.70333333333333325</v>
      </c>
      <c r="P499" s="6">
        <f t="shared" si="98"/>
        <v>1.8002908045977011</v>
      </c>
      <c r="R499">
        <f t="shared" si="99"/>
        <v>0.87370000000000003</v>
      </c>
      <c r="S499" t="str">
        <f t="shared" si="89"/>
        <v>Yes</v>
      </c>
      <c r="T499" t="str">
        <f t="shared" si="100"/>
        <v>Yes</v>
      </c>
    </row>
    <row r="500" spans="1:20" x14ac:dyDescent="0.3">
      <c r="A500" s="17">
        <v>4</v>
      </c>
      <c r="B500" s="3">
        <v>2</v>
      </c>
      <c r="C500" s="15">
        <v>1</v>
      </c>
      <c r="D500" s="15">
        <v>1</v>
      </c>
      <c r="E500">
        <v>1.4</v>
      </c>
      <c r="G500">
        <v>2</v>
      </c>
      <c r="H500">
        <v>3</v>
      </c>
      <c r="I500" s="11">
        <v>4</v>
      </c>
      <c r="J500">
        <v>5</v>
      </c>
      <c r="K500">
        <v>0.39</v>
      </c>
      <c r="L500">
        <v>0.37</v>
      </c>
      <c r="M500">
        <v>0.45</v>
      </c>
      <c r="N500">
        <f t="shared" si="96"/>
        <v>3.5</v>
      </c>
      <c r="O500">
        <f t="shared" si="97"/>
        <v>0.39999999999999997</v>
      </c>
      <c r="P500" s="6">
        <f t="shared" si="98"/>
        <v>1.4</v>
      </c>
      <c r="R500">
        <f t="shared" si="99"/>
        <v>0.49150000000000005</v>
      </c>
      <c r="S500" t="str">
        <f t="shared" si="89"/>
        <v>Yes</v>
      </c>
      <c r="T500" t="str">
        <f t="shared" si="100"/>
        <v>Yes</v>
      </c>
    </row>
    <row r="501" spans="1:20" x14ac:dyDescent="0.3">
      <c r="A501" s="17">
        <v>4</v>
      </c>
      <c r="B501" s="3">
        <v>2</v>
      </c>
      <c r="C501" s="15">
        <v>1</v>
      </c>
      <c r="D501" s="3">
        <v>2</v>
      </c>
      <c r="E501">
        <v>1.9</v>
      </c>
      <c r="G501">
        <v>2.12</v>
      </c>
      <c r="H501">
        <v>3.2</v>
      </c>
      <c r="I501">
        <v>4.2</v>
      </c>
      <c r="J501">
        <v>5.2</v>
      </c>
      <c r="K501">
        <v>0.55000000000000004</v>
      </c>
      <c r="L501">
        <v>0.45</v>
      </c>
      <c r="M501">
        <v>0.1</v>
      </c>
      <c r="N501">
        <f t="shared" si="96"/>
        <v>3.6766013071895434</v>
      </c>
      <c r="O501">
        <f t="shared" si="97"/>
        <v>0.51666666666666672</v>
      </c>
      <c r="P501" s="6">
        <f t="shared" si="98"/>
        <v>1.8995773420479309</v>
      </c>
      <c r="R501">
        <f t="shared" si="99"/>
        <v>0.51500000000000012</v>
      </c>
      <c r="S501" t="str">
        <f t="shared" si="89"/>
        <v>Yes</v>
      </c>
      <c r="T501" t="str">
        <f t="shared" si="100"/>
        <v>Yes</v>
      </c>
    </row>
    <row r="502" spans="1:20" x14ac:dyDescent="0.3">
      <c r="A502" s="17">
        <v>4</v>
      </c>
      <c r="B502" s="3">
        <v>2</v>
      </c>
      <c r="C502" s="15">
        <v>1</v>
      </c>
      <c r="D502" s="16">
        <v>3</v>
      </c>
      <c r="E502">
        <v>2.1</v>
      </c>
      <c r="G502">
        <v>2.7</v>
      </c>
      <c r="H502">
        <v>3.83</v>
      </c>
      <c r="I502">
        <v>4.7</v>
      </c>
      <c r="J502">
        <v>5.8</v>
      </c>
      <c r="K502">
        <v>0.56999999999999995</v>
      </c>
      <c r="L502">
        <v>0.21</v>
      </c>
      <c r="M502">
        <v>0.67</v>
      </c>
      <c r="N502">
        <f t="shared" si="96"/>
        <v>4.2560957178841319</v>
      </c>
      <c r="O502">
        <f t="shared" si="97"/>
        <v>0.49333333333333335</v>
      </c>
      <c r="P502" s="6">
        <f t="shared" si="98"/>
        <v>2.0996738874895051</v>
      </c>
      <c r="R502">
        <f t="shared" si="99"/>
        <v>0.81790000000000007</v>
      </c>
      <c r="S502" t="str">
        <f t="shared" si="89"/>
        <v>Yes</v>
      </c>
      <c r="T502" t="str">
        <f t="shared" si="100"/>
        <v>Yes</v>
      </c>
    </row>
    <row r="503" spans="1:20" x14ac:dyDescent="0.3">
      <c r="A503" s="17">
        <v>4</v>
      </c>
      <c r="B503" s="3">
        <v>2</v>
      </c>
      <c r="C503" s="15">
        <v>1</v>
      </c>
      <c r="D503" s="17">
        <v>4</v>
      </c>
      <c r="E503">
        <v>3.5</v>
      </c>
      <c r="G503">
        <v>9</v>
      </c>
      <c r="H503">
        <v>10</v>
      </c>
      <c r="I503">
        <v>11</v>
      </c>
      <c r="J503">
        <v>12</v>
      </c>
      <c r="K503">
        <v>0.36</v>
      </c>
      <c r="L503">
        <v>0.62</v>
      </c>
      <c r="M503">
        <v>0.12</v>
      </c>
      <c r="N503">
        <f t="shared" si="96"/>
        <v>10.5</v>
      </c>
      <c r="O503">
        <f t="shared" si="97"/>
        <v>0.33333333333333331</v>
      </c>
      <c r="P503" s="6">
        <f t="shared" si="98"/>
        <v>3.5</v>
      </c>
      <c r="R503">
        <f t="shared" si="99"/>
        <v>0.52839999999999998</v>
      </c>
      <c r="S503" t="str">
        <f t="shared" ref="S503:S517" si="101">IF(AND(R503&gt;=0,R503&lt;=1),"Yes","No")</f>
        <v>Yes</v>
      </c>
      <c r="T503" t="str">
        <f t="shared" si="100"/>
        <v>Yes</v>
      </c>
    </row>
    <row r="504" spans="1:20" x14ac:dyDescent="0.3">
      <c r="A504" s="17">
        <v>4</v>
      </c>
      <c r="B504" s="3">
        <v>2</v>
      </c>
      <c r="C504" s="15">
        <v>1</v>
      </c>
      <c r="D504" s="5">
        <v>5</v>
      </c>
      <c r="E504">
        <v>1.4</v>
      </c>
      <c r="G504">
        <v>1.01</v>
      </c>
      <c r="H504">
        <v>2.0099999999999998</v>
      </c>
      <c r="I504" s="11">
        <v>3.01</v>
      </c>
      <c r="J504">
        <v>3.58</v>
      </c>
      <c r="K504">
        <v>0.56999999999999995</v>
      </c>
      <c r="L504">
        <v>0.21</v>
      </c>
      <c r="M504">
        <v>0.39</v>
      </c>
      <c r="N504">
        <f t="shared" si="96"/>
        <v>2.386741363211951</v>
      </c>
      <c r="O504">
        <f t="shared" si="97"/>
        <v>0.58666666666666667</v>
      </c>
      <c r="P504" s="6">
        <f t="shared" si="98"/>
        <v>1.4002215997510112</v>
      </c>
      <c r="R504">
        <f t="shared" si="99"/>
        <v>0.5210999999999999</v>
      </c>
      <c r="S504" t="str">
        <f t="shared" si="101"/>
        <v>Yes</v>
      </c>
      <c r="T504" t="str">
        <f t="shared" si="100"/>
        <v>Yes</v>
      </c>
    </row>
    <row r="505" spans="1:20" x14ac:dyDescent="0.3">
      <c r="A505" s="17">
        <v>4</v>
      </c>
      <c r="B505" s="3">
        <v>2</v>
      </c>
      <c r="C505" s="15">
        <v>1</v>
      </c>
      <c r="D505" s="18">
        <v>6</v>
      </c>
      <c r="E505">
        <v>2.6</v>
      </c>
      <c r="G505">
        <v>3.39</v>
      </c>
      <c r="H505">
        <v>4.22</v>
      </c>
      <c r="I505">
        <v>5.2</v>
      </c>
      <c r="J505">
        <v>6.49</v>
      </c>
      <c r="K505">
        <v>0.57999999999999996</v>
      </c>
      <c r="L505">
        <v>0.28000000000000003</v>
      </c>
      <c r="M505">
        <v>0.41</v>
      </c>
      <c r="N505">
        <f t="shared" si="96"/>
        <v>4.8449183006535961</v>
      </c>
      <c r="O505">
        <f t="shared" si="97"/>
        <v>0.53666666666666663</v>
      </c>
      <c r="P505" s="6">
        <f t="shared" si="98"/>
        <v>2.6001061546840964</v>
      </c>
      <c r="R505">
        <f t="shared" si="99"/>
        <v>0.58289999999999997</v>
      </c>
      <c r="S505" t="str">
        <f t="shared" si="101"/>
        <v>Yes</v>
      </c>
      <c r="T505" t="str">
        <f t="shared" si="100"/>
        <v>Yes</v>
      </c>
    </row>
    <row r="506" spans="1:20" x14ac:dyDescent="0.3">
      <c r="A506" s="17">
        <v>4</v>
      </c>
      <c r="B506" s="3">
        <v>2</v>
      </c>
      <c r="C506" s="3">
        <v>2</v>
      </c>
      <c r="D506" s="15">
        <v>1</v>
      </c>
      <c r="E506">
        <v>2.4</v>
      </c>
      <c r="G506">
        <v>2.7</v>
      </c>
      <c r="H506">
        <v>3.72</v>
      </c>
      <c r="I506">
        <v>4.7</v>
      </c>
      <c r="J506">
        <v>5.89</v>
      </c>
      <c r="K506">
        <v>0.72</v>
      </c>
      <c r="L506">
        <v>0.41</v>
      </c>
      <c r="M506">
        <v>0.21</v>
      </c>
      <c r="N506">
        <f t="shared" si="96"/>
        <v>4.2600079936051163</v>
      </c>
      <c r="O506">
        <f t="shared" si="97"/>
        <v>0.56333333333333335</v>
      </c>
      <c r="P506" s="6">
        <f t="shared" si="98"/>
        <v>2.3998045030642157</v>
      </c>
      <c r="R506">
        <f t="shared" si="99"/>
        <v>0.73059999999999992</v>
      </c>
      <c r="S506" t="str">
        <f t="shared" si="101"/>
        <v>Yes</v>
      </c>
      <c r="T506" t="str">
        <f t="shared" si="100"/>
        <v>Yes</v>
      </c>
    </row>
    <row r="507" spans="1:20" x14ac:dyDescent="0.3">
      <c r="A507" s="17">
        <v>4</v>
      </c>
      <c r="B507" s="3">
        <v>2</v>
      </c>
      <c r="C507" s="3">
        <v>2</v>
      </c>
      <c r="D507" s="3">
        <v>2</v>
      </c>
      <c r="E507">
        <v>1.4</v>
      </c>
      <c r="G507">
        <v>1</v>
      </c>
      <c r="H507">
        <v>2</v>
      </c>
      <c r="I507">
        <v>3</v>
      </c>
      <c r="J507">
        <v>4</v>
      </c>
      <c r="K507">
        <v>0.67</v>
      </c>
      <c r="L507">
        <v>0.22</v>
      </c>
      <c r="M507">
        <v>0.55000000000000004</v>
      </c>
      <c r="N507">
        <f t="shared" si="96"/>
        <v>2.5</v>
      </c>
      <c r="O507">
        <f t="shared" si="97"/>
        <v>0.55999999999999994</v>
      </c>
      <c r="P507" s="6">
        <f t="shared" si="98"/>
        <v>1.4</v>
      </c>
      <c r="R507">
        <f t="shared" si="99"/>
        <v>0.79980000000000007</v>
      </c>
      <c r="S507" t="str">
        <f t="shared" si="101"/>
        <v>Yes</v>
      </c>
      <c r="T507" t="str">
        <f t="shared" si="100"/>
        <v>Yes</v>
      </c>
    </row>
    <row r="508" spans="1:20" x14ac:dyDescent="0.3">
      <c r="A508" s="17">
        <v>4</v>
      </c>
      <c r="B508" s="3">
        <v>2</v>
      </c>
      <c r="C508" s="3">
        <v>2</v>
      </c>
      <c r="D508" s="16">
        <v>3</v>
      </c>
      <c r="E508">
        <v>5.3</v>
      </c>
      <c r="G508">
        <v>6.52</v>
      </c>
      <c r="H508">
        <v>7.44</v>
      </c>
      <c r="I508">
        <v>8.5</v>
      </c>
      <c r="J508">
        <v>9.35</v>
      </c>
      <c r="K508">
        <v>0.46</v>
      </c>
      <c r="L508">
        <v>0.12</v>
      </c>
      <c r="M508">
        <v>0.22</v>
      </c>
      <c r="N508">
        <f t="shared" si="96"/>
        <v>7.9498457583547495</v>
      </c>
      <c r="O508">
        <f t="shared" si="97"/>
        <v>0.66666666666666663</v>
      </c>
      <c r="P508" s="6">
        <f t="shared" si="98"/>
        <v>5.2998971722364994</v>
      </c>
      <c r="R508">
        <f t="shared" si="99"/>
        <v>0.27439999999999998</v>
      </c>
      <c r="S508" t="str">
        <f t="shared" si="101"/>
        <v>Yes</v>
      </c>
      <c r="T508" t="str">
        <f t="shared" si="100"/>
        <v>Yes</v>
      </c>
    </row>
    <row r="509" spans="1:20" x14ac:dyDescent="0.3">
      <c r="A509" s="17">
        <v>4</v>
      </c>
      <c r="B509" s="3">
        <v>2</v>
      </c>
      <c r="C509" s="3">
        <v>2</v>
      </c>
      <c r="D509" s="17">
        <v>4</v>
      </c>
      <c r="E509">
        <v>5.2</v>
      </c>
      <c r="G509">
        <v>8.6</v>
      </c>
      <c r="H509">
        <v>9.5</v>
      </c>
      <c r="I509">
        <v>10.5</v>
      </c>
      <c r="J509">
        <v>11.4</v>
      </c>
      <c r="K509">
        <v>0.7</v>
      </c>
      <c r="L509">
        <v>0.28000000000000003</v>
      </c>
      <c r="M509">
        <v>0.57999999999999996</v>
      </c>
      <c r="N509">
        <f t="shared" si="96"/>
        <v>10.000000000000004</v>
      </c>
      <c r="O509">
        <f t="shared" si="97"/>
        <v>0.52</v>
      </c>
      <c r="P509" s="6">
        <f t="shared" si="98"/>
        <v>5.200000000000002</v>
      </c>
      <c r="R509">
        <f t="shared" si="99"/>
        <v>0.90479999999999983</v>
      </c>
      <c r="S509" t="str">
        <f t="shared" si="101"/>
        <v>Yes</v>
      </c>
      <c r="T509" t="str">
        <f t="shared" si="100"/>
        <v>Yes</v>
      </c>
    </row>
    <row r="510" spans="1:20" x14ac:dyDescent="0.3">
      <c r="A510" s="17">
        <v>4</v>
      </c>
      <c r="B510" s="3">
        <v>2</v>
      </c>
      <c r="C510" s="3">
        <v>2</v>
      </c>
      <c r="D510" s="5">
        <v>5</v>
      </c>
      <c r="E510">
        <v>1.6</v>
      </c>
      <c r="G510">
        <v>1.23</v>
      </c>
      <c r="H510">
        <v>2.2000000000000002</v>
      </c>
      <c r="I510">
        <v>3</v>
      </c>
      <c r="J510">
        <v>4</v>
      </c>
      <c r="K510">
        <v>0.45</v>
      </c>
      <c r="L510">
        <v>0.21</v>
      </c>
      <c r="M510">
        <v>0.19</v>
      </c>
      <c r="N510">
        <f t="shared" si="96"/>
        <v>2.6088795518207286</v>
      </c>
      <c r="O510">
        <f t="shared" si="97"/>
        <v>0.6133333333333334</v>
      </c>
      <c r="P510" s="6">
        <f t="shared" si="98"/>
        <v>1.6001127917833804</v>
      </c>
      <c r="R510">
        <f t="shared" si="99"/>
        <v>0.28270000000000001</v>
      </c>
      <c r="S510" t="str">
        <f t="shared" si="101"/>
        <v>Yes</v>
      </c>
      <c r="T510" t="str">
        <f t="shared" si="100"/>
        <v>Yes</v>
      </c>
    </row>
    <row r="511" spans="1:20" x14ac:dyDescent="0.3">
      <c r="A511" s="17">
        <v>4</v>
      </c>
      <c r="B511" s="3">
        <v>2</v>
      </c>
      <c r="C511" s="3">
        <v>2</v>
      </c>
      <c r="D511" s="18">
        <v>6</v>
      </c>
      <c r="E511">
        <v>3.4</v>
      </c>
      <c r="G511">
        <v>4.5</v>
      </c>
      <c r="H511">
        <v>5.6</v>
      </c>
      <c r="I511">
        <v>6.6</v>
      </c>
      <c r="J511">
        <v>7.6</v>
      </c>
      <c r="K511">
        <v>0.71</v>
      </c>
      <c r="L511">
        <v>0.46</v>
      </c>
      <c r="M511">
        <v>0.11</v>
      </c>
      <c r="N511">
        <f t="shared" si="96"/>
        <v>6.0707317073170728</v>
      </c>
      <c r="O511">
        <f t="shared" si="97"/>
        <v>0.55999999999999994</v>
      </c>
      <c r="P511" s="6">
        <f t="shared" si="98"/>
        <v>3.3996097560975604</v>
      </c>
      <c r="R511">
        <f t="shared" si="99"/>
        <v>0.7278</v>
      </c>
      <c r="S511" t="str">
        <f t="shared" si="101"/>
        <v>Yes</v>
      </c>
      <c r="T511" t="str">
        <f t="shared" si="100"/>
        <v>Yes</v>
      </c>
    </row>
    <row r="512" spans="1:20" x14ac:dyDescent="0.3">
      <c r="A512" s="17">
        <v>4</v>
      </c>
      <c r="B512" s="3">
        <v>2</v>
      </c>
      <c r="C512" s="16">
        <v>3</v>
      </c>
      <c r="D512" s="15">
        <v>1</v>
      </c>
      <c r="E512">
        <v>5.3</v>
      </c>
      <c r="G512">
        <v>6.61</v>
      </c>
      <c r="H512">
        <v>7.6</v>
      </c>
      <c r="I512">
        <v>8.52</v>
      </c>
      <c r="J512">
        <v>9.5500000000000007</v>
      </c>
      <c r="K512">
        <v>0.55000000000000004</v>
      </c>
      <c r="L512">
        <v>0.19</v>
      </c>
      <c r="M512">
        <v>0.2</v>
      </c>
      <c r="N512">
        <f t="shared" si="96"/>
        <v>8.0717443868739185</v>
      </c>
      <c r="O512">
        <f t="shared" si="97"/>
        <v>0.65666666666666662</v>
      </c>
      <c r="P512" s="6">
        <f t="shared" si="98"/>
        <v>5.300445480713873</v>
      </c>
      <c r="R512">
        <f t="shared" si="99"/>
        <v>0.37860000000000005</v>
      </c>
      <c r="S512" t="str">
        <f t="shared" si="101"/>
        <v>Yes</v>
      </c>
      <c r="T512" t="str">
        <f t="shared" si="100"/>
        <v>Yes</v>
      </c>
    </row>
    <row r="513" spans="1:20" x14ac:dyDescent="0.3">
      <c r="A513" s="17">
        <v>4</v>
      </c>
      <c r="B513" s="3">
        <v>2</v>
      </c>
      <c r="C513" s="16">
        <v>3</v>
      </c>
      <c r="D513" s="3">
        <v>2</v>
      </c>
      <c r="E513">
        <v>2.6</v>
      </c>
      <c r="G513">
        <v>4.2</v>
      </c>
      <c r="H513">
        <v>5.2</v>
      </c>
      <c r="I513">
        <v>6.2</v>
      </c>
      <c r="J513">
        <v>7.18</v>
      </c>
      <c r="K513">
        <v>0.51</v>
      </c>
      <c r="L513">
        <v>0.51</v>
      </c>
      <c r="M513">
        <v>0.12</v>
      </c>
      <c r="N513">
        <f t="shared" si="96"/>
        <v>5.6941708542713565</v>
      </c>
      <c r="O513">
        <f t="shared" si="97"/>
        <v>0.45666666666666672</v>
      </c>
      <c r="P513" s="6">
        <f t="shared" si="98"/>
        <v>2.6003380234505866</v>
      </c>
      <c r="R513">
        <f t="shared" si="99"/>
        <v>0.53459999999999996</v>
      </c>
      <c r="S513" t="str">
        <f t="shared" si="101"/>
        <v>Yes</v>
      </c>
      <c r="T513" t="str">
        <f t="shared" si="100"/>
        <v>Yes</v>
      </c>
    </row>
    <row r="514" spans="1:20" x14ac:dyDescent="0.3">
      <c r="A514" s="17">
        <v>4</v>
      </c>
      <c r="B514" s="3">
        <v>2</v>
      </c>
      <c r="C514" s="16">
        <v>3</v>
      </c>
      <c r="D514" s="16">
        <v>3</v>
      </c>
      <c r="E514">
        <v>2.5</v>
      </c>
      <c r="G514">
        <v>6</v>
      </c>
      <c r="H514">
        <v>7</v>
      </c>
      <c r="I514">
        <v>8</v>
      </c>
      <c r="J514">
        <v>9</v>
      </c>
      <c r="K514">
        <v>0.36</v>
      </c>
      <c r="L514">
        <v>0.62</v>
      </c>
      <c r="M514">
        <v>0.12</v>
      </c>
      <c r="N514">
        <f t="shared" si="96"/>
        <v>7.5</v>
      </c>
      <c r="O514">
        <f t="shared" si="97"/>
        <v>0.33333333333333331</v>
      </c>
      <c r="P514" s="6">
        <f t="shared" si="98"/>
        <v>2.5</v>
      </c>
      <c r="R514">
        <f t="shared" si="99"/>
        <v>0.52839999999999998</v>
      </c>
      <c r="S514" t="str">
        <f t="shared" si="101"/>
        <v>Yes</v>
      </c>
      <c r="T514" t="str">
        <f t="shared" si="100"/>
        <v>Yes</v>
      </c>
    </row>
    <row r="515" spans="1:20" x14ac:dyDescent="0.3">
      <c r="A515" s="17">
        <v>4</v>
      </c>
      <c r="B515" s="3">
        <v>2</v>
      </c>
      <c r="C515" s="16">
        <v>3</v>
      </c>
      <c r="D515" s="17">
        <v>4</v>
      </c>
      <c r="E515">
        <v>1.7</v>
      </c>
      <c r="G515">
        <v>1.1499999999999999</v>
      </c>
      <c r="H515">
        <v>2.1</v>
      </c>
      <c r="I515">
        <v>3.1</v>
      </c>
      <c r="J515">
        <v>4.1500000000000004</v>
      </c>
      <c r="K515">
        <v>0.67</v>
      </c>
      <c r="L515">
        <v>0.27</v>
      </c>
      <c r="M515">
        <v>0.19</v>
      </c>
      <c r="N515">
        <f t="shared" si="96"/>
        <v>2.6291666666666678</v>
      </c>
      <c r="O515">
        <f t="shared" si="97"/>
        <v>0.64666666666666661</v>
      </c>
      <c r="P515" s="6">
        <f t="shared" si="98"/>
        <v>1.700194444444445</v>
      </c>
      <c r="R515">
        <f t="shared" si="99"/>
        <v>0.55790000000000006</v>
      </c>
      <c r="S515" t="str">
        <f t="shared" si="101"/>
        <v>Yes</v>
      </c>
      <c r="T515" t="str">
        <f t="shared" si="100"/>
        <v>Yes</v>
      </c>
    </row>
    <row r="516" spans="1:20" x14ac:dyDescent="0.3">
      <c r="A516" s="17">
        <v>4</v>
      </c>
      <c r="B516" s="3">
        <v>2</v>
      </c>
      <c r="C516" s="16">
        <v>3</v>
      </c>
      <c r="D516" s="5">
        <v>5</v>
      </c>
      <c r="E516">
        <v>1.5</v>
      </c>
      <c r="G516">
        <v>1.32</v>
      </c>
      <c r="H516">
        <v>1.71</v>
      </c>
      <c r="I516">
        <v>2.69</v>
      </c>
      <c r="J516">
        <v>3.8</v>
      </c>
      <c r="K516">
        <v>0.71</v>
      </c>
      <c r="L516">
        <v>0.31</v>
      </c>
      <c r="M516">
        <v>0.22</v>
      </c>
      <c r="N516">
        <f t="shared" si="96"/>
        <v>2.4060115606936416</v>
      </c>
      <c r="O516">
        <f t="shared" si="97"/>
        <v>0.62333333333333329</v>
      </c>
      <c r="P516" s="6">
        <f t="shared" si="98"/>
        <v>1.4997472061657031</v>
      </c>
      <c r="R516">
        <f t="shared" si="99"/>
        <v>0.64859999999999995</v>
      </c>
      <c r="S516" t="str">
        <f t="shared" si="101"/>
        <v>Yes</v>
      </c>
      <c r="T516" t="str">
        <f t="shared" si="100"/>
        <v>Yes</v>
      </c>
    </row>
    <row r="517" spans="1:20" x14ac:dyDescent="0.3">
      <c r="A517" s="17">
        <v>4</v>
      </c>
      <c r="B517" s="3">
        <v>2</v>
      </c>
      <c r="C517" s="16">
        <v>3</v>
      </c>
      <c r="D517" s="18">
        <v>6</v>
      </c>
      <c r="E517">
        <v>5.6</v>
      </c>
      <c r="G517">
        <v>6.45</v>
      </c>
      <c r="H517">
        <v>7.45</v>
      </c>
      <c r="I517">
        <v>8.4499999999999993</v>
      </c>
      <c r="J517">
        <v>9.49</v>
      </c>
      <c r="K517">
        <v>0.87</v>
      </c>
      <c r="L517">
        <v>0.32</v>
      </c>
      <c r="M517">
        <v>0.12</v>
      </c>
      <c r="N517">
        <f t="shared" si="96"/>
        <v>7.961683168316835</v>
      </c>
      <c r="O517">
        <f t="shared" si="97"/>
        <v>0.70333333333333325</v>
      </c>
      <c r="P517" s="6">
        <f t="shared" si="98"/>
        <v>5.599717161716173</v>
      </c>
      <c r="R517">
        <f t="shared" si="99"/>
        <v>0.87370000000000003</v>
      </c>
      <c r="S517" t="str">
        <f t="shared" si="101"/>
        <v>Yes</v>
      </c>
      <c r="T517" t="str">
        <f t="shared" si="100"/>
        <v>Yes</v>
      </c>
    </row>
    <row r="521" spans="1:20" x14ac:dyDescent="0.3">
      <c r="A521" t="s">
        <v>73</v>
      </c>
    </row>
    <row r="522" spans="1:20" x14ac:dyDescent="0.3">
      <c r="A522" s="10" t="s">
        <v>69</v>
      </c>
    </row>
    <row r="523" spans="1:20" x14ac:dyDescent="0.3">
      <c r="A523" s="11" t="s">
        <v>162</v>
      </c>
    </row>
    <row r="524" spans="1:20" x14ac:dyDescent="0.3">
      <c r="A524" s="11" t="s">
        <v>163</v>
      </c>
    </row>
    <row r="525" spans="1:20" x14ac:dyDescent="0.3">
      <c r="A525" s="11" t="s">
        <v>164</v>
      </c>
    </row>
    <row r="526" spans="1:20" x14ac:dyDescent="0.3">
      <c r="A526" s="11" t="s">
        <v>165</v>
      </c>
    </row>
    <row r="527" spans="1:20" x14ac:dyDescent="0.3">
      <c r="A527" s="11" t="s">
        <v>166</v>
      </c>
    </row>
    <row r="529" spans="1:20" x14ac:dyDescent="0.3">
      <c r="A529" s="11" t="s">
        <v>28</v>
      </c>
      <c r="B529" t="s">
        <v>71</v>
      </c>
      <c r="C529" t="s">
        <v>72</v>
      </c>
      <c r="D529" t="s">
        <v>10</v>
      </c>
      <c r="E529" t="s">
        <v>70</v>
      </c>
      <c r="G529" s="2" t="s">
        <v>4</v>
      </c>
      <c r="H529" s="2" t="s">
        <v>5</v>
      </c>
      <c r="I529" s="2" t="s">
        <v>6</v>
      </c>
      <c r="J529" s="2" t="s">
        <v>7</v>
      </c>
      <c r="K529" s="3" t="s">
        <v>8</v>
      </c>
      <c r="L529" s="3" t="s">
        <v>9</v>
      </c>
      <c r="M529" s="3" t="s">
        <v>10</v>
      </c>
      <c r="N529" s="4" t="s">
        <v>13</v>
      </c>
      <c r="O529" s="4" t="s">
        <v>12</v>
      </c>
      <c r="P529" s="9" t="s">
        <v>11</v>
      </c>
      <c r="R529" t="s">
        <v>14</v>
      </c>
      <c r="S529" t="s">
        <v>30</v>
      </c>
      <c r="T529" t="s">
        <v>31</v>
      </c>
    </row>
    <row r="530" spans="1:20" x14ac:dyDescent="0.3">
      <c r="A530" s="15">
        <v>1</v>
      </c>
      <c r="B530" s="15">
        <v>1</v>
      </c>
      <c r="C530" s="15">
        <v>1</v>
      </c>
      <c r="D530" s="15">
        <v>1</v>
      </c>
      <c r="E530">
        <v>2.4</v>
      </c>
      <c r="G530">
        <v>3.87</v>
      </c>
      <c r="H530">
        <v>4.8099999999999996</v>
      </c>
      <c r="I530">
        <v>5.9</v>
      </c>
      <c r="J530">
        <v>6.9</v>
      </c>
      <c r="K530" s="12">
        <v>0.43</v>
      </c>
      <c r="L530" s="12">
        <v>0.32</v>
      </c>
      <c r="M530" s="12">
        <v>0.45</v>
      </c>
      <c r="N530">
        <f>((I530^2)+(I530*J530)+(J530^2)-(G530^2)-(G530*H530)-(H530^2))/(3*(J530+I530-G530-H530))</f>
        <v>5.372354368932041</v>
      </c>
      <c r="O530">
        <f>(K530-(2*L530)-M530+2)/3</f>
        <v>0.4466666666666666</v>
      </c>
      <c r="P530" s="6">
        <f>N530*O530</f>
        <v>2.3996516181229781</v>
      </c>
      <c r="R530">
        <f>K530^2+L530^2+M530^2</f>
        <v>0.48980000000000001</v>
      </c>
      <c r="S530" t="str">
        <f>IF(AND(R530&gt;=0,R530&lt;=1),"Yes","No")</f>
        <v>Yes</v>
      </c>
      <c r="T530" t="str">
        <f>IF(ROUND(P530,2)=E530,"Yes","No")</f>
        <v>Yes</v>
      </c>
    </row>
    <row r="531" spans="1:20" x14ac:dyDescent="0.3">
      <c r="A531" s="15">
        <v>1</v>
      </c>
      <c r="B531" s="15">
        <v>1</v>
      </c>
      <c r="C531" s="15">
        <v>1</v>
      </c>
      <c r="D531" s="3">
        <v>2</v>
      </c>
      <c r="E531">
        <v>6.6</v>
      </c>
      <c r="G531">
        <v>8.34</v>
      </c>
      <c r="H531">
        <v>9.48</v>
      </c>
      <c r="I531">
        <v>10.49</v>
      </c>
      <c r="J531">
        <v>11.51</v>
      </c>
      <c r="K531">
        <v>0.82</v>
      </c>
      <c r="L531">
        <v>0.35</v>
      </c>
      <c r="M531">
        <v>0.13</v>
      </c>
      <c r="N531">
        <f t="shared" ref="N531:N545" si="102">((I531^2)+(I531*J531)+(J531^2)-(G531^2)-(G531*H531)-(H531^2))/(3*(J531+I531-G531-H531))</f>
        <v>9.9498325358851734</v>
      </c>
      <c r="O531">
        <f t="shared" ref="O531:O545" si="103">(K531-(2*L531)-M531+2)/3</f>
        <v>0.66333333333333333</v>
      </c>
      <c r="P531" s="6">
        <f t="shared" ref="P531:P545" si="104">N531*O531</f>
        <v>6.6000555821371654</v>
      </c>
      <c r="R531">
        <f t="shared" ref="R531:R545" si="105">K531^2+L531^2+M531^2</f>
        <v>0.81179999999999986</v>
      </c>
      <c r="S531" t="str">
        <f t="shared" ref="S531:S594" si="106">IF(AND(R531&gt;=0,R531&lt;=1),"Yes","No")</f>
        <v>Yes</v>
      </c>
      <c r="T531" t="str">
        <f t="shared" ref="T531:T545" si="107">IF(ROUND(P531,2)=E531,"Yes","No")</f>
        <v>Yes</v>
      </c>
    </row>
    <row r="532" spans="1:20" x14ac:dyDescent="0.3">
      <c r="A532" s="15">
        <v>1</v>
      </c>
      <c r="B532" s="15">
        <v>1</v>
      </c>
      <c r="C532" s="15">
        <v>1</v>
      </c>
      <c r="D532" s="16">
        <v>3</v>
      </c>
      <c r="E532">
        <v>7.4</v>
      </c>
      <c r="G532">
        <v>7.21</v>
      </c>
      <c r="H532">
        <v>8.24</v>
      </c>
      <c r="I532">
        <v>9.27</v>
      </c>
      <c r="J532">
        <v>10.25</v>
      </c>
      <c r="K532">
        <v>0.94</v>
      </c>
      <c r="L532">
        <v>0.12</v>
      </c>
      <c r="M532">
        <v>0.16</v>
      </c>
      <c r="N532">
        <f t="shared" si="102"/>
        <v>8.7404422604422614</v>
      </c>
      <c r="O532">
        <f t="shared" si="103"/>
        <v>0.84666666666666668</v>
      </c>
      <c r="P532" s="6">
        <f t="shared" si="104"/>
        <v>7.4002411138411146</v>
      </c>
      <c r="R532">
        <f t="shared" si="105"/>
        <v>0.92359999999999987</v>
      </c>
      <c r="S532" t="str">
        <f t="shared" si="106"/>
        <v>Yes</v>
      </c>
      <c r="T532" t="str">
        <f t="shared" si="107"/>
        <v>Yes</v>
      </c>
    </row>
    <row r="533" spans="1:20" x14ac:dyDescent="0.3">
      <c r="A533" s="15">
        <v>1</v>
      </c>
      <c r="B533" s="15">
        <v>1</v>
      </c>
      <c r="C533" s="15">
        <v>1</v>
      </c>
      <c r="D533" s="17">
        <v>4</v>
      </c>
      <c r="E533">
        <v>5.8</v>
      </c>
      <c r="G533">
        <v>6.7</v>
      </c>
      <c r="H533">
        <v>7.69</v>
      </c>
      <c r="I533">
        <v>8.6300000000000008</v>
      </c>
      <c r="J533">
        <v>9.65</v>
      </c>
      <c r="K533">
        <v>0.76</v>
      </c>
      <c r="L533">
        <v>0.24</v>
      </c>
      <c r="M533">
        <v>0.15</v>
      </c>
      <c r="N533">
        <f t="shared" si="102"/>
        <v>8.1687917737789224</v>
      </c>
      <c r="O533">
        <f t="shared" si="103"/>
        <v>0.71</v>
      </c>
      <c r="P533" s="6">
        <f t="shared" si="104"/>
        <v>5.7998421593830347</v>
      </c>
      <c r="R533">
        <f t="shared" si="105"/>
        <v>0.65769999999999995</v>
      </c>
      <c r="S533" t="str">
        <f t="shared" si="106"/>
        <v>Yes</v>
      </c>
      <c r="T533" t="str">
        <f t="shared" si="107"/>
        <v>Yes</v>
      </c>
    </row>
    <row r="534" spans="1:20" x14ac:dyDescent="0.3">
      <c r="A534" s="15">
        <v>1</v>
      </c>
      <c r="B534" s="15">
        <v>1</v>
      </c>
      <c r="C534" s="15">
        <v>1</v>
      </c>
      <c r="D534" s="5">
        <v>5</v>
      </c>
      <c r="E534">
        <v>3.7</v>
      </c>
      <c r="G534">
        <v>8.01</v>
      </c>
      <c r="H534">
        <v>8.9</v>
      </c>
      <c r="I534">
        <v>9.85</v>
      </c>
      <c r="J534">
        <v>10.85</v>
      </c>
      <c r="K534">
        <v>0.49</v>
      </c>
      <c r="L534">
        <v>0.55000000000000004</v>
      </c>
      <c r="M534">
        <v>0.21</v>
      </c>
      <c r="N534">
        <f t="shared" si="102"/>
        <v>9.4070712401055392</v>
      </c>
      <c r="O534">
        <f t="shared" si="103"/>
        <v>0.39333333333333331</v>
      </c>
      <c r="P534" s="6">
        <f t="shared" si="104"/>
        <v>3.7001146877748452</v>
      </c>
      <c r="R534">
        <f t="shared" si="105"/>
        <v>0.5867</v>
      </c>
      <c r="S534" t="str">
        <f t="shared" si="106"/>
        <v>Yes</v>
      </c>
      <c r="T534" t="str">
        <f t="shared" si="107"/>
        <v>Yes</v>
      </c>
    </row>
    <row r="535" spans="1:20" x14ac:dyDescent="0.3">
      <c r="A535" s="15">
        <v>1</v>
      </c>
      <c r="B535" s="15">
        <v>1</v>
      </c>
      <c r="C535" s="15">
        <v>1</v>
      </c>
      <c r="D535" s="18">
        <v>6</v>
      </c>
      <c r="E535">
        <v>6.3</v>
      </c>
      <c r="G535">
        <v>13.15</v>
      </c>
      <c r="H535">
        <v>14.15</v>
      </c>
      <c r="I535">
        <v>15.15</v>
      </c>
      <c r="J535">
        <v>16.149999999999999</v>
      </c>
      <c r="K535">
        <v>0.41</v>
      </c>
      <c r="L535">
        <v>0.42</v>
      </c>
      <c r="M535">
        <v>0.28000000000000003</v>
      </c>
      <c r="N535">
        <f t="shared" si="102"/>
        <v>14.65</v>
      </c>
      <c r="O535">
        <f t="shared" si="103"/>
        <v>0.43</v>
      </c>
      <c r="P535" s="6">
        <f t="shared" si="104"/>
        <v>6.2995000000000001</v>
      </c>
      <c r="R535">
        <f t="shared" si="105"/>
        <v>0.42289999999999994</v>
      </c>
      <c r="S535" t="str">
        <f t="shared" si="106"/>
        <v>Yes</v>
      </c>
      <c r="T535" t="str">
        <f t="shared" si="107"/>
        <v>Yes</v>
      </c>
    </row>
    <row r="536" spans="1:20" x14ac:dyDescent="0.3">
      <c r="A536" s="15">
        <v>1</v>
      </c>
      <c r="B536" s="15">
        <v>1</v>
      </c>
      <c r="C536" s="3">
        <v>2</v>
      </c>
      <c r="D536" s="15">
        <v>1</v>
      </c>
      <c r="E536">
        <v>6.8</v>
      </c>
      <c r="G536">
        <v>15.89</v>
      </c>
      <c r="H536">
        <v>16.86</v>
      </c>
      <c r="I536">
        <v>17.7</v>
      </c>
      <c r="J536">
        <v>18.7</v>
      </c>
      <c r="K536">
        <v>0.47</v>
      </c>
      <c r="L536">
        <v>0.28000000000000003</v>
      </c>
      <c r="M536">
        <v>0.73</v>
      </c>
      <c r="N536">
        <f t="shared" si="102"/>
        <v>17.2888493150685</v>
      </c>
      <c r="O536">
        <f t="shared" si="103"/>
        <v>0.39333333333333331</v>
      </c>
      <c r="P536" s="6">
        <f t="shared" si="104"/>
        <v>6.8002807305936095</v>
      </c>
      <c r="R536">
        <f t="shared" si="105"/>
        <v>0.83219999999999994</v>
      </c>
      <c r="S536" t="str">
        <f t="shared" si="106"/>
        <v>Yes</v>
      </c>
      <c r="T536" t="str">
        <f t="shared" si="107"/>
        <v>Yes</v>
      </c>
    </row>
    <row r="537" spans="1:20" x14ac:dyDescent="0.3">
      <c r="A537" s="15">
        <v>1</v>
      </c>
      <c r="B537" s="15">
        <v>1</v>
      </c>
      <c r="C537" s="3">
        <v>2</v>
      </c>
      <c r="D537" s="3">
        <v>2</v>
      </c>
      <c r="E537">
        <v>4.5999999999999996</v>
      </c>
      <c r="G537">
        <v>11.9</v>
      </c>
      <c r="H537">
        <v>12.9</v>
      </c>
      <c r="I537">
        <v>13.89</v>
      </c>
      <c r="J537">
        <v>14.9</v>
      </c>
      <c r="K537">
        <v>0.34</v>
      </c>
      <c r="L537">
        <v>0.53</v>
      </c>
      <c r="M537">
        <v>0.25</v>
      </c>
      <c r="N537">
        <f t="shared" si="102"/>
        <v>13.397919799498746</v>
      </c>
      <c r="O537">
        <f t="shared" si="103"/>
        <v>0.34333333333333332</v>
      </c>
      <c r="P537" s="6">
        <f t="shared" si="104"/>
        <v>4.5999524644945691</v>
      </c>
      <c r="R537">
        <f t="shared" si="105"/>
        <v>0.45900000000000007</v>
      </c>
      <c r="S537" t="str">
        <f t="shared" si="106"/>
        <v>Yes</v>
      </c>
      <c r="T537" t="str">
        <f t="shared" si="107"/>
        <v>Yes</v>
      </c>
    </row>
    <row r="538" spans="1:20" x14ac:dyDescent="0.3">
      <c r="A538" s="15">
        <v>1</v>
      </c>
      <c r="B538" s="15">
        <v>1</v>
      </c>
      <c r="C538" s="3">
        <v>2</v>
      </c>
      <c r="D538" s="16">
        <v>3</v>
      </c>
      <c r="E538">
        <v>5.7</v>
      </c>
      <c r="G538">
        <v>18.45</v>
      </c>
      <c r="H538">
        <v>19.45</v>
      </c>
      <c r="I538">
        <v>20.47</v>
      </c>
      <c r="J538">
        <v>21.2</v>
      </c>
      <c r="K538">
        <v>0.38</v>
      </c>
      <c r="L538">
        <v>0.35</v>
      </c>
      <c r="M538">
        <v>0.82</v>
      </c>
      <c r="N538">
        <f t="shared" si="102"/>
        <v>19.882175066312993</v>
      </c>
      <c r="O538">
        <f t="shared" si="103"/>
        <v>0.28666666666666668</v>
      </c>
      <c r="P538" s="6">
        <f t="shared" si="104"/>
        <v>5.6995568523430578</v>
      </c>
      <c r="R538">
        <f t="shared" si="105"/>
        <v>0.9392999999999998</v>
      </c>
      <c r="S538" t="str">
        <f t="shared" si="106"/>
        <v>Yes</v>
      </c>
      <c r="T538" t="str">
        <f t="shared" si="107"/>
        <v>Yes</v>
      </c>
    </row>
    <row r="539" spans="1:20" x14ac:dyDescent="0.3">
      <c r="A539" s="15">
        <v>1</v>
      </c>
      <c r="B539" s="15">
        <v>1</v>
      </c>
      <c r="C539" s="3">
        <v>2</v>
      </c>
      <c r="D539" s="17">
        <v>4</v>
      </c>
      <c r="E539">
        <v>4.7</v>
      </c>
      <c r="G539">
        <v>11.5</v>
      </c>
      <c r="H539">
        <v>12.9</v>
      </c>
      <c r="I539">
        <v>13.9</v>
      </c>
      <c r="J539">
        <v>14.1</v>
      </c>
      <c r="K539">
        <v>0.21</v>
      </c>
      <c r="L539">
        <v>0.44</v>
      </c>
      <c r="M539">
        <v>0.25</v>
      </c>
      <c r="N539">
        <f t="shared" si="102"/>
        <v>13.055555555555554</v>
      </c>
      <c r="O539">
        <f t="shared" si="103"/>
        <v>0.36000000000000004</v>
      </c>
      <c r="P539" s="6">
        <f t="shared" si="104"/>
        <v>4.7</v>
      </c>
      <c r="R539">
        <f t="shared" si="105"/>
        <v>0.30020000000000002</v>
      </c>
      <c r="S539" t="str">
        <f t="shared" si="106"/>
        <v>Yes</v>
      </c>
      <c r="T539" t="str">
        <f t="shared" si="107"/>
        <v>Yes</v>
      </c>
    </row>
    <row r="540" spans="1:20" x14ac:dyDescent="0.3">
      <c r="A540" s="15">
        <v>1</v>
      </c>
      <c r="B540" s="15">
        <v>1</v>
      </c>
      <c r="C540" s="3">
        <v>2</v>
      </c>
      <c r="D540" s="5">
        <v>5</v>
      </c>
      <c r="E540">
        <v>3.6</v>
      </c>
      <c r="G540">
        <v>5.0199999999999996</v>
      </c>
      <c r="H540">
        <v>6</v>
      </c>
      <c r="I540">
        <v>7</v>
      </c>
      <c r="J540">
        <v>8</v>
      </c>
      <c r="K540">
        <v>0.73</v>
      </c>
      <c r="L540">
        <v>0.32</v>
      </c>
      <c r="M540">
        <v>0.43</v>
      </c>
      <c r="N540">
        <f t="shared" si="102"/>
        <v>6.5058291457286419</v>
      </c>
      <c r="O540">
        <f t="shared" si="103"/>
        <v>0.55333333333333334</v>
      </c>
      <c r="P540" s="6">
        <f t="shared" si="104"/>
        <v>3.5998921273031819</v>
      </c>
      <c r="R540">
        <f t="shared" si="105"/>
        <v>0.82019999999999993</v>
      </c>
      <c r="S540" t="str">
        <f t="shared" si="106"/>
        <v>Yes</v>
      </c>
      <c r="T540" t="str">
        <f t="shared" si="107"/>
        <v>Yes</v>
      </c>
    </row>
    <row r="541" spans="1:20" x14ac:dyDescent="0.3">
      <c r="A541" s="15">
        <v>1</v>
      </c>
      <c r="B541" s="15">
        <v>1</v>
      </c>
      <c r="C541" s="3">
        <v>2</v>
      </c>
      <c r="D541" s="18">
        <v>6</v>
      </c>
      <c r="E541">
        <v>4.7</v>
      </c>
      <c r="G541">
        <v>7.48</v>
      </c>
      <c r="H541">
        <v>8.4600000000000009</v>
      </c>
      <c r="I541">
        <v>9.48</v>
      </c>
      <c r="J541">
        <v>10.5</v>
      </c>
      <c r="K541">
        <v>0.56000000000000005</v>
      </c>
      <c r="L541">
        <v>0.23</v>
      </c>
      <c r="M541">
        <v>0.53</v>
      </c>
      <c r="N541">
        <f t="shared" si="102"/>
        <v>8.9816501650165002</v>
      </c>
      <c r="O541">
        <f t="shared" si="103"/>
        <v>0.52333333333333332</v>
      </c>
      <c r="P541" s="6">
        <f t="shared" si="104"/>
        <v>4.7003969196919684</v>
      </c>
      <c r="R541">
        <f t="shared" si="105"/>
        <v>0.64740000000000009</v>
      </c>
      <c r="S541" t="str">
        <f t="shared" si="106"/>
        <v>Yes</v>
      </c>
      <c r="T541" t="str">
        <f t="shared" si="107"/>
        <v>Yes</v>
      </c>
    </row>
    <row r="542" spans="1:20" x14ac:dyDescent="0.3">
      <c r="A542" s="15">
        <v>1</v>
      </c>
      <c r="B542" s="3">
        <v>2</v>
      </c>
      <c r="C542" s="15">
        <v>1</v>
      </c>
      <c r="D542" s="15">
        <v>1</v>
      </c>
      <c r="E542">
        <v>5.7</v>
      </c>
      <c r="G542">
        <v>10.5</v>
      </c>
      <c r="H542">
        <v>11.42</v>
      </c>
      <c r="I542">
        <v>12.5</v>
      </c>
      <c r="J542">
        <v>13.7</v>
      </c>
      <c r="K542">
        <v>0.75</v>
      </c>
      <c r="L542">
        <v>0.43</v>
      </c>
      <c r="M542">
        <v>0.47</v>
      </c>
      <c r="N542">
        <f t="shared" si="102"/>
        <v>12.041557632398753</v>
      </c>
      <c r="O542">
        <f t="shared" si="103"/>
        <v>0.47333333333333333</v>
      </c>
      <c r="P542" s="6">
        <f t="shared" si="104"/>
        <v>5.6996706126687426</v>
      </c>
      <c r="R542">
        <f t="shared" si="105"/>
        <v>0.96829999999999994</v>
      </c>
      <c r="S542" t="str">
        <f t="shared" si="106"/>
        <v>Yes</v>
      </c>
      <c r="T542" t="str">
        <f t="shared" si="107"/>
        <v>Yes</v>
      </c>
    </row>
    <row r="543" spans="1:20" x14ac:dyDescent="0.3">
      <c r="A543" s="15">
        <v>1</v>
      </c>
      <c r="B543" s="3">
        <v>2</v>
      </c>
      <c r="C543" s="15">
        <v>1</v>
      </c>
      <c r="D543" s="3">
        <v>2</v>
      </c>
      <c r="E543">
        <v>9.5</v>
      </c>
      <c r="G543">
        <v>19.96</v>
      </c>
      <c r="H543">
        <v>20.95</v>
      </c>
      <c r="I543">
        <v>21.9</v>
      </c>
      <c r="J543">
        <v>22.9</v>
      </c>
      <c r="K543">
        <v>0.38</v>
      </c>
      <c r="L543">
        <v>0.43</v>
      </c>
      <c r="M543">
        <v>0.19</v>
      </c>
      <c r="N543">
        <f t="shared" si="102"/>
        <v>21.427926306769475</v>
      </c>
      <c r="O543">
        <f t="shared" si="103"/>
        <v>0.44333333333333336</v>
      </c>
      <c r="P543" s="6">
        <f t="shared" si="104"/>
        <v>9.4997139960011339</v>
      </c>
      <c r="R543">
        <f t="shared" si="105"/>
        <v>0.3654</v>
      </c>
      <c r="S543" t="str">
        <f t="shared" si="106"/>
        <v>Yes</v>
      </c>
      <c r="T543" t="str">
        <f t="shared" si="107"/>
        <v>Yes</v>
      </c>
    </row>
    <row r="544" spans="1:20" x14ac:dyDescent="0.3">
      <c r="A544" s="15">
        <v>1</v>
      </c>
      <c r="B544" s="3">
        <v>2</v>
      </c>
      <c r="C544" s="15">
        <v>1</v>
      </c>
      <c r="D544" s="16">
        <v>3</v>
      </c>
      <c r="E544">
        <v>7.8</v>
      </c>
      <c r="G544">
        <v>15.1</v>
      </c>
      <c r="H544">
        <v>16.11</v>
      </c>
      <c r="I544">
        <v>17.100000000000001</v>
      </c>
      <c r="J544">
        <v>18.079999999999998</v>
      </c>
      <c r="K544">
        <v>0.76</v>
      </c>
      <c r="L544">
        <v>0.56000000000000005</v>
      </c>
      <c r="M544">
        <v>0.23</v>
      </c>
      <c r="N544">
        <f t="shared" si="102"/>
        <v>16.596246851385388</v>
      </c>
      <c r="O544">
        <f t="shared" si="103"/>
        <v>0.47</v>
      </c>
      <c r="P544" s="6">
        <f t="shared" si="104"/>
        <v>7.8002360201511323</v>
      </c>
      <c r="R544">
        <f t="shared" si="105"/>
        <v>0.94409999999999994</v>
      </c>
      <c r="S544" t="str">
        <f t="shared" si="106"/>
        <v>Yes</v>
      </c>
      <c r="T544" t="str">
        <f t="shared" si="107"/>
        <v>Yes</v>
      </c>
    </row>
    <row r="545" spans="1:20" x14ac:dyDescent="0.3">
      <c r="A545" s="15">
        <v>1</v>
      </c>
      <c r="B545" s="3">
        <v>2</v>
      </c>
      <c r="C545" s="15">
        <v>1</v>
      </c>
      <c r="D545" s="17">
        <v>4</v>
      </c>
      <c r="E545">
        <v>4.7</v>
      </c>
      <c r="G545">
        <v>7.1</v>
      </c>
      <c r="H545">
        <v>8.09</v>
      </c>
      <c r="I545">
        <v>9.1</v>
      </c>
      <c r="J545">
        <v>10.1</v>
      </c>
      <c r="K545">
        <v>0.65</v>
      </c>
      <c r="L545">
        <v>0.28000000000000003</v>
      </c>
      <c r="M545">
        <v>0.45</v>
      </c>
      <c r="N545">
        <f t="shared" si="102"/>
        <v>8.5979135494596832</v>
      </c>
      <c r="O545">
        <f t="shared" si="103"/>
        <v>0.54666666666666663</v>
      </c>
      <c r="P545" s="6">
        <f t="shared" si="104"/>
        <v>4.7001927403712935</v>
      </c>
      <c r="R545">
        <f t="shared" si="105"/>
        <v>0.70340000000000003</v>
      </c>
      <c r="S545" t="str">
        <f t="shared" si="106"/>
        <v>Yes</v>
      </c>
      <c r="T545" t="str">
        <f t="shared" si="107"/>
        <v>Yes</v>
      </c>
    </row>
    <row r="546" spans="1:20" x14ac:dyDescent="0.3">
      <c r="A546" s="15">
        <v>1</v>
      </c>
      <c r="B546" s="3">
        <v>2</v>
      </c>
      <c r="C546" s="15">
        <v>1</v>
      </c>
      <c r="D546" s="5">
        <v>5</v>
      </c>
      <c r="E546">
        <v>4.8</v>
      </c>
      <c r="G546">
        <v>12.05</v>
      </c>
      <c r="H546">
        <v>13.1</v>
      </c>
      <c r="I546">
        <v>14.1</v>
      </c>
      <c r="J546">
        <v>15.1</v>
      </c>
      <c r="K546">
        <v>0.18</v>
      </c>
      <c r="L546">
        <v>0.42</v>
      </c>
      <c r="M546">
        <v>0.28000000000000003</v>
      </c>
      <c r="N546">
        <f t="shared" ref="N546:N568" si="108">((I546^2)+(I546*J546)+(J546^2)-(G546^2)-(G546*H546)-(H546^2))/(3*(J546+I546-G546-H546))</f>
        <v>13.585390946502063</v>
      </c>
      <c r="O546">
        <f t="shared" ref="O546:O568" si="109">(K546-(2*L546)-M546+2)/3</f>
        <v>0.35333333333333333</v>
      </c>
      <c r="P546" s="6">
        <f t="shared" ref="P546:P568" si="110">N546*O546</f>
        <v>4.8001714677640619</v>
      </c>
      <c r="R546">
        <f t="shared" ref="R546:R568" si="111">K546^2+L546^2+M546^2</f>
        <v>0.28720000000000001</v>
      </c>
      <c r="S546" t="str">
        <f t="shared" si="106"/>
        <v>Yes</v>
      </c>
      <c r="T546" t="str">
        <f t="shared" ref="T546:T568" si="112">IF(ROUND(P546,2)=E546,"Yes","No")</f>
        <v>Yes</v>
      </c>
    </row>
    <row r="547" spans="1:20" x14ac:dyDescent="0.3">
      <c r="A547" s="15">
        <v>1</v>
      </c>
      <c r="B547" s="3">
        <v>2</v>
      </c>
      <c r="C547" s="15">
        <v>1</v>
      </c>
      <c r="D547" s="18">
        <v>6</v>
      </c>
      <c r="E547">
        <v>5.7</v>
      </c>
      <c r="G547" s="11">
        <v>7.6</v>
      </c>
      <c r="H547">
        <v>8.61</v>
      </c>
      <c r="I547">
        <v>9.68</v>
      </c>
      <c r="J547">
        <v>10.69</v>
      </c>
      <c r="K547">
        <v>0.78</v>
      </c>
      <c r="L547">
        <v>0.34</v>
      </c>
      <c r="M547">
        <v>0.23</v>
      </c>
      <c r="N547">
        <f t="shared" si="108"/>
        <v>9.1450000000000049</v>
      </c>
      <c r="O547">
        <f t="shared" si="109"/>
        <v>0.62333333333333329</v>
      </c>
      <c r="P547" s="6">
        <f t="shared" si="110"/>
        <v>5.7003833333333365</v>
      </c>
      <c r="R547">
        <f t="shared" si="111"/>
        <v>0.77690000000000015</v>
      </c>
      <c r="S547" t="str">
        <f t="shared" si="106"/>
        <v>Yes</v>
      </c>
      <c r="T547" t="str">
        <f t="shared" si="112"/>
        <v>Yes</v>
      </c>
    </row>
    <row r="548" spans="1:20" x14ac:dyDescent="0.3">
      <c r="A548" s="15">
        <v>1</v>
      </c>
      <c r="B548" s="3">
        <v>2</v>
      </c>
      <c r="C548" s="3">
        <v>2</v>
      </c>
      <c r="D548" s="15">
        <v>1</v>
      </c>
      <c r="E548">
        <v>5.7</v>
      </c>
      <c r="G548">
        <v>8.06</v>
      </c>
      <c r="H548">
        <v>9.08</v>
      </c>
      <c r="I548">
        <v>10.08</v>
      </c>
      <c r="J548">
        <v>11.01</v>
      </c>
      <c r="K548">
        <v>0.68</v>
      </c>
      <c r="L548">
        <v>0.23</v>
      </c>
      <c r="M548">
        <v>0.43</v>
      </c>
      <c r="N548">
        <f t="shared" si="108"/>
        <v>9.5537974683544338</v>
      </c>
      <c r="O548">
        <f t="shared" si="109"/>
        <v>0.59666666666666668</v>
      </c>
      <c r="P548" s="6">
        <f t="shared" si="110"/>
        <v>5.7004324894514786</v>
      </c>
      <c r="R548">
        <f t="shared" si="111"/>
        <v>0.70020000000000004</v>
      </c>
      <c r="S548" t="str">
        <f t="shared" si="106"/>
        <v>Yes</v>
      </c>
      <c r="T548" t="str">
        <f t="shared" si="112"/>
        <v>Yes</v>
      </c>
    </row>
    <row r="549" spans="1:20" x14ac:dyDescent="0.3">
      <c r="A549" s="15">
        <v>1</v>
      </c>
      <c r="B549" s="3">
        <v>2</v>
      </c>
      <c r="C549" s="3">
        <v>2</v>
      </c>
      <c r="D549" s="3">
        <v>2</v>
      </c>
      <c r="E549">
        <v>9.1999999999999993</v>
      </c>
      <c r="G549">
        <v>14.1</v>
      </c>
      <c r="H549">
        <v>15.1</v>
      </c>
      <c r="I549">
        <v>16.07</v>
      </c>
      <c r="J549">
        <v>17.100000000000001</v>
      </c>
      <c r="K549">
        <v>0.57999999999999996</v>
      </c>
      <c r="L549">
        <v>0.19</v>
      </c>
      <c r="M549">
        <v>0.43</v>
      </c>
      <c r="N549">
        <f t="shared" si="108"/>
        <v>15.593778337531493</v>
      </c>
      <c r="O549">
        <f t="shared" si="109"/>
        <v>0.59</v>
      </c>
      <c r="P549" s="6">
        <f t="shared" si="110"/>
        <v>9.2003292191435797</v>
      </c>
      <c r="R549">
        <f t="shared" si="111"/>
        <v>0.55740000000000001</v>
      </c>
      <c r="S549" t="str">
        <f t="shared" si="106"/>
        <v>Yes</v>
      </c>
      <c r="T549" t="str">
        <f t="shared" si="112"/>
        <v>Yes</v>
      </c>
    </row>
    <row r="550" spans="1:20" x14ac:dyDescent="0.3">
      <c r="A550" s="15">
        <v>1</v>
      </c>
      <c r="B550" s="3">
        <v>2</v>
      </c>
      <c r="C550" s="3">
        <v>2</v>
      </c>
      <c r="D550" s="16">
        <v>3</v>
      </c>
      <c r="E550">
        <v>7.9</v>
      </c>
      <c r="G550">
        <v>11</v>
      </c>
      <c r="H550">
        <v>12</v>
      </c>
      <c r="I550">
        <v>13.04</v>
      </c>
      <c r="J550">
        <v>14.11</v>
      </c>
      <c r="K550">
        <v>0.61</v>
      </c>
      <c r="L550">
        <v>0.27</v>
      </c>
      <c r="M550">
        <v>0.18</v>
      </c>
      <c r="N550">
        <f t="shared" si="108"/>
        <v>12.540409638554214</v>
      </c>
      <c r="O550">
        <f t="shared" si="109"/>
        <v>0.63</v>
      </c>
      <c r="P550" s="6">
        <f t="shared" si="110"/>
        <v>7.9004580722891546</v>
      </c>
      <c r="R550">
        <f t="shared" si="111"/>
        <v>0.47739999999999999</v>
      </c>
      <c r="S550" t="str">
        <f t="shared" si="106"/>
        <v>Yes</v>
      </c>
      <c r="T550" t="str">
        <f t="shared" si="112"/>
        <v>Yes</v>
      </c>
    </row>
    <row r="551" spans="1:20" x14ac:dyDescent="0.3">
      <c r="A551" s="15">
        <v>1</v>
      </c>
      <c r="B551" s="3">
        <v>2</v>
      </c>
      <c r="C551" s="3">
        <v>2</v>
      </c>
      <c r="D551" s="17">
        <v>4</v>
      </c>
      <c r="E551">
        <v>5.6</v>
      </c>
      <c r="G551">
        <v>8.5</v>
      </c>
      <c r="H551">
        <v>9.5</v>
      </c>
      <c r="I551">
        <v>10.5</v>
      </c>
      <c r="J551">
        <v>11.5</v>
      </c>
      <c r="K551">
        <v>0.69</v>
      </c>
      <c r="L551">
        <v>0.4</v>
      </c>
      <c r="M551">
        <v>0.21</v>
      </c>
      <c r="N551">
        <f t="shared" si="108"/>
        <v>10</v>
      </c>
      <c r="O551">
        <f t="shared" si="109"/>
        <v>0.55999999999999994</v>
      </c>
      <c r="P551" s="6">
        <f t="shared" si="110"/>
        <v>5.6</v>
      </c>
      <c r="R551">
        <f t="shared" si="111"/>
        <v>0.68019999999999992</v>
      </c>
      <c r="S551" t="str">
        <f t="shared" si="106"/>
        <v>Yes</v>
      </c>
      <c r="T551" t="str">
        <f t="shared" si="112"/>
        <v>Yes</v>
      </c>
    </row>
    <row r="552" spans="1:20" x14ac:dyDescent="0.3">
      <c r="A552" s="15">
        <v>1</v>
      </c>
      <c r="B552" s="3">
        <v>2</v>
      </c>
      <c r="C552" s="3">
        <v>2</v>
      </c>
      <c r="D552" s="5">
        <v>5</v>
      </c>
      <c r="E552">
        <v>6.8</v>
      </c>
      <c r="G552">
        <v>8.6</v>
      </c>
      <c r="H552">
        <v>9.61</v>
      </c>
      <c r="I552">
        <v>10.6</v>
      </c>
      <c r="J552">
        <v>11.59</v>
      </c>
      <c r="K552">
        <v>0.78</v>
      </c>
      <c r="L552">
        <v>0.22</v>
      </c>
      <c r="M552">
        <v>0.32</v>
      </c>
      <c r="N552">
        <f t="shared" si="108"/>
        <v>10.099162479061984</v>
      </c>
      <c r="O552">
        <f t="shared" si="109"/>
        <v>0.67333333333333334</v>
      </c>
      <c r="P552" s="6">
        <f t="shared" si="110"/>
        <v>6.8001027359017359</v>
      </c>
      <c r="R552">
        <f t="shared" si="111"/>
        <v>0.7592000000000001</v>
      </c>
      <c r="S552" t="str">
        <f t="shared" si="106"/>
        <v>Yes</v>
      </c>
      <c r="T552" t="str">
        <f t="shared" si="112"/>
        <v>Yes</v>
      </c>
    </row>
    <row r="553" spans="1:20" x14ac:dyDescent="0.3">
      <c r="A553" s="15">
        <v>1</v>
      </c>
      <c r="B553" s="3">
        <v>2</v>
      </c>
      <c r="C553" s="3">
        <v>2</v>
      </c>
      <c r="D553" s="18">
        <v>6</v>
      </c>
      <c r="E553">
        <v>5.8</v>
      </c>
      <c r="G553">
        <v>7.75</v>
      </c>
      <c r="H553">
        <v>8.75</v>
      </c>
      <c r="I553">
        <v>9.75</v>
      </c>
      <c r="J553">
        <v>10.6</v>
      </c>
      <c r="K553">
        <v>0.68</v>
      </c>
      <c r="L553">
        <v>0.33</v>
      </c>
      <c r="M553">
        <v>0.13</v>
      </c>
      <c r="N553">
        <f t="shared" si="108"/>
        <v>9.2064935064935014</v>
      </c>
      <c r="O553">
        <f t="shared" si="109"/>
        <v>0.63</v>
      </c>
      <c r="P553" s="6">
        <f t="shared" si="110"/>
        <v>5.8000909090909056</v>
      </c>
      <c r="R553">
        <f t="shared" si="111"/>
        <v>0.58820000000000017</v>
      </c>
      <c r="S553" t="str">
        <f t="shared" si="106"/>
        <v>Yes</v>
      </c>
      <c r="T553" t="str">
        <f t="shared" si="112"/>
        <v>Yes</v>
      </c>
    </row>
    <row r="554" spans="1:20" x14ac:dyDescent="0.3">
      <c r="A554" s="3">
        <v>2</v>
      </c>
      <c r="B554" s="15">
        <v>1</v>
      </c>
      <c r="C554" s="15">
        <v>1</v>
      </c>
      <c r="D554" s="15">
        <v>1</v>
      </c>
      <c r="E554">
        <v>5.7</v>
      </c>
      <c r="G554">
        <v>8.49</v>
      </c>
      <c r="H554">
        <v>9.1199999999999992</v>
      </c>
      <c r="I554">
        <v>10.1</v>
      </c>
      <c r="J554">
        <v>11.1</v>
      </c>
      <c r="K554">
        <v>0.54</v>
      </c>
      <c r="L554">
        <v>0.24</v>
      </c>
      <c r="M554">
        <v>0.3</v>
      </c>
      <c r="N554">
        <f t="shared" si="108"/>
        <v>9.7164995357474453</v>
      </c>
      <c r="O554">
        <f t="shared" si="109"/>
        <v>0.58666666666666667</v>
      </c>
      <c r="P554" s="6">
        <f t="shared" si="110"/>
        <v>5.7003463943051678</v>
      </c>
      <c r="R554">
        <f t="shared" si="111"/>
        <v>0.43920000000000003</v>
      </c>
      <c r="S554" t="str">
        <f t="shared" si="106"/>
        <v>Yes</v>
      </c>
      <c r="T554" t="str">
        <f t="shared" si="112"/>
        <v>Yes</v>
      </c>
    </row>
    <row r="555" spans="1:20" x14ac:dyDescent="0.3">
      <c r="A555" s="3">
        <v>2</v>
      </c>
      <c r="B555" s="15">
        <v>1</v>
      </c>
      <c r="C555" s="15">
        <v>1</v>
      </c>
      <c r="D555" s="3">
        <v>2</v>
      </c>
      <c r="E555">
        <v>3.6</v>
      </c>
      <c r="G555">
        <v>4.0599999999999996</v>
      </c>
      <c r="H555">
        <v>5.0999999999999996</v>
      </c>
      <c r="I555">
        <v>6</v>
      </c>
      <c r="J555">
        <v>7</v>
      </c>
      <c r="K555">
        <v>0.66</v>
      </c>
      <c r="L555">
        <v>0.31</v>
      </c>
      <c r="M555">
        <v>0.09</v>
      </c>
      <c r="N555">
        <f t="shared" si="108"/>
        <v>5.5382291666666656</v>
      </c>
      <c r="O555">
        <f t="shared" si="109"/>
        <v>0.65</v>
      </c>
      <c r="P555" s="6">
        <f t="shared" si="110"/>
        <v>3.5998489583333328</v>
      </c>
      <c r="R555">
        <f t="shared" si="111"/>
        <v>0.53980000000000006</v>
      </c>
      <c r="S555" t="str">
        <f t="shared" si="106"/>
        <v>Yes</v>
      </c>
      <c r="T555" t="str">
        <f t="shared" si="112"/>
        <v>Yes</v>
      </c>
    </row>
    <row r="556" spans="1:20" x14ac:dyDescent="0.3">
      <c r="A556" s="3">
        <v>2</v>
      </c>
      <c r="B556" s="15">
        <v>1</v>
      </c>
      <c r="C556" s="15">
        <v>1</v>
      </c>
      <c r="D556" s="16">
        <v>3</v>
      </c>
      <c r="E556">
        <v>7.6</v>
      </c>
      <c r="G556" s="11">
        <v>13.48</v>
      </c>
      <c r="H556">
        <v>14.48</v>
      </c>
      <c r="I556">
        <v>15.2</v>
      </c>
      <c r="J556">
        <v>16.079999999999998</v>
      </c>
      <c r="K556">
        <v>0.43</v>
      </c>
      <c r="L556">
        <v>0.25</v>
      </c>
      <c r="M556">
        <v>0.39</v>
      </c>
      <c r="N556">
        <f t="shared" si="108"/>
        <v>14.804337349397581</v>
      </c>
      <c r="O556">
        <f t="shared" si="109"/>
        <v>0.51333333333333331</v>
      </c>
      <c r="P556" s="6">
        <f t="shared" si="110"/>
        <v>7.5995598393574246</v>
      </c>
      <c r="R556">
        <f t="shared" si="111"/>
        <v>0.39949999999999997</v>
      </c>
      <c r="S556" t="str">
        <f t="shared" si="106"/>
        <v>Yes</v>
      </c>
      <c r="T556" t="str">
        <f t="shared" si="112"/>
        <v>Yes</v>
      </c>
    </row>
    <row r="557" spans="1:20" x14ac:dyDescent="0.3">
      <c r="A557" s="3">
        <v>2</v>
      </c>
      <c r="B557" s="15">
        <v>1</v>
      </c>
      <c r="C557" s="15">
        <v>1</v>
      </c>
      <c r="D557" s="17">
        <v>4</v>
      </c>
      <c r="E557">
        <v>8.5</v>
      </c>
      <c r="G557">
        <v>9.1300000000000008</v>
      </c>
      <c r="H557">
        <v>10</v>
      </c>
      <c r="I557">
        <v>11</v>
      </c>
      <c r="J557">
        <v>12</v>
      </c>
      <c r="K557">
        <v>0.92</v>
      </c>
      <c r="L557">
        <v>0.1</v>
      </c>
      <c r="M557">
        <v>0.3</v>
      </c>
      <c r="N557">
        <f t="shared" si="108"/>
        <v>10.537734711455643</v>
      </c>
      <c r="O557">
        <f t="shared" si="109"/>
        <v>0.80666666666666664</v>
      </c>
      <c r="P557" s="6">
        <f t="shared" si="110"/>
        <v>8.5004393339075524</v>
      </c>
      <c r="R557">
        <f t="shared" si="111"/>
        <v>0.94640000000000002</v>
      </c>
      <c r="S557" t="str">
        <f t="shared" si="106"/>
        <v>Yes</v>
      </c>
      <c r="T557" t="str">
        <f t="shared" si="112"/>
        <v>Yes</v>
      </c>
    </row>
    <row r="558" spans="1:20" x14ac:dyDescent="0.3">
      <c r="A558" s="3">
        <v>2</v>
      </c>
      <c r="B558" s="15">
        <v>1</v>
      </c>
      <c r="C558" s="15">
        <v>1</v>
      </c>
      <c r="D558" s="5">
        <v>5</v>
      </c>
      <c r="E558">
        <v>7.5</v>
      </c>
      <c r="G558">
        <v>10.210000000000001</v>
      </c>
      <c r="H558">
        <v>11.29</v>
      </c>
      <c r="I558">
        <v>11.8</v>
      </c>
      <c r="J558">
        <v>12.47</v>
      </c>
      <c r="K558">
        <v>0.67</v>
      </c>
      <c r="L558">
        <v>0.19</v>
      </c>
      <c r="M558">
        <v>0.32</v>
      </c>
      <c r="N558">
        <f t="shared" si="108"/>
        <v>11.420914560770157</v>
      </c>
      <c r="O558">
        <f t="shared" si="109"/>
        <v>0.65666666666666662</v>
      </c>
      <c r="P558" s="6">
        <f t="shared" si="110"/>
        <v>7.4997338949057362</v>
      </c>
      <c r="R558">
        <f t="shared" si="111"/>
        <v>0.58740000000000014</v>
      </c>
      <c r="S558" t="str">
        <f t="shared" si="106"/>
        <v>Yes</v>
      </c>
      <c r="T558" t="str">
        <f t="shared" si="112"/>
        <v>Yes</v>
      </c>
    </row>
    <row r="559" spans="1:20" x14ac:dyDescent="0.3">
      <c r="A559" s="3">
        <v>2</v>
      </c>
      <c r="B559" s="15">
        <v>1</v>
      </c>
      <c r="C559" s="15">
        <v>1</v>
      </c>
      <c r="D559" s="18">
        <v>6</v>
      </c>
      <c r="E559">
        <v>8.5</v>
      </c>
      <c r="G559">
        <v>12.3</v>
      </c>
      <c r="H559">
        <v>13.2</v>
      </c>
      <c r="I559">
        <v>14.18</v>
      </c>
      <c r="J559">
        <v>15.15</v>
      </c>
      <c r="K559">
        <v>0.56999999999999995</v>
      </c>
      <c r="L559">
        <v>0.21</v>
      </c>
      <c r="M559">
        <v>0.28999999999999998</v>
      </c>
      <c r="N559">
        <f t="shared" si="108"/>
        <v>13.710348128807668</v>
      </c>
      <c r="O559">
        <f t="shared" si="109"/>
        <v>0.62</v>
      </c>
      <c r="P559" s="6">
        <f t="shared" si="110"/>
        <v>8.5004158398607537</v>
      </c>
      <c r="R559">
        <f t="shared" si="111"/>
        <v>0.45309999999999995</v>
      </c>
      <c r="S559" t="str">
        <f t="shared" si="106"/>
        <v>Yes</v>
      </c>
      <c r="T559" t="str">
        <f t="shared" si="112"/>
        <v>Yes</v>
      </c>
    </row>
    <row r="560" spans="1:20" x14ac:dyDescent="0.3">
      <c r="A560" s="3">
        <v>2</v>
      </c>
      <c r="B560" s="15">
        <v>1</v>
      </c>
      <c r="C560" s="3">
        <v>2</v>
      </c>
      <c r="D560" s="15">
        <v>1</v>
      </c>
      <c r="E560">
        <v>5.0999999999999996</v>
      </c>
      <c r="G560">
        <v>7.43</v>
      </c>
      <c r="H560">
        <v>8.4</v>
      </c>
      <c r="I560">
        <v>9.4</v>
      </c>
      <c r="J560">
        <v>10</v>
      </c>
      <c r="K560">
        <v>0.78</v>
      </c>
      <c r="L560">
        <v>0.36</v>
      </c>
      <c r="M560">
        <v>0.32</v>
      </c>
      <c r="N560">
        <f t="shared" si="108"/>
        <v>8.7939402427637763</v>
      </c>
      <c r="O560">
        <f t="shared" si="109"/>
        <v>0.57999999999999996</v>
      </c>
      <c r="P560" s="6">
        <f t="shared" si="110"/>
        <v>5.1004853408029902</v>
      </c>
      <c r="R560">
        <f t="shared" si="111"/>
        <v>0.84040000000000004</v>
      </c>
      <c r="S560" t="str">
        <f t="shared" si="106"/>
        <v>Yes</v>
      </c>
      <c r="T560" t="str">
        <f t="shared" si="112"/>
        <v>Yes</v>
      </c>
    </row>
    <row r="561" spans="1:20" x14ac:dyDescent="0.3">
      <c r="A561" s="3">
        <v>2</v>
      </c>
      <c r="B561" s="15">
        <v>1</v>
      </c>
      <c r="C561" s="3">
        <v>2</v>
      </c>
      <c r="D561" s="3">
        <v>2</v>
      </c>
      <c r="E561">
        <v>5.3</v>
      </c>
      <c r="G561" s="11">
        <v>10.35</v>
      </c>
      <c r="H561">
        <v>11.35</v>
      </c>
      <c r="I561">
        <v>12.38</v>
      </c>
      <c r="J561">
        <v>13.38</v>
      </c>
      <c r="K561">
        <v>0.28000000000000003</v>
      </c>
      <c r="L561">
        <v>0.23</v>
      </c>
      <c r="M561">
        <v>0.48</v>
      </c>
      <c r="N561">
        <f t="shared" si="108"/>
        <v>11.864999999999997</v>
      </c>
      <c r="O561">
        <f t="shared" si="109"/>
        <v>0.44666666666666671</v>
      </c>
      <c r="P561" s="6">
        <f t="shared" si="110"/>
        <v>5.2996999999999987</v>
      </c>
      <c r="R561">
        <f t="shared" si="111"/>
        <v>0.36170000000000002</v>
      </c>
      <c r="S561" t="str">
        <f t="shared" si="106"/>
        <v>Yes</v>
      </c>
      <c r="T561" t="str">
        <f t="shared" si="112"/>
        <v>Yes</v>
      </c>
    </row>
    <row r="562" spans="1:20" x14ac:dyDescent="0.3">
      <c r="A562" s="3">
        <v>2</v>
      </c>
      <c r="B562" s="15">
        <v>1</v>
      </c>
      <c r="C562" s="3">
        <v>2</v>
      </c>
      <c r="D562" s="16">
        <v>3</v>
      </c>
      <c r="E562">
        <v>6.9</v>
      </c>
      <c r="G562">
        <v>10.23</v>
      </c>
      <c r="H562">
        <v>11.21</v>
      </c>
      <c r="I562">
        <v>12.3</v>
      </c>
      <c r="J562">
        <v>13.3</v>
      </c>
      <c r="K562">
        <v>0.54</v>
      </c>
      <c r="L562">
        <v>0.34</v>
      </c>
      <c r="M562">
        <v>0.1</v>
      </c>
      <c r="N562">
        <f t="shared" si="108"/>
        <v>11.760793269230778</v>
      </c>
      <c r="O562">
        <f t="shared" si="109"/>
        <v>0.58666666666666667</v>
      </c>
      <c r="P562" s="6">
        <f t="shared" si="110"/>
        <v>6.8996653846153899</v>
      </c>
      <c r="R562">
        <f t="shared" si="111"/>
        <v>0.41720000000000007</v>
      </c>
      <c r="S562" t="str">
        <f t="shared" si="106"/>
        <v>Yes</v>
      </c>
      <c r="T562" t="str">
        <f t="shared" si="112"/>
        <v>Yes</v>
      </c>
    </row>
    <row r="563" spans="1:20" x14ac:dyDescent="0.3">
      <c r="A563" s="3">
        <v>2</v>
      </c>
      <c r="B563" s="15">
        <v>1</v>
      </c>
      <c r="C563" s="3">
        <v>2</v>
      </c>
      <c r="D563" s="17">
        <v>4</v>
      </c>
      <c r="E563">
        <v>6.8</v>
      </c>
      <c r="G563">
        <v>8.1999999999999993</v>
      </c>
      <c r="H563">
        <v>9.1999999999999993</v>
      </c>
      <c r="I563">
        <v>10.11</v>
      </c>
      <c r="J563">
        <v>11</v>
      </c>
      <c r="K563">
        <v>0.87</v>
      </c>
      <c r="L563">
        <v>0.32</v>
      </c>
      <c r="M563">
        <v>0.11</v>
      </c>
      <c r="N563">
        <f t="shared" si="108"/>
        <v>9.6228301886792433</v>
      </c>
      <c r="O563">
        <f t="shared" si="109"/>
        <v>0.70666666666666667</v>
      </c>
      <c r="P563" s="6">
        <f t="shared" si="110"/>
        <v>6.8001333333333323</v>
      </c>
      <c r="R563">
        <f t="shared" si="111"/>
        <v>0.87140000000000006</v>
      </c>
      <c r="S563" t="str">
        <f t="shared" si="106"/>
        <v>Yes</v>
      </c>
      <c r="T563" t="str">
        <f t="shared" si="112"/>
        <v>Yes</v>
      </c>
    </row>
    <row r="564" spans="1:20" x14ac:dyDescent="0.3">
      <c r="A564" s="3">
        <v>2</v>
      </c>
      <c r="B564" s="15">
        <v>1</v>
      </c>
      <c r="C564" s="3">
        <v>2</v>
      </c>
      <c r="D564" s="5">
        <v>5</v>
      </c>
      <c r="E564">
        <v>3.7</v>
      </c>
      <c r="G564">
        <v>5.0999999999999996</v>
      </c>
      <c r="H564">
        <v>6.1</v>
      </c>
      <c r="I564">
        <v>7.09</v>
      </c>
      <c r="J564">
        <v>8</v>
      </c>
      <c r="K564">
        <v>0.68</v>
      </c>
      <c r="L564">
        <v>0.39</v>
      </c>
      <c r="M564">
        <v>0.21</v>
      </c>
      <c r="N564">
        <f t="shared" si="108"/>
        <v>6.5688174807197948</v>
      </c>
      <c r="O564">
        <f t="shared" si="109"/>
        <v>0.56333333333333335</v>
      </c>
      <c r="P564" s="6">
        <f t="shared" si="110"/>
        <v>3.700433847472151</v>
      </c>
      <c r="R564">
        <f t="shared" si="111"/>
        <v>0.65860000000000007</v>
      </c>
      <c r="S564" t="str">
        <f t="shared" si="106"/>
        <v>Yes</v>
      </c>
      <c r="T564" t="str">
        <f t="shared" si="112"/>
        <v>Yes</v>
      </c>
    </row>
    <row r="565" spans="1:20" x14ac:dyDescent="0.3">
      <c r="A565" s="3">
        <v>2</v>
      </c>
      <c r="B565" s="15">
        <v>1</v>
      </c>
      <c r="C565" s="3">
        <v>2</v>
      </c>
      <c r="D565" s="18">
        <v>6</v>
      </c>
      <c r="E565">
        <v>4.7</v>
      </c>
      <c r="G565">
        <v>6.7</v>
      </c>
      <c r="H565">
        <v>7.14</v>
      </c>
      <c r="I565">
        <v>8.3000000000000007</v>
      </c>
      <c r="J565">
        <v>9.3000000000000007</v>
      </c>
      <c r="K565">
        <v>0.75</v>
      </c>
      <c r="L565">
        <v>0.34</v>
      </c>
      <c r="M565">
        <v>0.28000000000000003</v>
      </c>
      <c r="N565">
        <f t="shared" si="108"/>
        <v>7.8778723404255322</v>
      </c>
      <c r="O565">
        <f t="shared" si="109"/>
        <v>0.59666666666666668</v>
      </c>
      <c r="P565" s="6">
        <f t="shared" si="110"/>
        <v>4.7004638297872345</v>
      </c>
      <c r="R565">
        <f t="shared" si="111"/>
        <v>0.75650000000000006</v>
      </c>
      <c r="S565" t="str">
        <f t="shared" si="106"/>
        <v>Yes</v>
      </c>
      <c r="T565" t="str">
        <f t="shared" si="112"/>
        <v>Yes</v>
      </c>
    </row>
    <row r="566" spans="1:20" x14ac:dyDescent="0.3">
      <c r="A566" s="3">
        <v>2</v>
      </c>
      <c r="B566" s="3">
        <v>2</v>
      </c>
      <c r="C566" s="15">
        <v>1</v>
      </c>
      <c r="D566" s="15">
        <v>1</v>
      </c>
      <c r="E566">
        <v>5.7</v>
      </c>
      <c r="G566">
        <v>10</v>
      </c>
      <c r="H566">
        <v>10.84</v>
      </c>
      <c r="I566">
        <v>11.66</v>
      </c>
      <c r="J566">
        <v>12.5</v>
      </c>
      <c r="K566">
        <v>0.43</v>
      </c>
      <c r="L566">
        <v>0.23</v>
      </c>
      <c r="M566">
        <v>0.45</v>
      </c>
      <c r="N566">
        <f t="shared" si="108"/>
        <v>11.249999999999998</v>
      </c>
      <c r="O566">
        <f t="shared" si="109"/>
        <v>0.50666666666666671</v>
      </c>
      <c r="P566" s="6">
        <f t="shared" si="110"/>
        <v>5.6999999999999993</v>
      </c>
      <c r="R566">
        <f t="shared" si="111"/>
        <v>0.44030000000000002</v>
      </c>
      <c r="S566" t="str">
        <f t="shared" si="106"/>
        <v>Yes</v>
      </c>
      <c r="T566" t="str">
        <f t="shared" si="112"/>
        <v>Yes</v>
      </c>
    </row>
    <row r="567" spans="1:20" x14ac:dyDescent="0.3">
      <c r="A567" s="3">
        <v>2</v>
      </c>
      <c r="B567" s="3">
        <v>2</v>
      </c>
      <c r="C567" s="15">
        <v>1</v>
      </c>
      <c r="D567" s="3">
        <v>2</v>
      </c>
      <c r="E567">
        <v>7.7</v>
      </c>
      <c r="G567">
        <v>11.08</v>
      </c>
      <c r="H567">
        <v>12.04</v>
      </c>
      <c r="I567">
        <v>13.04</v>
      </c>
      <c r="J567">
        <v>14.05</v>
      </c>
      <c r="K567">
        <v>0.48</v>
      </c>
      <c r="L567">
        <v>0.22</v>
      </c>
      <c r="M567">
        <v>0.2</v>
      </c>
      <c r="N567">
        <f t="shared" si="108"/>
        <v>12.554567590260298</v>
      </c>
      <c r="O567">
        <f t="shared" si="109"/>
        <v>0.61333333333333329</v>
      </c>
      <c r="P567" s="6">
        <f t="shared" si="110"/>
        <v>7.7001347886929823</v>
      </c>
      <c r="R567">
        <f t="shared" si="111"/>
        <v>0.31879999999999997</v>
      </c>
      <c r="S567" t="str">
        <f t="shared" si="106"/>
        <v>Yes</v>
      </c>
      <c r="T567" t="str">
        <f t="shared" si="112"/>
        <v>Yes</v>
      </c>
    </row>
    <row r="568" spans="1:20" x14ac:dyDescent="0.3">
      <c r="A568" s="3">
        <v>2</v>
      </c>
      <c r="B568" s="3">
        <v>2</v>
      </c>
      <c r="C568" s="15">
        <v>1</v>
      </c>
      <c r="D568" s="16">
        <v>3</v>
      </c>
      <c r="E568">
        <v>4.7</v>
      </c>
      <c r="G568">
        <v>7.2</v>
      </c>
      <c r="H568">
        <v>8.1</v>
      </c>
      <c r="I568">
        <v>9.09</v>
      </c>
      <c r="J568">
        <v>10</v>
      </c>
      <c r="K568">
        <v>0.73</v>
      </c>
      <c r="L568">
        <v>0.39</v>
      </c>
      <c r="M568">
        <v>0.31</v>
      </c>
      <c r="N568">
        <f t="shared" si="108"/>
        <v>8.5978979771328028</v>
      </c>
      <c r="O568">
        <f t="shared" si="109"/>
        <v>0.54666666666666663</v>
      </c>
      <c r="P568" s="6">
        <f t="shared" si="110"/>
        <v>4.7001842274992649</v>
      </c>
      <c r="R568">
        <f t="shared" si="111"/>
        <v>0.78109999999999991</v>
      </c>
      <c r="S568" t="str">
        <f t="shared" si="106"/>
        <v>Yes</v>
      </c>
      <c r="T568" t="str">
        <f t="shared" si="112"/>
        <v>Yes</v>
      </c>
    </row>
    <row r="569" spans="1:20" x14ac:dyDescent="0.3">
      <c r="A569" s="3">
        <v>2</v>
      </c>
      <c r="B569" s="3">
        <v>2</v>
      </c>
      <c r="C569" s="15">
        <v>1</v>
      </c>
      <c r="D569" s="17">
        <v>4</v>
      </c>
      <c r="E569">
        <v>8.5</v>
      </c>
      <c r="G569">
        <v>11.24</v>
      </c>
      <c r="H569">
        <v>12.22</v>
      </c>
      <c r="I569">
        <v>13.2</v>
      </c>
      <c r="J569">
        <v>14.1</v>
      </c>
      <c r="K569">
        <v>0.86</v>
      </c>
      <c r="L569">
        <v>0.27</v>
      </c>
      <c r="M569">
        <v>0.31</v>
      </c>
      <c r="N569">
        <f t="shared" ref="N569:N601" si="113">((I569^2)+(I569*J569)+(J569^2)-(G569^2)-(G569*H569)-(H569^2))/(3*(J569+I569-G569-H569))</f>
        <v>12.686736111111124</v>
      </c>
      <c r="O569">
        <f t="shared" ref="O569:O601" si="114">(K569-(2*L569)-M569+2)/3</f>
        <v>0.66999999999999993</v>
      </c>
      <c r="P569" s="6">
        <f t="shared" ref="P569:P601" si="115">N569*O569</f>
        <v>8.5001131944444523</v>
      </c>
      <c r="R569">
        <f t="shared" ref="R569:R601" si="116">K569^2+L569^2+M569^2</f>
        <v>0.90859999999999985</v>
      </c>
      <c r="S569" t="str">
        <f t="shared" si="106"/>
        <v>Yes</v>
      </c>
      <c r="T569" t="str">
        <f t="shared" ref="T569:T601" si="117">IF(ROUND(P569,2)=E569,"Yes","No")</f>
        <v>Yes</v>
      </c>
    </row>
    <row r="570" spans="1:20" x14ac:dyDescent="0.3">
      <c r="A570" s="3">
        <v>2</v>
      </c>
      <c r="B570" s="3">
        <v>2</v>
      </c>
      <c r="C570" s="15">
        <v>1</v>
      </c>
      <c r="D570" s="5">
        <v>5</v>
      </c>
      <c r="E570">
        <v>6.8</v>
      </c>
      <c r="G570">
        <v>10.6</v>
      </c>
      <c r="H570">
        <v>11.6</v>
      </c>
      <c r="I570">
        <v>12.56</v>
      </c>
      <c r="J570">
        <v>13.53</v>
      </c>
      <c r="K570">
        <v>0.76</v>
      </c>
      <c r="L570">
        <v>0.43</v>
      </c>
      <c r="M570">
        <v>0.21</v>
      </c>
      <c r="N570">
        <f t="shared" si="113"/>
        <v>12.071233933161954</v>
      </c>
      <c r="O570">
        <f t="shared" si="114"/>
        <v>0.56333333333333335</v>
      </c>
      <c r="P570" s="6">
        <f t="shared" si="115"/>
        <v>6.8001284490145677</v>
      </c>
      <c r="R570">
        <f t="shared" si="116"/>
        <v>0.80659999999999998</v>
      </c>
      <c r="S570" t="str">
        <f t="shared" si="106"/>
        <v>Yes</v>
      </c>
      <c r="T570" t="str">
        <f t="shared" si="117"/>
        <v>Yes</v>
      </c>
    </row>
    <row r="571" spans="1:20" x14ac:dyDescent="0.3">
      <c r="A571" s="3">
        <v>2</v>
      </c>
      <c r="B571" s="3">
        <v>2</v>
      </c>
      <c r="C571" s="15">
        <v>1</v>
      </c>
      <c r="D571" s="18">
        <v>6</v>
      </c>
      <c r="E571">
        <v>5.7</v>
      </c>
      <c r="G571">
        <v>8.39</v>
      </c>
      <c r="H571">
        <v>9.31</v>
      </c>
      <c r="I571">
        <v>10.3</v>
      </c>
      <c r="J571">
        <v>11.3</v>
      </c>
      <c r="K571">
        <v>0.56999999999999995</v>
      </c>
      <c r="L571">
        <v>0.21</v>
      </c>
      <c r="M571">
        <v>0.41</v>
      </c>
      <c r="N571">
        <f t="shared" si="113"/>
        <v>9.8282820512820468</v>
      </c>
      <c r="O571">
        <f t="shared" si="114"/>
        <v>0.57999999999999996</v>
      </c>
      <c r="P571" s="6">
        <f t="shared" si="115"/>
        <v>5.700403589743587</v>
      </c>
      <c r="R571">
        <f t="shared" si="116"/>
        <v>0.53709999999999991</v>
      </c>
      <c r="S571" t="str">
        <f t="shared" si="106"/>
        <v>Yes</v>
      </c>
      <c r="T571" t="str">
        <f t="shared" si="117"/>
        <v>Yes</v>
      </c>
    </row>
    <row r="572" spans="1:20" x14ac:dyDescent="0.3">
      <c r="A572" s="3">
        <v>2</v>
      </c>
      <c r="B572" s="3">
        <v>2</v>
      </c>
      <c r="C572" s="3">
        <v>2</v>
      </c>
      <c r="D572" s="15">
        <v>1</v>
      </c>
      <c r="E572">
        <v>4.5999999999999996</v>
      </c>
      <c r="G572">
        <v>15.2</v>
      </c>
      <c r="H572">
        <v>16.41</v>
      </c>
      <c r="I572">
        <v>17.600000000000001</v>
      </c>
      <c r="J572">
        <v>18.190000000000001</v>
      </c>
      <c r="K572">
        <v>0.56000000000000005</v>
      </c>
      <c r="L572">
        <v>0.81</v>
      </c>
      <c r="M572">
        <v>0.12</v>
      </c>
      <c r="N572">
        <f t="shared" si="113"/>
        <v>16.827751196172237</v>
      </c>
      <c r="O572">
        <f t="shared" si="114"/>
        <v>0.27333333333333326</v>
      </c>
      <c r="P572" s="6">
        <f t="shared" si="115"/>
        <v>4.5995853269537434</v>
      </c>
      <c r="R572">
        <f t="shared" si="116"/>
        <v>0.9841000000000002</v>
      </c>
      <c r="S572" t="str">
        <f t="shared" si="106"/>
        <v>Yes</v>
      </c>
      <c r="T572" t="str">
        <f t="shared" si="117"/>
        <v>Yes</v>
      </c>
    </row>
    <row r="573" spans="1:20" x14ac:dyDescent="0.3">
      <c r="A573" s="3">
        <v>2</v>
      </c>
      <c r="B573" s="3">
        <v>2</v>
      </c>
      <c r="C573" s="3">
        <v>2</v>
      </c>
      <c r="D573" s="3">
        <v>2</v>
      </c>
      <c r="E573">
        <v>5.6</v>
      </c>
      <c r="G573">
        <v>10.08</v>
      </c>
      <c r="H573">
        <v>11.08</v>
      </c>
      <c r="I573">
        <v>12.08</v>
      </c>
      <c r="J573">
        <v>13.1</v>
      </c>
      <c r="K573">
        <v>0.39</v>
      </c>
      <c r="L573">
        <v>0.2</v>
      </c>
      <c r="M573">
        <v>0.54</v>
      </c>
      <c r="N573">
        <f t="shared" si="113"/>
        <v>11.585837479270316</v>
      </c>
      <c r="O573">
        <f t="shared" si="114"/>
        <v>0.48333333333333334</v>
      </c>
      <c r="P573" s="6">
        <f t="shared" si="115"/>
        <v>5.5998214483139863</v>
      </c>
      <c r="R573">
        <f t="shared" si="116"/>
        <v>0.48370000000000002</v>
      </c>
      <c r="S573" t="str">
        <f t="shared" si="106"/>
        <v>Yes</v>
      </c>
      <c r="T573" t="str">
        <f t="shared" si="117"/>
        <v>Yes</v>
      </c>
    </row>
    <row r="574" spans="1:20" x14ac:dyDescent="0.3">
      <c r="A574" s="3">
        <v>2</v>
      </c>
      <c r="B574" s="3">
        <v>2</v>
      </c>
      <c r="C574" s="3">
        <v>2</v>
      </c>
      <c r="D574" s="16">
        <v>3</v>
      </c>
      <c r="E574">
        <v>4.5999999999999996</v>
      </c>
      <c r="G574">
        <v>6</v>
      </c>
      <c r="H574">
        <v>7</v>
      </c>
      <c r="I574">
        <v>8</v>
      </c>
      <c r="J574">
        <v>9</v>
      </c>
      <c r="K574">
        <v>0.54</v>
      </c>
      <c r="L574">
        <v>0.19</v>
      </c>
      <c r="M574">
        <v>0.32</v>
      </c>
      <c r="N574">
        <f t="shared" si="113"/>
        <v>7.5</v>
      </c>
      <c r="O574">
        <f t="shared" si="114"/>
        <v>0.6133333333333334</v>
      </c>
      <c r="P574" s="6">
        <f t="shared" si="115"/>
        <v>4.6000000000000005</v>
      </c>
      <c r="R574">
        <f t="shared" si="116"/>
        <v>0.43010000000000004</v>
      </c>
      <c r="S574" t="str">
        <f t="shared" si="106"/>
        <v>Yes</v>
      </c>
      <c r="T574" t="str">
        <f t="shared" si="117"/>
        <v>Yes</v>
      </c>
    </row>
    <row r="575" spans="1:20" x14ac:dyDescent="0.3">
      <c r="A575" s="3">
        <v>2</v>
      </c>
      <c r="B575" s="3">
        <v>2</v>
      </c>
      <c r="C575" s="3">
        <v>2</v>
      </c>
      <c r="D575" s="17">
        <v>4</v>
      </c>
      <c r="E575">
        <v>6.8</v>
      </c>
      <c r="G575">
        <v>9.5</v>
      </c>
      <c r="H575">
        <v>10.7</v>
      </c>
      <c r="I575">
        <v>11.7</v>
      </c>
      <c r="J575">
        <v>12.51</v>
      </c>
      <c r="K575">
        <v>0.63</v>
      </c>
      <c r="L575">
        <v>0.32</v>
      </c>
      <c r="M575">
        <v>0.15</v>
      </c>
      <c r="N575">
        <f t="shared" si="113"/>
        <v>11.08620947630922</v>
      </c>
      <c r="O575">
        <f t="shared" si="114"/>
        <v>0.6133333333333334</v>
      </c>
      <c r="P575" s="6">
        <f t="shared" si="115"/>
        <v>6.7995418121363222</v>
      </c>
      <c r="R575">
        <f t="shared" si="116"/>
        <v>0.52180000000000004</v>
      </c>
      <c r="S575" t="str">
        <f t="shared" si="106"/>
        <v>Yes</v>
      </c>
      <c r="T575" t="str">
        <f t="shared" si="117"/>
        <v>Yes</v>
      </c>
    </row>
    <row r="576" spans="1:20" x14ac:dyDescent="0.3">
      <c r="A576" s="3">
        <v>2</v>
      </c>
      <c r="B576" s="3">
        <v>2</v>
      </c>
      <c r="C576" s="3">
        <v>2</v>
      </c>
      <c r="D576" s="5">
        <v>5</v>
      </c>
      <c r="E576">
        <v>8.3000000000000007</v>
      </c>
      <c r="G576">
        <v>10.46</v>
      </c>
      <c r="H576">
        <v>11.45</v>
      </c>
      <c r="I576">
        <v>12.27</v>
      </c>
      <c r="J576">
        <v>13.25</v>
      </c>
      <c r="K576">
        <v>0.69</v>
      </c>
      <c r="L576">
        <v>0.21</v>
      </c>
      <c r="M576">
        <v>0.17</v>
      </c>
      <c r="N576">
        <f t="shared" si="113"/>
        <v>11.857045244690676</v>
      </c>
      <c r="O576">
        <f t="shared" si="114"/>
        <v>0.70000000000000007</v>
      </c>
      <c r="P576" s="6">
        <f t="shared" si="115"/>
        <v>8.2999316712834741</v>
      </c>
      <c r="R576">
        <f t="shared" si="116"/>
        <v>0.54909999999999992</v>
      </c>
      <c r="S576" t="str">
        <f t="shared" si="106"/>
        <v>Yes</v>
      </c>
      <c r="T576" t="str">
        <f t="shared" si="117"/>
        <v>Yes</v>
      </c>
    </row>
    <row r="577" spans="1:20" x14ac:dyDescent="0.3">
      <c r="A577" s="3">
        <v>2</v>
      </c>
      <c r="B577" s="3">
        <v>2</v>
      </c>
      <c r="C577" s="3">
        <v>2</v>
      </c>
      <c r="D577" s="18">
        <v>6</v>
      </c>
      <c r="E577">
        <v>7.1</v>
      </c>
      <c r="G577">
        <v>10.02</v>
      </c>
      <c r="H577">
        <v>11.03</v>
      </c>
      <c r="I577">
        <v>12.01</v>
      </c>
      <c r="J577">
        <v>13</v>
      </c>
      <c r="K577">
        <v>0.65</v>
      </c>
      <c r="L577">
        <v>0.17</v>
      </c>
      <c r="M577">
        <v>0.46</v>
      </c>
      <c r="N577">
        <f t="shared" si="113"/>
        <v>11.514158249158253</v>
      </c>
      <c r="O577">
        <f t="shared" si="114"/>
        <v>0.6166666666666667</v>
      </c>
      <c r="P577" s="6">
        <f t="shared" si="115"/>
        <v>7.1003975869809235</v>
      </c>
      <c r="R577">
        <f t="shared" si="116"/>
        <v>0.66300000000000003</v>
      </c>
      <c r="S577" t="str">
        <f t="shared" si="106"/>
        <v>Yes</v>
      </c>
      <c r="T577" t="str">
        <f t="shared" si="117"/>
        <v>Yes</v>
      </c>
    </row>
    <row r="578" spans="1:20" x14ac:dyDescent="0.3">
      <c r="A578" s="16">
        <v>3</v>
      </c>
      <c r="B578" s="15">
        <v>1</v>
      </c>
      <c r="C578" s="15">
        <v>1</v>
      </c>
      <c r="D578" s="15">
        <v>1</v>
      </c>
      <c r="E578">
        <v>6.3</v>
      </c>
      <c r="G578">
        <v>8.5</v>
      </c>
      <c r="H578">
        <v>9.5</v>
      </c>
      <c r="I578">
        <v>10.5</v>
      </c>
      <c r="J578">
        <v>11.5</v>
      </c>
      <c r="K578">
        <v>0.71</v>
      </c>
      <c r="L578">
        <v>0.25</v>
      </c>
      <c r="M578">
        <v>0.32</v>
      </c>
      <c r="N578">
        <f t="shared" si="113"/>
        <v>10</v>
      </c>
      <c r="O578">
        <f t="shared" si="114"/>
        <v>0.63</v>
      </c>
      <c r="P578" s="6">
        <f t="shared" si="115"/>
        <v>6.3</v>
      </c>
      <c r="R578">
        <f t="shared" si="116"/>
        <v>0.66900000000000004</v>
      </c>
      <c r="S578" t="str">
        <f t="shared" si="106"/>
        <v>Yes</v>
      </c>
      <c r="T578" t="str">
        <f t="shared" si="117"/>
        <v>Yes</v>
      </c>
    </row>
    <row r="579" spans="1:20" x14ac:dyDescent="0.3">
      <c r="A579" s="16">
        <v>3</v>
      </c>
      <c r="B579" s="15">
        <v>1</v>
      </c>
      <c r="C579" s="15">
        <v>1</v>
      </c>
      <c r="D579" s="3">
        <v>2</v>
      </c>
      <c r="E579">
        <v>7.5</v>
      </c>
      <c r="G579">
        <v>11</v>
      </c>
      <c r="H579">
        <v>12</v>
      </c>
      <c r="I579">
        <v>13</v>
      </c>
      <c r="J579">
        <v>14</v>
      </c>
      <c r="K579">
        <v>0.45</v>
      </c>
      <c r="L579">
        <v>0.23</v>
      </c>
      <c r="M579">
        <v>0.19</v>
      </c>
      <c r="N579">
        <f t="shared" si="113"/>
        <v>12.5</v>
      </c>
      <c r="O579">
        <f t="shared" si="114"/>
        <v>0.6</v>
      </c>
      <c r="P579" s="6">
        <f t="shared" si="115"/>
        <v>7.5</v>
      </c>
      <c r="R579">
        <f t="shared" si="116"/>
        <v>0.29150000000000004</v>
      </c>
      <c r="S579" t="str">
        <f t="shared" si="106"/>
        <v>Yes</v>
      </c>
      <c r="T579" t="str">
        <f t="shared" si="117"/>
        <v>Yes</v>
      </c>
    </row>
    <row r="580" spans="1:20" x14ac:dyDescent="0.3">
      <c r="A580" s="16">
        <v>3</v>
      </c>
      <c r="B580" s="15">
        <v>1</v>
      </c>
      <c r="C580" s="15">
        <v>1</v>
      </c>
      <c r="D580" s="16">
        <v>3</v>
      </c>
      <c r="E580">
        <v>3.6</v>
      </c>
      <c r="G580">
        <v>4.0999999999999996</v>
      </c>
      <c r="H580">
        <v>5.01</v>
      </c>
      <c r="I580">
        <v>6.02</v>
      </c>
      <c r="J580">
        <v>7.01</v>
      </c>
      <c r="K580">
        <v>0.81</v>
      </c>
      <c r="L580">
        <v>0.21</v>
      </c>
      <c r="M580">
        <v>0.44</v>
      </c>
      <c r="N580">
        <f t="shared" si="113"/>
        <v>5.538231292517005</v>
      </c>
      <c r="O580">
        <f t="shared" si="114"/>
        <v>0.65</v>
      </c>
      <c r="P580" s="6">
        <f t="shared" si="115"/>
        <v>3.5998503401360535</v>
      </c>
      <c r="R580">
        <f t="shared" si="116"/>
        <v>0.89380000000000015</v>
      </c>
      <c r="S580" t="str">
        <f t="shared" si="106"/>
        <v>Yes</v>
      </c>
      <c r="T580" t="str">
        <f t="shared" si="117"/>
        <v>Yes</v>
      </c>
    </row>
    <row r="581" spans="1:20" x14ac:dyDescent="0.3">
      <c r="A581" s="16">
        <v>3</v>
      </c>
      <c r="B581" s="15">
        <v>1</v>
      </c>
      <c r="C581" s="15">
        <v>1</v>
      </c>
      <c r="D581" s="17">
        <v>4</v>
      </c>
      <c r="E581">
        <v>2.6</v>
      </c>
      <c r="G581" s="11">
        <v>3.48</v>
      </c>
      <c r="H581">
        <v>4.22</v>
      </c>
      <c r="I581">
        <v>5.2</v>
      </c>
      <c r="J581">
        <v>6.2</v>
      </c>
      <c r="K581">
        <v>0.77</v>
      </c>
      <c r="L581">
        <v>0.28999999999999998</v>
      </c>
      <c r="M581">
        <v>0.56000000000000005</v>
      </c>
      <c r="N581">
        <f t="shared" si="113"/>
        <v>4.7851891891891896</v>
      </c>
      <c r="O581">
        <f t="shared" si="114"/>
        <v>0.54333333333333333</v>
      </c>
      <c r="P581" s="6">
        <f t="shared" si="115"/>
        <v>2.5999527927927928</v>
      </c>
      <c r="R581">
        <f t="shared" si="116"/>
        <v>0.99059999999999993</v>
      </c>
      <c r="S581" t="str">
        <f t="shared" si="106"/>
        <v>Yes</v>
      </c>
      <c r="T581" t="str">
        <f t="shared" si="117"/>
        <v>Yes</v>
      </c>
    </row>
    <row r="582" spans="1:20" x14ac:dyDescent="0.3">
      <c r="A582" s="16">
        <v>3</v>
      </c>
      <c r="B582" s="15">
        <v>1</v>
      </c>
      <c r="C582" s="15">
        <v>1</v>
      </c>
      <c r="D582" s="5">
        <v>5</v>
      </c>
      <c r="E582">
        <v>5.7</v>
      </c>
      <c r="G582">
        <v>9.5</v>
      </c>
      <c r="H582">
        <v>10.5</v>
      </c>
      <c r="I582">
        <v>11.4</v>
      </c>
      <c r="J582">
        <v>12.44</v>
      </c>
      <c r="K582">
        <v>0.67</v>
      </c>
      <c r="L582">
        <v>0.21</v>
      </c>
      <c r="M582">
        <v>0.69</v>
      </c>
      <c r="N582">
        <f t="shared" si="113"/>
        <v>10.961770833333331</v>
      </c>
      <c r="O582">
        <f t="shared" si="114"/>
        <v>0.52</v>
      </c>
      <c r="P582" s="6">
        <f t="shared" si="115"/>
        <v>5.7001208333333322</v>
      </c>
      <c r="R582">
        <f t="shared" si="116"/>
        <v>0.96909999999999996</v>
      </c>
      <c r="S582" t="str">
        <f t="shared" si="106"/>
        <v>Yes</v>
      </c>
      <c r="T582" t="str">
        <f t="shared" si="117"/>
        <v>Yes</v>
      </c>
    </row>
    <row r="583" spans="1:20" x14ac:dyDescent="0.3">
      <c r="A583" s="16">
        <v>3</v>
      </c>
      <c r="B583" s="15">
        <v>1</v>
      </c>
      <c r="C583" s="15">
        <v>1</v>
      </c>
      <c r="D583" s="18">
        <v>6</v>
      </c>
      <c r="E583">
        <v>3.6</v>
      </c>
      <c r="G583">
        <v>7.11</v>
      </c>
      <c r="H583">
        <v>8.18</v>
      </c>
      <c r="I583">
        <v>9.1999999999999993</v>
      </c>
      <c r="J583">
        <v>10.1</v>
      </c>
      <c r="K583">
        <v>0.66</v>
      </c>
      <c r="L583">
        <v>0.56000000000000005</v>
      </c>
      <c r="M583">
        <v>0.28999999999999998</v>
      </c>
      <c r="N583">
        <f t="shared" si="113"/>
        <v>8.6405403158769758</v>
      </c>
      <c r="O583">
        <f t="shared" si="114"/>
        <v>0.41666666666666669</v>
      </c>
      <c r="P583" s="6">
        <f t="shared" si="115"/>
        <v>3.6002251316154066</v>
      </c>
      <c r="R583">
        <f t="shared" si="116"/>
        <v>0.83330000000000004</v>
      </c>
      <c r="S583" t="str">
        <f t="shared" si="106"/>
        <v>Yes</v>
      </c>
      <c r="T583" t="str">
        <f t="shared" si="117"/>
        <v>Yes</v>
      </c>
    </row>
    <row r="584" spans="1:20" x14ac:dyDescent="0.3">
      <c r="A584" s="16">
        <v>3</v>
      </c>
      <c r="B584" s="15">
        <v>1</v>
      </c>
      <c r="C584" s="3">
        <v>2</v>
      </c>
      <c r="D584" s="15">
        <v>1</v>
      </c>
      <c r="E584">
        <v>3.5</v>
      </c>
      <c r="G584">
        <v>3.25</v>
      </c>
      <c r="H584">
        <v>4.2</v>
      </c>
      <c r="I584">
        <v>5.2</v>
      </c>
      <c r="J584">
        <v>6.18</v>
      </c>
      <c r="K584">
        <v>0.82</v>
      </c>
      <c r="L584">
        <v>0.19</v>
      </c>
      <c r="M584">
        <v>0.21</v>
      </c>
      <c r="N584">
        <f t="shared" si="113"/>
        <v>4.7087277353689583</v>
      </c>
      <c r="O584">
        <f t="shared" si="114"/>
        <v>0.74333333333333329</v>
      </c>
      <c r="P584" s="6">
        <f t="shared" si="115"/>
        <v>3.5001542832909256</v>
      </c>
      <c r="R584">
        <f t="shared" si="116"/>
        <v>0.75259999999999994</v>
      </c>
      <c r="S584" t="str">
        <f t="shared" si="106"/>
        <v>Yes</v>
      </c>
      <c r="T584" t="str">
        <f t="shared" si="117"/>
        <v>Yes</v>
      </c>
    </row>
    <row r="585" spans="1:20" x14ac:dyDescent="0.3">
      <c r="A585" s="16">
        <v>3</v>
      </c>
      <c r="B585" s="15">
        <v>1</v>
      </c>
      <c r="C585" s="3">
        <v>2</v>
      </c>
      <c r="D585" s="3">
        <v>2</v>
      </c>
      <c r="E585">
        <v>3.7</v>
      </c>
      <c r="G585">
        <v>9.6</v>
      </c>
      <c r="H585">
        <v>10.62</v>
      </c>
      <c r="I585">
        <v>11.58</v>
      </c>
      <c r="J585">
        <v>12.6</v>
      </c>
      <c r="K585">
        <v>0.36</v>
      </c>
      <c r="L585">
        <v>0.62</v>
      </c>
      <c r="M585">
        <v>0.12</v>
      </c>
      <c r="N585">
        <f t="shared" si="113"/>
        <v>11.099999999999994</v>
      </c>
      <c r="O585">
        <f t="shared" si="114"/>
        <v>0.33333333333333331</v>
      </c>
      <c r="P585" s="6">
        <f t="shared" si="115"/>
        <v>3.699999999999998</v>
      </c>
      <c r="R585">
        <f t="shared" si="116"/>
        <v>0.52839999999999998</v>
      </c>
      <c r="S585" t="str">
        <f t="shared" si="106"/>
        <v>Yes</v>
      </c>
      <c r="T585" t="str">
        <f t="shared" si="117"/>
        <v>Yes</v>
      </c>
    </row>
    <row r="586" spans="1:20" x14ac:dyDescent="0.3">
      <c r="A586" s="16">
        <v>3</v>
      </c>
      <c r="B586" s="15">
        <v>1</v>
      </c>
      <c r="C586" s="3">
        <v>2</v>
      </c>
      <c r="D586" s="16">
        <v>3</v>
      </c>
      <c r="E586">
        <v>8.6999999999999993</v>
      </c>
      <c r="G586">
        <v>11.11</v>
      </c>
      <c r="H586">
        <v>12.12</v>
      </c>
      <c r="I586">
        <v>13.11</v>
      </c>
      <c r="J586">
        <v>14.1</v>
      </c>
      <c r="K586">
        <v>0.87</v>
      </c>
      <c r="L586">
        <v>0.28000000000000003</v>
      </c>
      <c r="M586">
        <v>0.24</v>
      </c>
      <c r="N586">
        <f t="shared" si="113"/>
        <v>12.609162479061974</v>
      </c>
      <c r="O586">
        <f t="shared" si="114"/>
        <v>0.69</v>
      </c>
      <c r="P586" s="6">
        <f t="shared" si="115"/>
        <v>8.7003221105527615</v>
      </c>
      <c r="R586">
        <f t="shared" si="116"/>
        <v>0.89290000000000003</v>
      </c>
      <c r="S586" t="str">
        <f t="shared" si="106"/>
        <v>Yes</v>
      </c>
      <c r="T586" t="str">
        <f t="shared" si="117"/>
        <v>Yes</v>
      </c>
    </row>
    <row r="587" spans="1:20" x14ac:dyDescent="0.3">
      <c r="A587" s="16">
        <v>3</v>
      </c>
      <c r="B587" s="15">
        <v>1</v>
      </c>
      <c r="C587" s="3">
        <v>2</v>
      </c>
      <c r="D587" s="17">
        <v>4</v>
      </c>
      <c r="E587">
        <v>4.7</v>
      </c>
      <c r="G587">
        <v>11.2</v>
      </c>
      <c r="H587">
        <v>12.1</v>
      </c>
      <c r="I587">
        <v>13.01</v>
      </c>
      <c r="J587">
        <v>14.03</v>
      </c>
      <c r="K587">
        <v>0.4</v>
      </c>
      <c r="L587">
        <v>0.36</v>
      </c>
      <c r="M587">
        <v>0.56000000000000005</v>
      </c>
      <c r="N587">
        <f t="shared" si="113"/>
        <v>12.590133689839574</v>
      </c>
      <c r="O587">
        <f t="shared" si="114"/>
        <v>0.37333333333333335</v>
      </c>
      <c r="P587" s="6">
        <f t="shared" si="115"/>
        <v>4.7003165775401081</v>
      </c>
      <c r="R587">
        <f t="shared" si="116"/>
        <v>0.60320000000000007</v>
      </c>
      <c r="S587" t="str">
        <f t="shared" si="106"/>
        <v>Yes</v>
      </c>
      <c r="T587" t="str">
        <f t="shared" si="117"/>
        <v>Yes</v>
      </c>
    </row>
    <row r="588" spans="1:20" x14ac:dyDescent="0.3">
      <c r="A588" s="16">
        <v>3</v>
      </c>
      <c r="B588" s="15">
        <v>1</v>
      </c>
      <c r="C588" s="3">
        <v>2</v>
      </c>
      <c r="D588" s="5">
        <v>5</v>
      </c>
      <c r="E588">
        <v>3.7</v>
      </c>
      <c r="G588">
        <v>5.44</v>
      </c>
      <c r="H588">
        <v>6.48</v>
      </c>
      <c r="I588">
        <v>7.5</v>
      </c>
      <c r="J588">
        <v>8.66</v>
      </c>
      <c r="K588">
        <v>0.56999999999999995</v>
      </c>
      <c r="L588">
        <v>0.41</v>
      </c>
      <c r="M588">
        <v>0.17</v>
      </c>
      <c r="N588">
        <f t="shared" si="113"/>
        <v>7.025188679245284</v>
      </c>
      <c r="O588">
        <f t="shared" si="114"/>
        <v>0.52666666666666673</v>
      </c>
      <c r="P588" s="6">
        <f t="shared" si="115"/>
        <v>3.6999327044025168</v>
      </c>
      <c r="R588">
        <f t="shared" si="116"/>
        <v>0.52189999999999992</v>
      </c>
      <c r="S588" t="str">
        <f t="shared" si="106"/>
        <v>Yes</v>
      </c>
      <c r="T588" t="str">
        <f t="shared" si="117"/>
        <v>Yes</v>
      </c>
    </row>
    <row r="589" spans="1:20" x14ac:dyDescent="0.3">
      <c r="A589" s="16">
        <v>3</v>
      </c>
      <c r="B589" s="15">
        <v>1</v>
      </c>
      <c r="C589" s="3">
        <v>2</v>
      </c>
      <c r="D589" s="18">
        <v>6</v>
      </c>
      <c r="E589">
        <v>2.8</v>
      </c>
      <c r="G589">
        <v>3.1</v>
      </c>
      <c r="H589">
        <v>4.2</v>
      </c>
      <c r="I589">
        <v>5.2</v>
      </c>
      <c r="J589">
        <v>6.1</v>
      </c>
      <c r="K589">
        <v>0.56000000000000005</v>
      </c>
      <c r="L589">
        <v>0.15</v>
      </c>
      <c r="M589">
        <v>0.45</v>
      </c>
      <c r="N589">
        <f t="shared" si="113"/>
        <v>4.6416666666666657</v>
      </c>
      <c r="O589">
        <f t="shared" si="114"/>
        <v>0.60333333333333339</v>
      </c>
      <c r="P589" s="6">
        <f t="shared" si="115"/>
        <v>2.800472222222222</v>
      </c>
      <c r="R589">
        <f t="shared" si="116"/>
        <v>0.53860000000000008</v>
      </c>
      <c r="S589" t="str">
        <f t="shared" si="106"/>
        <v>Yes</v>
      </c>
      <c r="T589" t="str">
        <f t="shared" si="117"/>
        <v>Yes</v>
      </c>
    </row>
    <row r="590" spans="1:20" x14ac:dyDescent="0.3">
      <c r="A590" s="16">
        <v>3</v>
      </c>
      <c r="B590" s="3">
        <v>2</v>
      </c>
      <c r="C590" s="15">
        <v>1</v>
      </c>
      <c r="D590" s="15">
        <v>1</v>
      </c>
      <c r="E590">
        <v>4.7</v>
      </c>
      <c r="G590">
        <v>5.19</v>
      </c>
      <c r="H590">
        <v>6.2</v>
      </c>
      <c r="I590">
        <v>7.2</v>
      </c>
      <c r="J590">
        <v>8.15</v>
      </c>
      <c r="K590">
        <v>0.81</v>
      </c>
      <c r="L590">
        <v>0.28999999999999998</v>
      </c>
      <c r="M590">
        <v>0.12</v>
      </c>
      <c r="N590">
        <f t="shared" si="113"/>
        <v>6.6825252525252523</v>
      </c>
      <c r="O590">
        <f t="shared" si="114"/>
        <v>0.70333333333333348</v>
      </c>
      <c r="P590" s="6">
        <f t="shared" si="115"/>
        <v>4.700042760942762</v>
      </c>
      <c r="R590">
        <f t="shared" si="116"/>
        <v>0.75460000000000005</v>
      </c>
      <c r="S590" t="str">
        <f t="shared" si="106"/>
        <v>Yes</v>
      </c>
      <c r="T590" t="str">
        <f t="shared" si="117"/>
        <v>Yes</v>
      </c>
    </row>
    <row r="591" spans="1:20" x14ac:dyDescent="0.3">
      <c r="A591" s="16">
        <v>3</v>
      </c>
      <c r="B591" s="3">
        <v>2</v>
      </c>
      <c r="C591" s="15">
        <v>1</v>
      </c>
      <c r="D591" s="3">
        <v>2</v>
      </c>
      <c r="E591">
        <v>8.5</v>
      </c>
      <c r="G591">
        <v>15.53</v>
      </c>
      <c r="H591">
        <v>16.79</v>
      </c>
      <c r="I591">
        <v>17.57</v>
      </c>
      <c r="J591">
        <v>18.61</v>
      </c>
      <c r="K591">
        <v>0.78</v>
      </c>
      <c r="L591">
        <v>0.54</v>
      </c>
      <c r="M591">
        <v>0.21</v>
      </c>
      <c r="N591">
        <f t="shared" si="113"/>
        <v>17.114075993091543</v>
      </c>
      <c r="O591">
        <f t="shared" si="114"/>
        <v>0.49666666666666665</v>
      </c>
      <c r="P591" s="6">
        <f t="shared" si="115"/>
        <v>8.4999910765687989</v>
      </c>
      <c r="R591">
        <f t="shared" si="116"/>
        <v>0.94410000000000016</v>
      </c>
      <c r="S591" t="str">
        <f t="shared" si="106"/>
        <v>Yes</v>
      </c>
      <c r="T591" t="str">
        <f t="shared" si="117"/>
        <v>Yes</v>
      </c>
    </row>
    <row r="592" spans="1:20" x14ac:dyDescent="0.3">
      <c r="A592" s="16">
        <v>3</v>
      </c>
      <c r="B592" s="3">
        <v>2</v>
      </c>
      <c r="C592" s="15">
        <v>1</v>
      </c>
      <c r="D592" s="16">
        <v>3</v>
      </c>
      <c r="E592">
        <v>8.6999999999999993</v>
      </c>
      <c r="G592">
        <v>13.2</v>
      </c>
      <c r="H592">
        <v>14.12</v>
      </c>
      <c r="I592">
        <v>15.1</v>
      </c>
      <c r="J592">
        <v>16.2</v>
      </c>
      <c r="K592">
        <v>0.56999999999999995</v>
      </c>
      <c r="L592">
        <v>0.34</v>
      </c>
      <c r="M592">
        <v>0.11</v>
      </c>
      <c r="N592">
        <f t="shared" si="113"/>
        <v>14.662613065326633</v>
      </c>
      <c r="O592">
        <f t="shared" si="114"/>
        <v>0.59333333333333327</v>
      </c>
      <c r="P592" s="6">
        <f t="shared" si="115"/>
        <v>8.6998170854271351</v>
      </c>
      <c r="R592">
        <f t="shared" si="116"/>
        <v>0.4526</v>
      </c>
      <c r="S592" t="str">
        <f t="shared" si="106"/>
        <v>Yes</v>
      </c>
      <c r="T592" t="str">
        <f t="shared" si="117"/>
        <v>Yes</v>
      </c>
    </row>
    <row r="593" spans="1:20" x14ac:dyDescent="0.3">
      <c r="A593" s="16">
        <v>3</v>
      </c>
      <c r="B593" s="3">
        <v>2</v>
      </c>
      <c r="C593" s="15">
        <v>1</v>
      </c>
      <c r="D593" s="17">
        <v>4</v>
      </c>
      <c r="E593">
        <v>3.6</v>
      </c>
      <c r="G593" s="11">
        <v>5.17</v>
      </c>
      <c r="H593">
        <v>6.12</v>
      </c>
      <c r="I593">
        <v>7.11</v>
      </c>
      <c r="J593">
        <v>8.1</v>
      </c>
      <c r="K593">
        <v>0.48</v>
      </c>
      <c r="L593">
        <v>0.21</v>
      </c>
      <c r="M593">
        <v>0.43</v>
      </c>
      <c r="N593">
        <f t="shared" si="113"/>
        <v>6.6266496598639462</v>
      </c>
      <c r="O593">
        <f t="shared" si="114"/>
        <v>0.54333333333333333</v>
      </c>
      <c r="P593" s="6">
        <f t="shared" si="115"/>
        <v>3.6004796485260773</v>
      </c>
      <c r="R593">
        <f t="shared" si="116"/>
        <v>0.45939999999999992</v>
      </c>
      <c r="S593" t="str">
        <f t="shared" si="106"/>
        <v>Yes</v>
      </c>
      <c r="T593" t="str">
        <f t="shared" si="117"/>
        <v>Yes</v>
      </c>
    </row>
    <row r="594" spans="1:20" x14ac:dyDescent="0.3">
      <c r="A594" s="16">
        <v>3</v>
      </c>
      <c r="B594" s="3">
        <v>2</v>
      </c>
      <c r="C594" s="15">
        <v>1</v>
      </c>
      <c r="D594" s="5">
        <v>5</v>
      </c>
      <c r="E594">
        <v>6.8</v>
      </c>
      <c r="G594">
        <v>10.45</v>
      </c>
      <c r="H594">
        <v>11.44</v>
      </c>
      <c r="I594">
        <v>12.5</v>
      </c>
      <c r="J594">
        <v>13.35</v>
      </c>
      <c r="K594">
        <v>0.72</v>
      </c>
      <c r="L594">
        <v>0.45</v>
      </c>
      <c r="M594">
        <v>0.11</v>
      </c>
      <c r="N594">
        <f t="shared" si="113"/>
        <v>11.929579124579117</v>
      </c>
      <c r="O594">
        <f t="shared" si="114"/>
        <v>0.56999999999999995</v>
      </c>
      <c r="P594" s="6">
        <f t="shared" si="115"/>
        <v>6.7998601010100961</v>
      </c>
      <c r="R594">
        <f t="shared" si="116"/>
        <v>0.73299999999999998</v>
      </c>
      <c r="S594" t="str">
        <f t="shared" si="106"/>
        <v>Yes</v>
      </c>
      <c r="T594" t="str">
        <f t="shared" si="117"/>
        <v>Yes</v>
      </c>
    </row>
    <row r="595" spans="1:20" x14ac:dyDescent="0.3">
      <c r="A595" s="16">
        <v>3</v>
      </c>
      <c r="B595" s="3">
        <v>2</v>
      </c>
      <c r="C595" s="15">
        <v>1</v>
      </c>
      <c r="D595" s="18">
        <v>6</v>
      </c>
      <c r="E595">
        <v>6.7</v>
      </c>
      <c r="G595">
        <v>17.329999999999998</v>
      </c>
      <c r="H595">
        <v>18.5</v>
      </c>
      <c r="I595">
        <v>19.559999999999999</v>
      </c>
      <c r="J595">
        <v>20.5</v>
      </c>
      <c r="K595">
        <v>0.56000000000000005</v>
      </c>
      <c r="L595">
        <v>0.69</v>
      </c>
      <c r="M595">
        <v>0.12</v>
      </c>
      <c r="N595">
        <f t="shared" si="113"/>
        <v>18.962939322301004</v>
      </c>
      <c r="O595">
        <f t="shared" si="114"/>
        <v>0.35333333333333333</v>
      </c>
      <c r="P595" s="6">
        <f t="shared" si="115"/>
        <v>6.7002385605463548</v>
      </c>
      <c r="R595">
        <f t="shared" si="116"/>
        <v>0.80409999999999993</v>
      </c>
      <c r="S595" t="str">
        <f t="shared" ref="S595:S601" si="118">IF(AND(R595&gt;=0,R595&lt;=1),"Yes","No")</f>
        <v>Yes</v>
      </c>
      <c r="T595" t="str">
        <f t="shared" si="117"/>
        <v>Yes</v>
      </c>
    </row>
    <row r="596" spans="1:20" x14ac:dyDescent="0.3">
      <c r="A596" s="16">
        <v>3</v>
      </c>
      <c r="B596" s="3">
        <v>2</v>
      </c>
      <c r="C596" s="3">
        <v>2</v>
      </c>
      <c r="D596" s="15">
        <v>1</v>
      </c>
      <c r="E596">
        <v>6.7</v>
      </c>
      <c r="G596">
        <v>7.77</v>
      </c>
      <c r="H596">
        <v>8.6999999999999993</v>
      </c>
      <c r="I596">
        <v>9.6999999999999993</v>
      </c>
      <c r="J596">
        <v>10.7</v>
      </c>
      <c r="K596">
        <v>0.73</v>
      </c>
      <c r="L596">
        <v>0.25</v>
      </c>
      <c r="M596">
        <v>0.05</v>
      </c>
      <c r="N596">
        <f t="shared" si="113"/>
        <v>9.220364715860903</v>
      </c>
      <c r="O596">
        <f t="shared" si="114"/>
        <v>0.72666666666666668</v>
      </c>
      <c r="P596" s="6">
        <f t="shared" si="115"/>
        <v>6.7001316935255897</v>
      </c>
      <c r="R596">
        <f t="shared" si="116"/>
        <v>0.59789999999999988</v>
      </c>
      <c r="S596" t="str">
        <f t="shared" si="118"/>
        <v>Yes</v>
      </c>
      <c r="T596" t="str">
        <f t="shared" si="117"/>
        <v>Yes</v>
      </c>
    </row>
    <row r="597" spans="1:20" x14ac:dyDescent="0.3">
      <c r="A597" s="16">
        <v>3</v>
      </c>
      <c r="B597" s="3">
        <v>2</v>
      </c>
      <c r="C597" s="3">
        <v>2</v>
      </c>
      <c r="D597" s="3">
        <v>2</v>
      </c>
      <c r="E597">
        <v>4.7</v>
      </c>
      <c r="G597">
        <v>9.3000000000000007</v>
      </c>
      <c r="H597">
        <v>10.6</v>
      </c>
      <c r="I597">
        <v>11.75</v>
      </c>
      <c r="J597">
        <v>12.8</v>
      </c>
      <c r="K597">
        <v>0.56999999999999995</v>
      </c>
      <c r="L597">
        <v>0.38</v>
      </c>
      <c r="M597">
        <v>0.54</v>
      </c>
      <c r="N597">
        <f>((I597^2)+(I597*J597)+(J597^2)-(G597^2)-(G597*H597)-(H597^2))/(3*(J597+I597-G597-H597))</f>
        <v>11.101971326164874</v>
      </c>
      <c r="O597">
        <f>(K597-(2*L597)-M597+2)/3</f>
        <v>0.42333333333333334</v>
      </c>
      <c r="P597" s="6">
        <f t="shared" si="115"/>
        <v>4.6998345280764635</v>
      </c>
      <c r="R597">
        <f>K597^2+L597^2+M597^2</f>
        <v>0.76089999999999991</v>
      </c>
      <c r="S597" t="str">
        <f t="shared" si="118"/>
        <v>Yes</v>
      </c>
      <c r="T597" t="str">
        <f t="shared" si="117"/>
        <v>Yes</v>
      </c>
    </row>
    <row r="598" spans="1:20" x14ac:dyDescent="0.3">
      <c r="A598" s="16">
        <v>3</v>
      </c>
      <c r="B598" s="3">
        <v>2</v>
      </c>
      <c r="C598" s="3">
        <v>2</v>
      </c>
      <c r="D598" s="16">
        <v>3</v>
      </c>
      <c r="E598">
        <v>5.7</v>
      </c>
      <c r="G598">
        <v>11.4</v>
      </c>
      <c r="H598">
        <v>12.5</v>
      </c>
      <c r="I598">
        <v>13.5</v>
      </c>
      <c r="J598">
        <v>14.78</v>
      </c>
      <c r="K598">
        <v>0.56999999999999995</v>
      </c>
      <c r="L598">
        <v>0.35</v>
      </c>
      <c r="M598">
        <v>0.56000000000000005</v>
      </c>
      <c r="N598">
        <f t="shared" si="113"/>
        <v>13.053150684931493</v>
      </c>
      <c r="O598">
        <f t="shared" si="114"/>
        <v>0.4366666666666667</v>
      </c>
      <c r="P598" s="6">
        <f t="shared" si="115"/>
        <v>5.6998757990867528</v>
      </c>
      <c r="R598">
        <f t="shared" si="116"/>
        <v>0.76100000000000001</v>
      </c>
      <c r="S598" t="str">
        <f t="shared" si="118"/>
        <v>Yes</v>
      </c>
      <c r="T598" t="str">
        <f t="shared" si="117"/>
        <v>Yes</v>
      </c>
    </row>
    <row r="599" spans="1:20" x14ac:dyDescent="0.3">
      <c r="A599" s="16">
        <v>3</v>
      </c>
      <c r="B599" s="3">
        <v>2</v>
      </c>
      <c r="C599" s="3">
        <v>2</v>
      </c>
      <c r="D599" s="17">
        <v>4</v>
      </c>
      <c r="E599">
        <v>4.7</v>
      </c>
      <c r="G599">
        <v>4.54</v>
      </c>
      <c r="H599">
        <v>5.65</v>
      </c>
      <c r="I599">
        <v>6.72</v>
      </c>
      <c r="J599">
        <v>7.55</v>
      </c>
      <c r="K599">
        <v>0.76</v>
      </c>
      <c r="L599">
        <v>0.12</v>
      </c>
      <c r="M599">
        <v>0.21</v>
      </c>
      <c r="N599">
        <f t="shared" si="113"/>
        <v>6.1039052287581672</v>
      </c>
      <c r="O599">
        <f t="shared" si="114"/>
        <v>0.77</v>
      </c>
      <c r="P599" s="6">
        <f t="shared" si="115"/>
        <v>4.7000070261437887</v>
      </c>
      <c r="R599">
        <f t="shared" si="116"/>
        <v>0.6361</v>
      </c>
      <c r="S599" t="str">
        <f t="shared" si="118"/>
        <v>Yes</v>
      </c>
      <c r="T599" t="str">
        <f t="shared" si="117"/>
        <v>Yes</v>
      </c>
    </row>
    <row r="600" spans="1:20" x14ac:dyDescent="0.3">
      <c r="A600" s="16">
        <v>3</v>
      </c>
      <c r="B600" s="3">
        <v>2</v>
      </c>
      <c r="C600" s="3">
        <v>2</v>
      </c>
      <c r="D600" s="5">
        <v>5</v>
      </c>
      <c r="E600">
        <v>8.9</v>
      </c>
      <c r="G600">
        <v>12.2</v>
      </c>
      <c r="H600">
        <v>13.3</v>
      </c>
      <c r="I600">
        <v>14.4</v>
      </c>
      <c r="J600">
        <v>15.2</v>
      </c>
      <c r="K600">
        <v>0.81</v>
      </c>
      <c r="L600">
        <v>0.28000000000000003</v>
      </c>
      <c r="M600">
        <v>0.31</v>
      </c>
      <c r="N600">
        <f t="shared" si="113"/>
        <v>13.763414634146336</v>
      </c>
      <c r="O600">
        <f t="shared" si="114"/>
        <v>0.64666666666666661</v>
      </c>
      <c r="P600" s="6">
        <f t="shared" si="115"/>
        <v>8.9003414634146303</v>
      </c>
      <c r="R600">
        <f t="shared" si="116"/>
        <v>0.83060000000000012</v>
      </c>
      <c r="S600" t="str">
        <f t="shared" si="118"/>
        <v>Yes</v>
      </c>
      <c r="T600" t="str">
        <f t="shared" si="117"/>
        <v>Yes</v>
      </c>
    </row>
    <row r="601" spans="1:20" x14ac:dyDescent="0.3">
      <c r="A601" s="16">
        <v>3</v>
      </c>
      <c r="B601" s="3">
        <v>2</v>
      </c>
      <c r="C601" s="3">
        <v>2</v>
      </c>
      <c r="D601" s="18">
        <v>6</v>
      </c>
      <c r="E601">
        <v>8.5</v>
      </c>
      <c r="G601">
        <v>12.11</v>
      </c>
      <c r="H601">
        <v>13.14</v>
      </c>
      <c r="I601">
        <v>14.15</v>
      </c>
      <c r="J601">
        <v>15.15</v>
      </c>
      <c r="K601">
        <v>0.67</v>
      </c>
      <c r="L601">
        <v>0.28999999999999998</v>
      </c>
      <c r="M601">
        <v>0.22</v>
      </c>
      <c r="N601">
        <f t="shared" si="113"/>
        <v>13.636246913580246</v>
      </c>
      <c r="O601">
        <f t="shared" si="114"/>
        <v>0.62333333333333341</v>
      </c>
      <c r="P601" s="6">
        <f t="shared" si="115"/>
        <v>8.4999272427983534</v>
      </c>
      <c r="R601">
        <f t="shared" si="116"/>
        <v>0.58140000000000003</v>
      </c>
      <c r="S601" t="str">
        <f t="shared" si="118"/>
        <v>Yes</v>
      </c>
      <c r="T601" t="str">
        <f t="shared" si="117"/>
        <v>Yes</v>
      </c>
    </row>
    <row r="605" spans="1:20" x14ac:dyDescent="0.3">
      <c r="A605" t="s">
        <v>169</v>
      </c>
    </row>
    <row r="606" spans="1:20" x14ac:dyDescent="0.3">
      <c r="A606" s="10" t="s">
        <v>167</v>
      </c>
    </row>
    <row r="607" spans="1:20" x14ac:dyDescent="0.3">
      <c r="A607" s="11" t="s">
        <v>168</v>
      </c>
    </row>
    <row r="609" spans="1:18" x14ac:dyDescent="0.3">
      <c r="A609" t="s">
        <v>71</v>
      </c>
      <c r="B609" t="s">
        <v>10</v>
      </c>
      <c r="C609" t="s">
        <v>170</v>
      </c>
      <c r="E609" s="2" t="s">
        <v>4</v>
      </c>
      <c r="F609" s="2" t="s">
        <v>5</v>
      </c>
      <c r="G609" s="2" t="s">
        <v>6</v>
      </c>
      <c r="H609" s="2" t="s">
        <v>7</v>
      </c>
      <c r="I609" s="3" t="s">
        <v>8</v>
      </c>
      <c r="J609" s="3" t="s">
        <v>9</v>
      </c>
      <c r="K609" s="3" t="s">
        <v>10</v>
      </c>
      <c r="L609" s="4" t="s">
        <v>13</v>
      </c>
      <c r="M609" s="4" t="s">
        <v>12</v>
      </c>
      <c r="N609" s="9" t="s">
        <v>11</v>
      </c>
      <c r="P609" t="s">
        <v>14</v>
      </c>
      <c r="Q609" t="s">
        <v>30</v>
      </c>
      <c r="R609" t="s">
        <v>31</v>
      </c>
    </row>
    <row r="610" spans="1:18" x14ac:dyDescent="0.3">
      <c r="A610" s="15">
        <v>1</v>
      </c>
      <c r="B610" s="15">
        <v>1</v>
      </c>
      <c r="C610">
        <v>2.8</v>
      </c>
      <c r="E610" s="7">
        <v>5.0999999999999996</v>
      </c>
      <c r="F610" s="7">
        <v>6.3</v>
      </c>
      <c r="G610" s="7">
        <v>7.2</v>
      </c>
      <c r="H610" s="7">
        <v>8.3000000000000007</v>
      </c>
      <c r="I610" s="59">
        <v>0.43</v>
      </c>
      <c r="J610" s="59">
        <v>0.36</v>
      </c>
      <c r="K610" s="59">
        <v>0.46</v>
      </c>
      <c r="L610">
        <f>((G610^2)+(G610*H610)+(H610^2)-(E610^2)-(E610*F610)-(F610^2))/(3*(H610+G610-E610-F610))</f>
        <v>6.7203252032520338</v>
      </c>
      <c r="M610">
        <f>(I610-(2*J610)-K610+2)/3</f>
        <v>0.41666666666666669</v>
      </c>
      <c r="N610" s="6">
        <f>L610*M610</f>
        <v>2.800135501355014</v>
      </c>
      <c r="P610">
        <f>I610^2+J610^2+K610^2</f>
        <v>0.52610000000000001</v>
      </c>
      <c r="Q610" t="str">
        <f>IF(AND(P610&gt;=0,P610&lt;=1),"Yes","No")</f>
        <v>Yes</v>
      </c>
      <c r="R610" t="str">
        <f>IF(ROUND(N610,2)=C610,"Yes","No")</f>
        <v>Yes</v>
      </c>
    </row>
    <row r="611" spans="1:18" x14ac:dyDescent="0.3">
      <c r="A611" s="15">
        <v>1</v>
      </c>
      <c r="B611" s="3">
        <v>2</v>
      </c>
      <c r="C611">
        <v>3.3</v>
      </c>
      <c r="E611" s="7">
        <v>4.3099999999999996</v>
      </c>
      <c r="F611" s="7">
        <v>5.35</v>
      </c>
      <c r="G611" s="7">
        <v>6.4</v>
      </c>
      <c r="H611" s="7">
        <v>7.5</v>
      </c>
      <c r="I611" s="7">
        <v>0.82</v>
      </c>
      <c r="J611" s="7">
        <v>0.51</v>
      </c>
      <c r="K611" s="7">
        <v>0.12</v>
      </c>
      <c r="L611">
        <f>((G611^2)+(G611*H611)+(H611^2)-(E611^2)-(E611*F611)-(F611^2))/(3*(H611+G611-E611-F611))</f>
        <v>5.8925235849056623</v>
      </c>
      <c r="M611">
        <f>(I611-(2*J611)-K611+2)/3</f>
        <v>0.55999999999999994</v>
      </c>
      <c r="N611" s="6">
        <f t="shared" ref="N611:N621" si="119">L611*M611</f>
        <v>3.2998132075471704</v>
      </c>
      <c r="P611">
        <f>I611^2+J611^2+K611^2</f>
        <v>0.94689999999999985</v>
      </c>
      <c r="Q611" t="str">
        <f t="shared" ref="Q611:Q621" si="120">IF(AND(P611&gt;=0,P611&lt;=1),"Yes","No")</f>
        <v>Yes</v>
      </c>
      <c r="R611" t="str">
        <f>IF(ROUND(N611,2)=C611,"Yes","No")</f>
        <v>Yes</v>
      </c>
    </row>
    <row r="612" spans="1:18" x14ac:dyDescent="0.3">
      <c r="A612" s="15">
        <v>1</v>
      </c>
      <c r="B612" s="16">
        <v>3</v>
      </c>
      <c r="C612">
        <v>1.4</v>
      </c>
      <c r="E612" s="7">
        <v>1.01</v>
      </c>
      <c r="F612" s="7">
        <v>2.0099999999999998</v>
      </c>
      <c r="G612" s="60">
        <v>3.01</v>
      </c>
      <c r="H612" s="7">
        <v>3.58</v>
      </c>
      <c r="I612" s="7">
        <v>0.56999999999999995</v>
      </c>
      <c r="J612" s="7">
        <v>0.21</v>
      </c>
      <c r="K612" s="7">
        <v>0.39</v>
      </c>
      <c r="L612">
        <f>((G612^2)+(G612*H612)+(H612^2)-(E612^2)-(E612*F612)-(F612^2))/(3*(H612+G612-E612-F612))</f>
        <v>2.386741363211951</v>
      </c>
      <c r="M612">
        <f t="shared" ref="M612" si="121">(I612-(2*J612)-K612+2)/3</f>
        <v>0.58666666666666667</v>
      </c>
      <c r="N612" s="6">
        <f t="shared" si="119"/>
        <v>1.4002215997510112</v>
      </c>
      <c r="P612">
        <f t="shared" ref="P612:P621" si="122">I612^2+J612^2+K612^2</f>
        <v>0.5210999999999999</v>
      </c>
      <c r="Q612" t="str">
        <f t="shared" si="120"/>
        <v>Yes</v>
      </c>
      <c r="R612" t="str">
        <f t="shared" ref="R612:R621" si="123">IF(ROUND(N612,2)=C612,"Yes","No")</f>
        <v>Yes</v>
      </c>
    </row>
    <row r="613" spans="1:18" x14ac:dyDescent="0.3">
      <c r="A613" s="15">
        <v>1</v>
      </c>
      <c r="B613" s="17">
        <v>4</v>
      </c>
      <c r="C613">
        <v>3.7</v>
      </c>
      <c r="E613" s="7">
        <v>5.0999999999999996</v>
      </c>
      <c r="F613" s="7">
        <v>6.1</v>
      </c>
      <c r="G613" s="7">
        <v>7.09</v>
      </c>
      <c r="H613" s="7">
        <v>8</v>
      </c>
      <c r="I613" s="7">
        <v>0.68</v>
      </c>
      <c r="J613" s="7">
        <v>0.39</v>
      </c>
      <c r="K613" s="7">
        <v>0.21</v>
      </c>
      <c r="L613">
        <f>((G613^2)+(G613*H613)+(H613^2)-(E613^2)-(E613*F613)-(F613^2))/(3*(H613+G613-E613-F613))</f>
        <v>6.5688174807197948</v>
      </c>
      <c r="M613">
        <f>(I613-(2*J613)-K613+2)/3</f>
        <v>0.56333333333333335</v>
      </c>
      <c r="N613" s="6">
        <f t="shared" si="119"/>
        <v>3.700433847472151</v>
      </c>
      <c r="P613">
        <f t="shared" si="122"/>
        <v>0.65860000000000007</v>
      </c>
      <c r="Q613" t="str">
        <f t="shared" si="120"/>
        <v>Yes</v>
      </c>
      <c r="R613" t="str">
        <f t="shared" si="123"/>
        <v>Yes</v>
      </c>
    </row>
    <row r="614" spans="1:18" x14ac:dyDescent="0.3">
      <c r="A614" s="15">
        <v>1</v>
      </c>
      <c r="B614" s="5">
        <v>5</v>
      </c>
      <c r="C614">
        <v>2.7</v>
      </c>
      <c r="E614" s="7">
        <v>6.1</v>
      </c>
      <c r="F614" s="7">
        <v>7.1</v>
      </c>
      <c r="G614" s="7">
        <v>8.1</v>
      </c>
      <c r="H614" s="7">
        <v>9</v>
      </c>
      <c r="I614" s="7">
        <v>0.38</v>
      </c>
      <c r="J614" s="7">
        <v>0.47</v>
      </c>
      <c r="K614" s="7">
        <v>0.37</v>
      </c>
      <c r="L614">
        <f t="shared" ref="L614:L621" si="124">((G614^2)+(G614*H614)+(H614^2)-(E614^2)-(E614*F614)-(F614^2))/(3*(H614+G614-E614-F614))</f>
        <v>7.570940170940168</v>
      </c>
      <c r="M614">
        <f t="shared" ref="M614:M621" si="125">(I614-(2*J614)-K614+2)/3</f>
        <v>0.35666666666666669</v>
      </c>
      <c r="N614" s="6">
        <f t="shared" si="119"/>
        <v>2.7003019943019932</v>
      </c>
      <c r="P614">
        <f t="shared" si="122"/>
        <v>0.50219999999999998</v>
      </c>
      <c r="Q614" t="str">
        <f t="shared" si="120"/>
        <v>Yes</v>
      </c>
      <c r="R614" t="str">
        <f t="shared" si="123"/>
        <v>Yes</v>
      </c>
    </row>
    <row r="615" spans="1:18" x14ac:dyDescent="0.3">
      <c r="A615" s="15">
        <v>1</v>
      </c>
      <c r="B615" s="18">
        <v>6</v>
      </c>
      <c r="C615">
        <v>4.2</v>
      </c>
      <c r="E615" s="7">
        <v>4.9000000000000004</v>
      </c>
      <c r="F615" s="7">
        <v>5.7</v>
      </c>
      <c r="G615" s="7">
        <v>6.6</v>
      </c>
      <c r="H615" s="7">
        <v>7.7</v>
      </c>
      <c r="I615" s="7">
        <v>0.53</v>
      </c>
      <c r="J615" s="7">
        <v>0.05</v>
      </c>
      <c r="K615" s="7">
        <v>0.41</v>
      </c>
      <c r="L615">
        <f t="shared" si="124"/>
        <v>6.2378378378378381</v>
      </c>
      <c r="M615">
        <f t="shared" si="125"/>
        <v>0.67333333333333334</v>
      </c>
      <c r="N615" s="6">
        <f t="shared" si="119"/>
        <v>4.2001441441441445</v>
      </c>
      <c r="P615">
        <f t="shared" si="122"/>
        <v>0.45150000000000001</v>
      </c>
      <c r="Q615" t="str">
        <f t="shared" si="120"/>
        <v>Yes</v>
      </c>
      <c r="R615" t="str">
        <f t="shared" si="123"/>
        <v>Yes</v>
      </c>
    </row>
    <row r="616" spans="1:18" x14ac:dyDescent="0.3">
      <c r="A616" s="3">
        <v>2</v>
      </c>
      <c r="B616" s="15">
        <v>1</v>
      </c>
      <c r="C616">
        <v>2.2999999999999998</v>
      </c>
      <c r="E616" s="7">
        <v>2.2999999999999998</v>
      </c>
      <c r="F616" s="7">
        <v>3.4</v>
      </c>
      <c r="G616" s="7">
        <v>4.2</v>
      </c>
      <c r="H616" s="7">
        <v>5.13</v>
      </c>
      <c r="I616" s="7">
        <v>0.67</v>
      </c>
      <c r="J616" s="7">
        <v>0.21</v>
      </c>
      <c r="K616" s="7">
        <v>0.41</v>
      </c>
      <c r="L616">
        <f t="shared" si="124"/>
        <v>3.749577594123048</v>
      </c>
      <c r="M616">
        <f t="shared" si="125"/>
        <v>0.6133333333333334</v>
      </c>
      <c r="N616" s="6">
        <f t="shared" si="119"/>
        <v>2.2997409243954698</v>
      </c>
      <c r="P616">
        <f t="shared" si="122"/>
        <v>0.66110000000000002</v>
      </c>
      <c r="Q616" t="str">
        <f t="shared" si="120"/>
        <v>Yes</v>
      </c>
      <c r="R616" t="str">
        <f t="shared" si="123"/>
        <v>Yes</v>
      </c>
    </row>
    <row r="617" spans="1:18" x14ac:dyDescent="0.3">
      <c r="A617" s="3">
        <v>2</v>
      </c>
      <c r="B617" s="3">
        <v>2</v>
      </c>
      <c r="C617">
        <v>4.2</v>
      </c>
      <c r="E617" s="7">
        <v>4.9000000000000004</v>
      </c>
      <c r="F617" s="7">
        <v>5.7</v>
      </c>
      <c r="G617" s="7">
        <v>6.6</v>
      </c>
      <c r="H617" s="7">
        <v>7.7</v>
      </c>
      <c r="I617" s="7">
        <v>0.53</v>
      </c>
      <c r="J617" s="7">
        <v>0.05</v>
      </c>
      <c r="K617" s="7">
        <v>0.41</v>
      </c>
      <c r="L617">
        <f t="shared" si="124"/>
        <v>6.2378378378378381</v>
      </c>
      <c r="M617">
        <f t="shared" si="125"/>
        <v>0.67333333333333334</v>
      </c>
      <c r="N617" s="6">
        <f t="shared" si="119"/>
        <v>4.2001441441441445</v>
      </c>
      <c r="P617">
        <f t="shared" si="122"/>
        <v>0.45150000000000001</v>
      </c>
      <c r="Q617" t="str">
        <f t="shared" si="120"/>
        <v>Yes</v>
      </c>
      <c r="R617" t="str">
        <f t="shared" si="123"/>
        <v>Yes</v>
      </c>
    </row>
    <row r="618" spans="1:18" x14ac:dyDescent="0.3">
      <c r="A618" s="3">
        <v>2</v>
      </c>
      <c r="B618" s="16">
        <v>3</v>
      </c>
      <c r="C618">
        <v>3.7</v>
      </c>
      <c r="E618" s="7">
        <v>5.0999999999999996</v>
      </c>
      <c r="F618" s="7">
        <v>6.1</v>
      </c>
      <c r="G618" s="7">
        <v>7.09</v>
      </c>
      <c r="H618" s="7">
        <v>8</v>
      </c>
      <c r="I618" s="7">
        <v>0.68</v>
      </c>
      <c r="J618" s="7">
        <v>0.39</v>
      </c>
      <c r="K618" s="7">
        <v>0.21</v>
      </c>
      <c r="L618">
        <f t="shared" si="124"/>
        <v>6.5688174807197948</v>
      </c>
      <c r="M618">
        <f t="shared" si="125"/>
        <v>0.56333333333333335</v>
      </c>
      <c r="N618" s="6">
        <f t="shared" si="119"/>
        <v>3.700433847472151</v>
      </c>
      <c r="P618">
        <f t="shared" si="122"/>
        <v>0.65860000000000007</v>
      </c>
      <c r="Q618" t="str">
        <f t="shared" si="120"/>
        <v>Yes</v>
      </c>
      <c r="R618" t="str">
        <f t="shared" si="123"/>
        <v>Yes</v>
      </c>
    </row>
    <row r="619" spans="1:18" x14ac:dyDescent="0.3">
      <c r="A619" s="3">
        <v>2</v>
      </c>
      <c r="B619" s="17">
        <v>4</v>
      </c>
      <c r="C619">
        <v>3.6</v>
      </c>
      <c r="E619" s="60">
        <v>5.17</v>
      </c>
      <c r="F619" s="7">
        <v>6.12</v>
      </c>
      <c r="G619" s="7">
        <v>7.11</v>
      </c>
      <c r="H619" s="7">
        <v>8.1</v>
      </c>
      <c r="I619" s="7">
        <v>0.48</v>
      </c>
      <c r="J619" s="7">
        <v>0.21</v>
      </c>
      <c r="K619" s="7">
        <v>0.43</v>
      </c>
      <c r="L619">
        <f t="shared" si="124"/>
        <v>6.6266496598639462</v>
      </c>
      <c r="M619">
        <f t="shared" si="125"/>
        <v>0.54333333333333333</v>
      </c>
      <c r="N619" s="6">
        <f t="shared" si="119"/>
        <v>3.6004796485260773</v>
      </c>
      <c r="P619">
        <f t="shared" si="122"/>
        <v>0.45939999999999992</v>
      </c>
      <c r="Q619" t="str">
        <f t="shared" si="120"/>
        <v>Yes</v>
      </c>
      <c r="R619" t="str">
        <f t="shared" si="123"/>
        <v>Yes</v>
      </c>
    </row>
    <row r="620" spans="1:18" x14ac:dyDescent="0.3">
      <c r="A620" s="3">
        <v>2</v>
      </c>
      <c r="B620" s="5">
        <v>5</v>
      </c>
      <c r="C620">
        <v>2.6</v>
      </c>
      <c r="E620" s="7">
        <v>3.39</v>
      </c>
      <c r="F620" s="7">
        <v>4.22</v>
      </c>
      <c r="G620" s="7">
        <v>5.2</v>
      </c>
      <c r="H620" s="7">
        <v>6.49</v>
      </c>
      <c r="I620" s="7">
        <v>0.57999999999999996</v>
      </c>
      <c r="J620" s="7">
        <v>0.28000000000000003</v>
      </c>
      <c r="K620" s="7">
        <v>0.41</v>
      </c>
      <c r="L620">
        <f t="shared" si="124"/>
        <v>4.8449183006535961</v>
      </c>
      <c r="M620">
        <f t="shared" si="125"/>
        <v>0.53666666666666663</v>
      </c>
      <c r="N620" s="6">
        <f t="shared" si="119"/>
        <v>2.6001061546840964</v>
      </c>
      <c r="P620">
        <f t="shared" si="122"/>
        <v>0.58289999999999997</v>
      </c>
      <c r="Q620" t="str">
        <f t="shared" si="120"/>
        <v>Yes</v>
      </c>
      <c r="R620" t="str">
        <f t="shared" si="123"/>
        <v>Yes</v>
      </c>
    </row>
    <row r="621" spans="1:18" x14ac:dyDescent="0.3">
      <c r="A621" s="3">
        <v>2</v>
      </c>
      <c r="B621" s="18">
        <v>6</v>
      </c>
      <c r="C621">
        <v>2.4</v>
      </c>
      <c r="E621" s="7">
        <v>3.87</v>
      </c>
      <c r="F621" s="7">
        <v>4.8099999999999996</v>
      </c>
      <c r="G621" s="7">
        <v>5.9</v>
      </c>
      <c r="H621" s="7">
        <v>6.9</v>
      </c>
      <c r="I621" s="59">
        <v>0.43</v>
      </c>
      <c r="J621" s="59">
        <v>0.32</v>
      </c>
      <c r="K621" s="59">
        <v>0.45</v>
      </c>
      <c r="L621">
        <f t="shared" si="124"/>
        <v>5.372354368932041</v>
      </c>
      <c r="M621">
        <f t="shared" si="125"/>
        <v>0.4466666666666666</v>
      </c>
      <c r="N621" s="6">
        <f t="shared" si="119"/>
        <v>2.3996516181229781</v>
      </c>
      <c r="P621">
        <f t="shared" si="122"/>
        <v>0.48980000000000001</v>
      </c>
      <c r="Q621" t="str">
        <f t="shared" si="120"/>
        <v>Yes</v>
      </c>
      <c r="R621" t="str">
        <f t="shared" si="123"/>
        <v>Yes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BCAF5-AC1C-479A-97EB-E424FB48FBC6}">
  <dimension ref="A1:R192"/>
  <sheetViews>
    <sheetView topLeftCell="A172" zoomScale="91" workbookViewId="0">
      <selection activeCell="E190" sqref="E190:K190"/>
    </sheetView>
  </sheetViews>
  <sheetFormatPr defaultRowHeight="14.4" x14ac:dyDescent="0.3"/>
  <cols>
    <col min="10" max="10" width="12" customWidth="1"/>
    <col min="21" max="21" width="11.33203125" customWidth="1"/>
    <col min="22" max="22" width="10.88671875" customWidth="1"/>
    <col min="33" max="33" width="11.109375" customWidth="1"/>
  </cols>
  <sheetData>
    <row r="1" spans="1:18" x14ac:dyDescent="0.3">
      <c r="A1" s="13" t="s">
        <v>85</v>
      </c>
      <c r="B1" s="13"/>
      <c r="C1" s="13"/>
      <c r="D1" s="13"/>
    </row>
    <row r="2" spans="1:18" x14ac:dyDescent="0.3">
      <c r="A2" s="10" t="s">
        <v>74</v>
      </c>
    </row>
    <row r="4" spans="1:18" x14ac:dyDescent="0.3">
      <c r="A4" t="s">
        <v>40</v>
      </c>
      <c r="B4" t="s">
        <v>83</v>
      </c>
      <c r="D4" s="2" t="s">
        <v>4</v>
      </c>
      <c r="E4" s="2" t="s">
        <v>5</v>
      </c>
      <c r="F4" s="2" t="s">
        <v>6</v>
      </c>
      <c r="G4" s="2" t="s">
        <v>7</v>
      </c>
      <c r="H4" s="3" t="s">
        <v>8</v>
      </c>
      <c r="I4" s="3" t="s">
        <v>9</v>
      </c>
      <c r="J4" s="3" t="s">
        <v>10</v>
      </c>
      <c r="K4" s="4" t="s">
        <v>13</v>
      </c>
      <c r="L4" s="4" t="s">
        <v>12</v>
      </c>
      <c r="M4" s="5" t="s">
        <v>11</v>
      </c>
      <c r="O4" t="s">
        <v>14</v>
      </c>
      <c r="P4" t="s">
        <v>30</v>
      </c>
      <c r="Q4" t="s">
        <v>31</v>
      </c>
    </row>
    <row r="5" spans="1:18" x14ac:dyDescent="0.3">
      <c r="A5">
        <v>1</v>
      </c>
      <c r="B5">
        <v>2.2999999999999998</v>
      </c>
      <c r="D5">
        <v>2.61</v>
      </c>
      <c r="E5">
        <v>3.65</v>
      </c>
      <c r="F5">
        <v>4.42</v>
      </c>
      <c r="G5">
        <v>5.62</v>
      </c>
      <c r="H5">
        <v>0.46</v>
      </c>
      <c r="I5">
        <v>0.11</v>
      </c>
      <c r="J5">
        <v>0.55000000000000004</v>
      </c>
      <c r="K5">
        <f>((F5^2)+(F5*G5)+(G5^2)-(D5^2)-(D5*E5)-(E5^2))/(3*(G5+F5-D5-E5))</f>
        <v>4.0829012345679017</v>
      </c>
      <c r="L5">
        <f>(H5-(2*I5)-J5+2)/3</f>
        <v>0.56333333333333335</v>
      </c>
      <c r="M5" s="6">
        <f>K5*L5</f>
        <v>2.3000343621399182</v>
      </c>
      <c r="O5">
        <f>H5^2+I5^2+J5^2</f>
        <v>0.5262</v>
      </c>
      <c r="P5" t="str">
        <f>IF(AND(O5&gt;=0,O5&lt;=1),"Yes","No")</f>
        <v>Yes</v>
      </c>
      <c r="Q5" t="str">
        <f>IF(ROUND(M5,2)=B5,"Yes","No")</f>
        <v>Yes</v>
      </c>
    </row>
    <row r="6" spans="1:18" x14ac:dyDescent="0.3">
      <c r="A6" s="1">
        <v>2</v>
      </c>
      <c r="B6">
        <v>2.4</v>
      </c>
      <c r="D6">
        <v>2.5</v>
      </c>
      <c r="E6">
        <v>3.5</v>
      </c>
      <c r="F6">
        <v>4.2</v>
      </c>
      <c r="G6">
        <v>5.13</v>
      </c>
      <c r="H6">
        <v>0.83</v>
      </c>
      <c r="I6">
        <v>0.31</v>
      </c>
      <c r="J6">
        <v>0.33</v>
      </c>
      <c r="K6">
        <f t="shared" ref="K6:K7" si="0">((F6^2)+(F6*G6)+(G6^2)-(D6^2)-(D6*E6)-(E6^2))/(3*(G6+F6-D6-E6))</f>
        <v>3.8291191191191185</v>
      </c>
      <c r="L6">
        <f t="shared" ref="L6:L7" si="1">(H6-(2*I6)-J6+2)/3</f>
        <v>0.62666666666666659</v>
      </c>
      <c r="M6" s="6">
        <f t="shared" ref="M6:M7" si="2">K6*L6</f>
        <v>2.3995813146479805</v>
      </c>
      <c r="O6">
        <f t="shared" ref="O6:O7" si="3">H6^2+I6^2+J6^2</f>
        <v>0.89389999999999992</v>
      </c>
      <c r="P6" t="str">
        <f t="shared" ref="P6:P7" si="4">IF(AND(O6&gt;=0,O6&lt;=1),"Yes","No")</f>
        <v>Yes</v>
      </c>
      <c r="Q6" t="str">
        <f t="shared" ref="Q6:Q7" si="5">IF(ROUND(M6,2)=B6,"Yes","No")</f>
        <v>Yes</v>
      </c>
    </row>
    <row r="7" spans="1:18" x14ac:dyDescent="0.3">
      <c r="A7">
        <v>3</v>
      </c>
      <c r="B7">
        <v>1.3</v>
      </c>
      <c r="D7">
        <v>1.1000000000000001</v>
      </c>
      <c r="E7">
        <v>2.1</v>
      </c>
      <c r="F7">
        <v>3.05</v>
      </c>
      <c r="G7">
        <v>4.0199999999999996</v>
      </c>
      <c r="H7">
        <v>0.64</v>
      </c>
      <c r="I7">
        <v>0.28000000000000003</v>
      </c>
      <c r="J7">
        <v>0.56000000000000005</v>
      </c>
      <c r="K7">
        <f t="shared" si="0"/>
        <v>2.5662273901808788</v>
      </c>
      <c r="L7">
        <f t="shared" si="1"/>
        <v>0.50666666666666671</v>
      </c>
      <c r="M7" s="6">
        <f t="shared" si="2"/>
        <v>1.3002218776916454</v>
      </c>
      <c r="O7">
        <f t="shared" si="3"/>
        <v>0.80160000000000009</v>
      </c>
      <c r="P7" t="str">
        <f t="shared" si="4"/>
        <v>Yes</v>
      </c>
      <c r="Q7" t="str">
        <f t="shared" si="5"/>
        <v>Yes</v>
      </c>
    </row>
    <row r="8" spans="1:18" x14ac:dyDescent="0.3">
      <c r="M8" s="6"/>
    </row>
    <row r="9" spans="1:18" x14ac:dyDescent="0.3">
      <c r="M9" s="6"/>
    </row>
    <row r="10" spans="1:18" x14ac:dyDescent="0.3">
      <c r="D10" s="13"/>
      <c r="E10" s="13"/>
      <c r="F10" s="13"/>
      <c r="G10" s="13"/>
    </row>
    <row r="11" spans="1:18" x14ac:dyDescent="0.3">
      <c r="A11" t="s">
        <v>86</v>
      </c>
      <c r="M11" s="14"/>
    </row>
    <row r="12" spans="1:18" x14ac:dyDescent="0.3">
      <c r="A12" s="10" t="s">
        <v>75</v>
      </c>
      <c r="M12" s="14"/>
    </row>
    <row r="13" spans="1:18" x14ac:dyDescent="0.3">
      <c r="A13" s="11" t="s">
        <v>76</v>
      </c>
      <c r="M13" s="14"/>
    </row>
    <row r="14" spans="1:18" x14ac:dyDescent="0.3">
      <c r="A14" s="11" t="s">
        <v>77</v>
      </c>
      <c r="M14" s="14"/>
    </row>
    <row r="16" spans="1:18" x14ac:dyDescent="0.3">
      <c r="A16" t="s">
        <v>55</v>
      </c>
      <c r="B16" t="s">
        <v>10</v>
      </c>
      <c r="C16" t="s">
        <v>84</v>
      </c>
      <c r="E16" s="2" t="s">
        <v>4</v>
      </c>
      <c r="F16" s="2" t="s">
        <v>5</v>
      </c>
      <c r="G16" s="2" t="s">
        <v>6</v>
      </c>
      <c r="H16" s="2" t="s">
        <v>7</v>
      </c>
      <c r="I16" s="3" t="s">
        <v>8</v>
      </c>
      <c r="J16" s="3" t="s">
        <v>9</v>
      </c>
      <c r="K16" s="3" t="s">
        <v>10</v>
      </c>
      <c r="L16" s="4" t="s">
        <v>13</v>
      </c>
      <c r="M16" s="4" t="s">
        <v>12</v>
      </c>
      <c r="N16" s="5" t="s">
        <v>11</v>
      </c>
      <c r="P16" t="s">
        <v>14</v>
      </c>
      <c r="Q16" t="s">
        <v>30</v>
      </c>
      <c r="R16" t="s">
        <v>31</v>
      </c>
    </row>
    <row r="17" spans="1:18" x14ac:dyDescent="0.3">
      <c r="A17" s="15">
        <v>1</v>
      </c>
      <c r="B17" s="15">
        <v>1</v>
      </c>
      <c r="C17" s="13">
        <v>0.6</v>
      </c>
      <c r="D17" s="13"/>
      <c r="E17">
        <v>1.75</v>
      </c>
      <c r="F17">
        <v>1.84</v>
      </c>
      <c r="G17">
        <v>1.9</v>
      </c>
      <c r="H17">
        <v>2.33</v>
      </c>
      <c r="I17">
        <v>0.17</v>
      </c>
      <c r="J17">
        <v>0.31</v>
      </c>
      <c r="K17">
        <v>0.64</v>
      </c>
      <c r="L17">
        <f>((G17^2)+(G17*H17)+(H17^2)-(E17^2)-(E17*F17)-(F17^2))/(3*(H17+G17-E17-F17))</f>
        <v>1.9780208333333316</v>
      </c>
      <c r="M17">
        <f>(I17-(2*J17)-K17+2)/3</f>
        <v>0.3033333333333334</v>
      </c>
      <c r="N17" s="6">
        <f>L17*M17</f>
        <v>0.59999965277777734</v>
      </c>
      <c r="P17">
        <f>I17^2+J17^2+K17^2</f>
        <v>0.53459999999999996</v>
      </c>
      <c r="Q17" t="str">
        <f>IF(AND(P17&gt;=0,P17&lt;=1),"Yes","No")</f>
        <v>Yes</v>
      </c>
      <c r="R17" t="str">
        <f>IF(ROUND(N17,2)=C17,"Yes","No")</f>
        <v>Yes</v>
      </c>
    </row>
    <row r="18" spans="1:18" x14ac:dyDescent="0.3">
      <c r="A18" s="15">
        <v>1</v>
      </c>
      <c r="B18" s="3">
        <v>2</v>
      </c>
      <c r="C18">
        <v>0.7</v>
      </c>
      <c r="E18">
        <v>1.02</v>
      </c>
      <c r="F18">
        <v>1.05</v>
      </c>
      <c r="G18">
        <v>1.1499999999999999</v>
      </c>
      <c r="H18">
        <v>1.3</v>
      </c>
      <c r="I18">
        <v>0.32</v>
      </c>
      <c r="J18">
        <v>0.11</v>
      </c>
      <c r="K18">
        <v>0.25</v>
      </c>
      <c r="L18">
        <f t="shared" ref="L18:L34" si="6">((G18^2)+(G18*H18)+(H18^2)-(E18^2)-(E18*F18)-(F18^2))/(3*(H18+G18-E18-F18))</f>
        <v>1.1347368421052628</v>
      </c>
      <c r="M18">
        <f t="shared" ref="M18:M34" si="7">(I18-(2*J18)-K18+2)/3</f>
        <v>0.6166666666666667</v>
      </c>
      <c r="N18" s="6">
        <f t="shared" ref="N18:N34" si="8">L18*M18</f>
        <v>0.69975438596491213</v>
      </c>
      <c r="P18">
        <f t="shared" ref="P18:P34" si="9">I18^2+J18^2+K18^2</f>
        <v>0.17699999999999999</v>
      </c>
      <c r="Q18" t="str">
        <f t="shared" ref="Q18:Q34" si="10">IF(AND(P18&gt;=0,P18&lt;=1),"Yes","No")</f>
        <v>Yes</v>
      </c>
      <c r="R18" t="str">
        <f t="shared" ref="R18:R34" si="11">IF(ROUND(N18,2)=C18,"Yes","No")</f>
        <v>Yes</v>
      </c>
    </row>
    <row r="19" spans="1:18" x14ac:dyDescent="0.3">
      <c r="A19" s="15">
        <v>1</v>
      </c>
      <c r="B19" s="16">
        <v>3</v>
      </c>
      <c r="C19">
        <v>0.3</v>
      </c>
      <c r="E19">
        <v>0.62</v>
      </c>
      <c r="F19">
        <v>0.72</v>
      </c>
      <c r="G19">
        <v>0.81</v>
      </c>
      <c r="H19">
        <v>0.9</v>
      </c>
      <c r="I19">
        <v>0.45</v>
      </c>
      <c r="J19">
        <v>0.37</v>
      </c>
      <c r="K19">
        <v>0.53</v>
      </c>
      <c r="L19">
        <f t="shared" si="6"/>
        <v>0.76207207207207239</v>
      </c>
      <c r="M19">
        <f t="shared" si="7"/>
        <v>0.39333333333333331</v>
      </c>
      <c r="N19" s="6">
        <f t="shared" si="8"/>
        <v>0.29974834834834846</v>
      </c>
      <c r="P19">
        <f t="shared" si="9"/>
        <v>0.62030000000000007</v>
      </c>
      <c r="Q19" t="str">
        <f t="shared" si="10"/>
        <v>Yes</v>
      </c>
      <c r="R19" t="str">
        <f t="shared" si="11"/>
        <v>Yes</v>
      </c>
    </row>
    <row r="20" spans="1:18" x14ac:dyDescent="0.3">
      <c r="A20" s="15">
        <v>1</v>
      </c>
      <c r="B20" s="17">
        <v>4</v>
      </c>
      <c r="C20">
        <v>0.4</v>
      </c>
      <c r="E20">
        <v>0.51</v>
      </c>
      <c r="F20">
        <v>0.6</v>
      </c>
      <c r="G20">
        <v>0.7</v>
      </c>
      <c r="H20">
        <v>0.8</v>
      </c>
      <c r="I20">
        <v>0.74</v>
      </c>
      <c r="J20" s="10">
        <v>0.26</v>
      </c>
      <c r="K20">
        <v>0.38</v>
      </c>
      <c r="L20">
        <f t="shared" si="6"/>
        <v>0.6529059829059829</v>
      </c>
      <c r="M20">
        <f t="shared" si="7"/>
        <v>0.61333333333333329</v>
      </c>
      <c r="N20" s="6">
        <f t="shared" si="8"/>
        <v>0.40044900284900281</v>
      </c>
      <c r="P20">
        <f t="shared" si="9"/>
        <v>0.75959999999999994</v>
      </c>
      <c r="Q20" t="str">
        <f t="shared" si="10"/>
        <v>Yes</v>
      </c>
      <c r="R20" t="str">
        <f t="shared" si="11"/>
        <v>Yes</v>
      </c>
    </row>
    <row r="21" spans="1:18" x14ac:dyDescent="0.3">
      <c r="A21" s="15">
        <v>1</v>
      </c>
      <c r="B21" s="5">
        <v>5</v>
      </c>
      <c r="C21">
        <v>0.4</v>
      </c>
      <c r="E21">
        <v>0.43</v>
      </c>
      <c r="F21">
        <v>0.53</v>
      </c>
      <c r="G21">
        <v>0.63</v>
      </c>
      <c r="H21">
        <v>0.72</v>
      </c>
      <c r="I21">
        <v>0.85</v>
      </c>
      <c r="J21" s="11">
        <v>0.21</v>
      </c>
      <c r="K21">
        <v>0.35</v>
      </c>
      <c r="L21">
        <f t="shared" si="6"/>
        <v>0.57709401709401686</v>
      </c>
      <c r="M21">
        <f t="shared" si="7"/>
        <v>0.69333333333333336</v>
      </c>
      <c r="N21" s="6">
        <f t="shared" si="8"/>
        <v>0.40011851851851837</v>
      </c>
      <c r="P21">
        <f t="shared" si="9"/>
        <v>0.88909999999999989</v>
      </c>
      <c r="Q21" t="str">
        <f t="shared" si="10"/>
        <v>Yes</v>
      </c>
      <c r="R21" t="str">
        <f t="shared" si="11"/>
        <v>Yes</v>
      </c>
    </row>
    <row r="22" spans="1:18" x14ac:dyDescent="0.3">
      <c r="A22" s="15">
        <v>1</v>
      </c>
      <c r="B22" s="18">
        <v>6</v>
      </c>
      <c r="C22">
        <v>0.3</v>
      </c>
      <c r="E22">
        <v>0.45</v>
      </c>
      <c r="F22">
        <v>0.53</v>
      </c>
      <c r="G22">
        <v>0.63</v>
      </c>
      <c r="H22">
        <v>0.75</v>
      </c>
      <c r="I22">
        <v>0.53</v>
      </c>
      <c r="J22" s="10">
        <v>0.25</v>
      </c>
      <c r="K22">
        <v>0.51</v>
      </c>
      <c r="L22">
        <f t="shared" si="6"/>
        <v>0.59166666666666679</v>
      </c>
      <c r="M22">
        <f t="shared" si="7"/>
        <v>0.50666666666666671</v>
      </c>
      <c r="N22" s="6">
        <f t="shared" si="8"/>
        <v>0.29977777777777787</v>
      </c>
      <c r="P22">
        <f t="shared" si="9"/>
        <v>0.60350000000000004</v>
      </c>
      <c r="Q22" t="str">
        <f t="shared" si="10"/>
        <v>Yes</v>
      </c>
      <c r="R22" t="str">
        <f t="shared" si="11"/>
        <v>Yes</v>
      </c>
    </row>
    <row r="23" spans="1:18" x14ac:dyDescent="0.3">
      <c r="A23" s="3">
        <v>2</v>
      </c>
      <c r="B23" s="15">
        <v>1</v>
      </c>
      <c r="C23">
        <v>0.5</v>
      </c>
      <c r="E23">
        <v>0.69</v>
      </c>
      <c r="F23">
        <v>0.79</v>
      </c>
      <c r="G23">
        <v>0.89</v>
      </c>
      <c r="H23">
        <v>1</v>
      </c>
      <c r="I23">
        <v>0.73</v>
      </c>
      <c r="J23" s="11">
        <v>0.34</v>
      </c>
      <c r="K23">
        <v>0.27</v>
      </c>
      <c r="L23">
        <f t="shared" si="6"/>
        <v>0.84292682926829254</v>
      </c>
      <c r="M23">
        <f t="shared" si="7"/>
        <v>0.59333333333333327</v>
      </c>
      <c r="N23" s="6">
        <f t="shared" si="8"/>
        <v>0.50013658536585348</v>
      </c>
      <c r="P23">
        <f t="shared" si="9"/>
        <v>0.72139999999999993</v>
      </c>
      <c r="Q23" t="str">
        <f t="shared" si="10"/>
        <v>Yes</v>
      </c>
      <c r="R23" t="str">
        <f t="shared" si="11"/>
        <v>Yes</v>
      </c>
    </row>
    <row r="24" spans="1:18" x14ac:dyDescent="0.3">
      <c r="A24" s="3">
        <v>2</v>
      </c>
      <c r="B24" s="3">
        <v>2</v>
      </c>
      <c r="C24">
        <v>0.3</v>
      </c>
      <c r="E24">
        <v>0.26</v>
      </c>
      <c r="F24">
        <v>0.34</v>
      </c>
      <c r="G24">
        <v>0.44</v>
      </c>
      <c r="H24">
        <v>0.53</v>
      </c>
      <c r="I24">
        <v>0.83</v>
      </c>
      <c r="J24" s="11">
        <v>0.1</v>
      </c>
      <c r="K24">
        <v>0.34</v>
      </c>
      <c r="L24">
        <f t="shared" si="6"/>
        <v>0.39288288288288287</v>
      </c>
      <c r="M24">
        <f t="shared" si="7"/>
        <v>0.76333333333333331</v>
      </c>
      <c r="N24" s="6">
        <f t="shared" si="8"/>
        <v>0.29990060060060059</v>
      </c>
      <c r="P24">
        <f t="shared" si="9"/>
        <v>0.8145</v>
      </c>
      <c r="Q24" t="str">
        <f t="shared" si="10"/>
        <v>Yes</v>
      </c>
      <c r="R24" t="str">
        <f t="shared" si="11"/>
        <v>Yes</v>
      </c>
    </row>
    <row r="25" spans="1:18" x14ac:dyDescent="0.3">
      <c r="A25" s="3">
        <v>2</v>
      </c>
      <c r="B25" s="16">
        <v>3</v>
      </c>
      <c r="C25">
        <v>0.6</v>
      </c>
      <c r="E25">
        <v>0.87</v>
      </c>
      <c r="F25">
        <v>0.97</v>
      </c>
      <c r="G25">
        <v>1.06</v>
      </c>
      <c r="H25">
        <v>1.1499999999999999</v>
      </c>
      <c r="I25">
        <v>0.68</v>
      </c>
      <c r="J25" s="11">
        <v>0.23</v>
      </c>
      <c r="K25">
        <v>0.44</v>
      </c>
      <c r="L25">
        <f t="shared" si="6"/>
        <v>1.0120720720720722</v>
      </c>
      <c r="M25">
        <f t="shared" si="7"/>
        <v>0.59333333333333338</v>
      </c>
      <c r="N25" s="6">
        <f t="shared" si="8"/>
        <v>0.60049609609609622</v>
      </c>
      <c r="P25">
        <f t="shared" si="9"/>
        <v>0.70890000000000009</v>
      </c>
      <c r="Q25" t="str">
        <f t="shared" si="10"/>
        <v>Yes</v>
      </c>
      <c r="R25" t="str">
        <f t="shared" si="11"/>
        <v>Yes</v>
      </c>
    </row>
    <row r="26" spans="1:18" x14ac:dyDescent="0.3">
      <c r="A26" s="3">
        <v>2</v>
      </c>
      <c r="B26" s="17">
        <v>4</v>
      </c>
      <c r="C26">
        <v>0.4</v>
      </c>
      <c r="E26">
        <v>0.61</v>
      </c>
      <c r="F26">
        <v>0.72</v>
      </c>
      <c r="G26">
        <v>0.82</v>
      </c>
      <c r="H26">
        <v>0.91</v>
      </c>
      <c r="I26">
        <v>0.56999999999999995</v>
      </c>
      <c r="J26" s="11">
        <v>0.37</v>
      </c>
      <c r="K26">
        <v>0.26</v>
      </c>
      <c r="L26">
        <f t="shared" si="6"/>
        <v>0.76416666666666611</v>
      </c>
      <c r="M26">
        <f t="shared" si="7"/>
        <v>0.52333333333333332</v>
      </c>
      <c r="N26" s="6">
        <f t="shared" si="8"/>
        <v>0.39991388888888857</v>
      </c>
      <c r="P26">
        <f t="shared" si="9"/>
        <v>0.52939999999999998</v>
      </c>
      <c r="Q26" t="str">
        <f t="shared" si="10"/>
        <v>Yes</v>
      </c>
      <c r="R26" t="str">
        <f t="shared" si="11"/>
        <v>Yes</v>
      </c>
    </row>
    <row r="27" spans="1:18" x14ac:dyDescent="0.3">
      <c r="A27" s="3">
        <v>2</v>
      </c>
      <c r="B27" s="5">
        <v>5</v>
      </c>
      <c r="C27">
        <v>0.6</v>
      </c>
      <c r="E27">
        <v>0.85</v>
      </c>
      <c r="F27">
        <v>0.95</v>
      </c>
      <c r="G27">
        <v>1.04</v>
      </c>
      <c r="H27">
        <v>1.1000000000000001</v>
      </c>
      <c r="I27">
        <v>0.83</v>
      </c>
      <c r="J27" s="11">
        <v>0.44</v>
      </c>
      <c r="K27">
        <v>0.12</v>
      </c>
      <c r="L27">
        <f t="shared" si="6"/>
        <v>0.98343137254901924</v>
      </c>
      <c r="M27">
        <f t="shared" si="7"/>
        <v>0.61</v>
      </c>
      <c r="N27" s="6">
        <f t="shared" si="8"/>
        <v>0.59989313725490168</v>
      </c>
      <c r="P27">
        <f t="shared" si="9"/>
        <v>0.89689999999999992</v>
      </c>
      <c r="Q27" t="str">
        <f t="shared" si="10"/>
        <v>Yes</v>
      </c>
      <c r="R27" t="str">
        <f t="shared" si="11"/>
        <v>Yes</v>
      </c>
    </row>
    <row r="28" spans="1:18" x14ac:dyDescent="0.3">
      <c r="A28" s="3">
        <v>2</v>
      </c>
      <c r="B28" s="18">
        <v>6</v>
      </c>
      <c r="C28">
        <v>0.3</v>
      </c>
      <c r="E28">
        <v>0.62</v>
      </c>
      <c r="F28">
        <v>0.7</v>
      </c>
      <c r="G28">
        <v>0.8</v>
      </c>
      <c r="H28">
        <v>0.9</v>
      </c>
      <c r="I28">
        <v>0.46</v>
      </c>
      <c r="J28" s="11">
        <v>0.35</v>
      </c>
      <c r="K28">
        <v>0.56999999999999995</v>
      </c>
      <c r="L28">
        <f t="shared" si="6"/>
        <v>0.75578947368421057</v>
      </c>
      <c r="M28">
        <f t="shared" si="7"/>
        <v>0.39666666666666672</v>
      </c>
      <c r="N28" s="6">
        <f t="shared" si="8"/>
        <v>0.29979649122807023</v>
      </c>
      <c r="P28">
        <f t="shared" si="9"/>
        <v>0.65900000000000003</v>
      </c>
      <c r="Q28" t="str">
        <f t="shared" si="10"/>
        <v>Yes</v>
      </c>
      <c r="R28" t="str">
        <f t="shared" si="11"/>
        <v>Yes</v>
      </c>
    </row>
    <row r="29" spans="1:18" x14ac:dyDescent="0.3">
      <c r="A29" s="16">
        <v>3</v>
      </c>
      <c r="B29" s="15">
        <v>1</v>
      </c>
      <c r="C29">
        <v>0.4</v>
      </c>
      <c r="E29">
        <v>1.1399999999999999</v>
      </c>
      <c r="F29">
        <v>1.24</v>
      </c>
      <c r="G29">
        <v>1.32</v>
      </c>
      <c r="H29">
        <v>1.41</v>
      </c>
      <c r="I29">
        <v>0.56000000000000005</v>
      </c>
      <c r="J29" s="11">
        <v>0.52</v>
      </c>
      <c r="K29">
        <v>0.57999999999999996</v>
      </c>
      <c r="L29">
        <f t="shared" si="6"/>
        <v>1.2770476190476185</v>
      </c>
      <c r="M29">
        <f t="shared" si="7"/>
        <v>0.3133333333333333</v>
      </c>
      <c r="N29" s="6">
        <f t="shared" si="8"/>
        <v>0.40014158730158711</v>
      </c>
      <c r="P29">
        <f t="shared" si="9"/>
        <v>0.92040000000000011</v>
      </c>
      <c r="Q29" t="str">
        <f t="shared" si="10"/>
        <v>Yes</v>
      </c>
      <c r="R29" t="str">
        <f t="shared" si="11"/>
        <v>Yes</v>
      </c>
    </row>
    <row r="30" spans="1:18" x14ac:dyDescent="0.3">
      <c r="A30" s="16">
        <v>3</v>
      </c>
      <c r="B30" s="3">
        <v>2</v>
      </c>
      <c r="C30">
        <v>0.6</v>
      </c>
      <c r="E30">
        <v>0.94</v>
      </c>
      <c r="F30">
        <v>1.05</v>
      </c>
      <c r="G30">
        <v>1.1100000000000001</v>
      </c>
      <c r="H30">
        <v>1.21</v>
      </c>
      <c r="I30">
        <v>0.67</v>
      </c>
      <c r="J30" s="11">
        <v>0.32</v>
      </c>
      <c r="K30">
        <v>0.36</v>
      </c>
      <c r="L30">
        <f t="shared" si="6"/>
        <v>1.0769696969696967</v>
      </c>
      <c r="M30">
        <f t="shared" si="7"/>
        <v>0.55666666666666664</v>
      </c>
      <c r="N30" s="6">
        <f t="shared" si="8"/>
        <v>0.59951313131313111</v>
      </c>
      <c r="P30">
        <f t="shared" si="9"/>
        <v>0.68090000000000006</v>
      </c>
      <c r="Q30" t="str">
        <f t="shared" si="10"/>
        <v>Yes</v>
      </c>
      <c r="R30" t="str">
        <f t="shared" si="11"/>
        <v>Yes</v>
      </c>
    </row>
    <row r="31" spans="1:18" x14ac:dyDescent="0.3">
      <c r="A31" s="16">
        <v>3</v>
      </c>
      <c r="B31" s="16">
        <v>3</v>
      </c>
      <c r="C31">
        <v>0.2</v>
      </c>
      <c r="E31">
        <v>0.42</v>
      </c>
      <c r="F31">
        <v>0.52</v>
      </c>
      <c r="G31">
        <v>0.6</v>
      </c>
      <c r="H31">
        <v>0.7</v>
      </c>
      <c r="I31">
        <v>0.47</v>
      </c>
      <c r="J31" s="11">
        <v>0.52</v>
      </c>
      <c r="K31">
        <v>0.36</v>
      </c>
      <c r="L31">
        <f t="shared" si="6"/>
        <v>0.56000000000000016</v>
      </c>
      <c r="M31">
        <f t="shared" si="7"/>
        <v>0.35666666666666663</v>
      </c>
      <c r="N31" s="6">
        <f t="shared" si="8"/>
        <v>0.19973333333333337</v>
      </c>
      <c r="P31">
        <f t="shared" si="9"/>
        <v>0.62090000000000001</v>
      </c>
      <c r="Q31" t="str">
        <f t="shared" si="10"/>
        <v>Yes</v>
      </c>
      <c r="R31" t="str">
        <f t="shared" si="11"/>
        <v>Yes</v>
      </c>
    </row>
    <row r="32" spans="1:18" x14ac:dyDescent="0.3">
      <c r="A32" s="16">
        <v>3</v>
      </c>
      <c r="B32" s="17">
        <v>4</v>
      </c>
      <c r="C32">
        <v>0.5</v>
      </c>
      <c r="E32">
        <v>0.81</v>
      </c>
      <c r="F32">
        <v>0.91</v>
      </c>
      <c r="G32">
        <v>1</v>
      </c>
      <c r="H32">
        <v>1.1000000000000001</v>
      </c>
      <c r="I32">
        <v>0.74</v>
      </c>
      <c r="J32" s="11">
        <v>0.36</v>
      </c>
      <c r="K32">
        <v>0.45</v>
      </c>
      <c r="L32">
        <f t="shared" si="6"/>
        <v>0.95499999999999985</v>
      </c>
      <c r="M32">
        <f t="shared" si="7"/>
        <v>0.52333333333333332</v>
      </c>
      <c r="N32" s="6">
        <f t="shared" si="8"/>
        <v>0.49978333333333325</v>
      </c>
      <c r="P32">
        <f t="shared" si="9"/>
        <v>0.87970000000000004</v>
      </c>
      <c r="Q32" t="str">
        <f t="shared" si="10"/>
        <v>Yes</v>
      </c>
      <c r="R32" t="str">
        <f t="shared" si="11"/>
        <v>Yes</v>
      </c>
    </row>
    <row r="33" spans="1:18" x14ac:dyDescent="0.3">
      <c r="A33" s="16">
        <v>3</v>
      </c>
      <c r="B33" s="5">
        <v>5</v>
      </c>
      <c r="C33">
        <v>0.7</v>
      </c>
      <c r="E33">
        <v>1.65</v>
      </c>
      <c r="F33">
        <v>1.76</v>
      </c>
      <c r="G33">
        <v>1.84</v>
      </c>
      <c r="H33">
        <v>1.93</v>
      </c>
      <c r="I33">
        <v>0.56999999999999995</v>
      </c>
      <c r="J33" s="11">
        <v>0.65</v>
      </c>
      <c r="K33">
        <v>0.1</v>
      </c>
      <c r="L33">
        <f t="shared" si="6"/>
        <v>1.7940740740740733</v>
      </c>
      <c r="M33">
        <f t="shared" si="7"/>
        <v>0.38999999999999996</v>
      </c>
      <c r="N33" s="6">
        <f t="shared" si="8"/>
        <v>0.69968888888888847</v>
      </c>
      <c r="P33">
        <f t="shared" si="9"/>
        <v>0.75740000000000007</v>
      </c>
      <c r="Q33" t="str">
        <f t="shared" si="10"/>
        <v>Yes</v>
      </c>
      <c r="R33" t="str">
        <f t="shared" si="11"/>
        <v>Yes</v>
      </c>
    </row>
    <row r="34" spans="1:18" x14ac:dyDescent="0.3">
      <c r="A34" s="16">
        <v>3</v>
      </c>
      <c r="B34" s="18">
        <v>6</v>
      </c>
      <c r="C34">
        <v>0.3</v>
      </c>
      <c r="E34">
        <v>0.33</v>
      </c>
      <c r="F34">
        <v>0.41</v>
      </c>
      <c r="G34">
        <v>0.5</v>
      </c>
      <c r="H34">
        <v>0.6</v>
      </c>
      <c r="I34">
        <v>0.82</v>
      </c>
      <c r="J34" s="11">
        <v>0.21</v>
      </c>
      <c r="K34">
        <v>0.45</v>
      </c>
      <c r="L34">
        <f t="shared" si="6"/>
        <v>0.46083333333333337</v>
      </c>
      <c r="M34">
        <f t="shared" si="7"/>
        <v>0.65</v>
      </c>
      <c r="N34" s="6">
        <f t="shared" si="8"/>
        <v>0.29954166666666671</v>
      </c>
      <c r="P34">
        <f t="shared" si="9"/>
        <v>0.91899999999999993</v>
      </c>
      <c r="Q34" t="str">
        <f t="shared" si="10"/>
        <v>Yes</v>
      </c>
      <c r="R34" t="str">
        <f t="shared" si="11"/>
        <v>Yes</v>
      </c>
    </row>
    <row r="38" spans="1:18" x14ac:dyDescent="0.3">
      <c r="A38" t="s">
        <v>87</v>
      </c>
    </row>
    <row r="39" spans="1:18" x14ac:dyDescent="0.3">
      <c r="A39" s="10" t="s">
        <v>80</v>
      </c>
    </row>
    <row r="40" spans="1:18" x14ac:dyDescent="0.3">
      <c r="A40" s="11" t="s">
        <v>81</v>
      </c>
    </row>
    <row r="41" spans="1:18" x14ac:dyDescent="0.3">
      <c r="A41" s="11" t="s">
        <v>82</v>
      </c>
    </row>
    <row r="43" spans="1:18" x14ac:dyDescent="0.3">
      <c r="A43" t="s">
        <v>67</v>
      </c>
      <c r="B43" t="s">
        <v>10</v>
      </c>
      <c r="C43" t="s">
        <v>89</v>
      </c>
      <c r="E43" s="2" t="s">
        <v>4</v>
      </c>
      <c r="F43" s="2" t="s">
        <v>5</v>
      </c>
      <c r="G43" s="2" t="s">
        <v>6</v>
      </c>
      <c r="H43" s="2" t="s">
        <v>7</v>
      </c>
      <c r="I43" s="3" t="s">
        <v>8</v>
      </c>
      <c r="J43" s="3" t="s">
        <v>9</v>
      </c>
      <c r="K43" s="3" t="s">
        <v>10</v>
      </c>
      <c r="L43" s="4" t="s">
        <v>13</v>
      </c>
      <c r="M43" s="4" t="s">
        <v>12</v>
      </c>
      <c r="N43" s="5" t="s">
        <v>11</v>
      </c>
      <c r="P43" t="s">
        <v>14</v>
      </c>
      <c r="Q43" t="s">
        <v>30</v>
      </c>
      <c r="R43" t="s">
        <v>31</v>
      </c>
    </row>
    <row r="44" spans="1:18" x14ac:dyDescent="0.3">
      <c r="A44" s="15">
        <v>1</v>
      </c>
      <c r="B44" s="15">
        <v>1</v>
      </c>
      <c r="C44" s="13">
        <v>0.3</v>
      </c>
      <c r="D44" s="13"/>
      <c r="E44">
        <v>0.46</v>
      </c>
      <c r="F44">
        <v>0.56000000000000005</v>
      </c>
      <c r="G44">
        <v>0.62</v>
      </c>
      <c r="H44">
        <v>0.75</v>
      </c>
      <c r="I44">
        <v>0.41</v>
      </c>
      <c r="J44">
        <v>0.18</v>
      </c>
      <c r="K44">
        <v>0.55000000000000004</v>
      </c>
      <c r="L44">
        <f>((G44^2)+(G44*H44)+(H44^2)-(E44^2)-(E44*F44)-(F44^2))/(3*(H44+G44-E44-F44))</f>
        <v>0.59914285714285676</v>
      </c>
      <c r="M44">
        <f>(I44-(2*J44)-K44+2)/3</f>
        <v>0.5</v>
      </c>
      <c r="N44" s="6">
        <f>L44*M44</f>
        <v>0.29957142857142838</v>
      </c>
      <c r="P44">
        <f>I44^2+J44^2+K44^2</f>
        <v>0.503</v>
      </c>
      <c r="Q44" t="str">
        <f>IF(AND(P44&gt;=0,P44&lt;=1),"Yes","No")</f>
        <v>Yes</v>
      </c>
      <c r="R44" t="str">
        <f>IF(ROUND(N44,2)=C44,"Yes","No")</f>
        <v>Yes</v>
      </c>
    </row>
    <row r="45" spans="1:18" x14ac:dyDescent="0.3">
      <c r="A45" s="15">
        <v>1</v>
      </c>
      <c r="B45" s="3">
        <v>2</v>
      </c>
      <c r="C45">
        <v>0.5</v>
      </c>
      <c r="E45">
        <v>0.76</v>
      </c>
      <c r="F45">
        <v>0.81</v>
      </c>
      <c r="G45">
        <v>0.81</v>
      </c>
      <c r="H45">
        <v>1</v>
      </c>
      <c r="I45">
        <v>0.56999999999999995</v>
      </c>
      <c r="J45">
        <v>0.33</v>
      </c>
      <c r="K45">
        <v>0.16</v>
      </c>
      <c r="L45">
        <f t="shared" ref="L45:L60" si="12">((G45^2)+(G45*H45)+(H45^2)-(E45^2)-(E45*F45)-(F45^2))/(3*(H45+G45-E45-F45))</f>
        <v>0.85666666666666647</v>
      </c>
      <c r="M45">
        <f t="shared" ref="M45:M60" si="13">(I45-(2*J45)-K45+2)/3</f>
        <v>0.58333333333333337</v>
      </c>
      <c r="N45" s="6">
        <f t="shared" ref="N45:N60" si="14">L45*M45</f>
        <v>0.49972222222222212</v>
      </c>
      <c r="P45">
        <f t="shared" ref="P45:P60" si="15">I45^2+J45^2+K45^2</f>
        <v>0.45939999999999998</v>
      </c>
      <c r="Q45" t="str">
        <f t="shared" ref="Q45:Q60" si="16">IF(AND(P45&gt;=0,P45&lt;=1),"Yes","No")</f>
        <v>Yes</v>
      </c>
      <c r="R45" t="str">
        <f t="shared" ref="R45:R60" si="17">IF(ROUND(N45,2)=C45,"Yes","No")</f>
        <v>Yes</v>
      </c>
    </row>
    <row r="46" spans="1:18" x14ac:dyDescent="0.3">
      <c r="A46" s="15">
        <v>1</v>
      </c>
      <c r="B46" s="16">
        <v>3</v>
      </c>
      <c r="C46">
        <v>0.5</v>
      </c>
      <c r="E46">
        <v>0.67</v>
      </c>
      <c r="F46">
        <v>0.76</v>
      </c>
      <c r="G46">
        <v>0.82</v>
      </c>
      <c r="H46">
        <v>0.92</v>
      </c>
      <c r="I46">
        <v>0.76</v>
      </c>
      <c r="J46">
        <v>0.38</v>
      </c>
      <c r="K46">
        <v>0.11</v>
      </c>
      <c r="L46">
        <f t="shared" si="12"/>
        <v>0.79301075268817267</v>
      </c>
      <c r="M46">
        <f t="shared" si="13"/>
        <v>0.63</v>
      </c>
      <c r="N46" s="6">
        <f t="shared" si="14"/>
        <v>0.49959677419354881</v>
      </c>
      <c r="P46">
        <f t="shared" si="15"/>
        <v>0.73409999999999997</v>
      </c>
      <c r="Q46" t="str">
        <f t="shared" si="16"/>
        <v>Yes</v>
      </c>
      <c r="R46" t="str">
        <f t="shared" si="17"/>
        <v>Yes</v>
      </c>
    </row>
    <row r="47" spans="1:18" x14ac:dyDescent="0.3">
      <c r="A47" s="15">
        <v>1</v>
      </c>
      <c r="B47" s="17">
        <v>4</v>
      </c>
      <c r="C47">
        <v>0.7</v>
      </c>
      <c r="E47">
        <v>1.03</v>
      </c>
      <c r="F47">
        <v>1.1200000000000001</v>
      </c>
      <c r="G47">
        <v>1.22</v>
      </c>
      <c r="H47">
        <v>1.32</v>
      </c>
      <c r="I47">
        <v>0.86</v>
      </c>
      <c r="J47">
        <v>0.37</v>
      </c>
      <c r="K47">
        <v>0.33</v>
      </c>
      <c r="L47">
        <f t="shared" si="12"/>
        <v>1.1729059829059827</v>
      </c>
      <c r="M47">
        <f t="shared" si="13"/>
        <v>0.59666666666666668</v>
      </c>
      <c r="N47" s="6">
        <f t="shared" si="14"/>
        <v>0.69983390313390303</v>
      </c>
      <c r="P47">
        <f t="shared" si="15"/>
        <v>0.98539999999999994</v>
      </c>
      <c r="Q47" t="str">
        <f t="shared" si="16"/>
        <v>Yes</v>
      </c>
      <c r="R47" t="str">
        <f t="shared" si="17"/>
        <v>Yes</v>
      </c>
    </row>
    <row r="48" spans="1:18" x14ac:dyDescent="0.3">
      <c r="A48" s="15">
        <v>1</v>
      </c>
      <c r="B48" s="5">
        <v>5</v>
      </c>
      <c r="C48">
        <v>0.2</v>
      </c>
      <c r="E48">
        <v>0.16</v>
      </c>
      <c r="F48">
        <v>0.26</v>
      </c>
      <c r="G48">
        <v>0.31</v>
      </c>
      <c r="H48">
        <v>0.41</v>
      </c>
      <c r="I48">
        <v>0.67</v>
      </c>
      <c r="J48">
        <v>0.18</v>
      </c>
      <c r="K48">
        <v>0.21</v>
      </c>
      <c r="L48">
        <f t="shared" si="12"/>
        <v>0.28500000000000003</v>
      </c>
      <c r="M48">
        <f t="shared" si="13"/>
        <v>0.70000000000000007</v>
      </c>
      <c r="N48" s="6">
        <f t="shared" si="14"/>
        <v>0.19950000000000004</v>
      </c>
      <c r="P48">
        <f t="shared" si="15"/>
        <v>0.52540000000000009</v>
      </c>
      <c r="Q48" t="str">
        <f t="shared" si="16"/>
        <v>Yes</v>
      </c>
      <c r="R48" t="str">
        <f t="shared" si="17"/>
        <v>Yes</v>
      </c>
    </row>
    <row r="49" spans="1:18" x14ac:dyDescent="0.3">
      <c r="A49" s="15">
        <v>1</v>
      </c>
      <c r="B49" s="18">
        <v>6</v>
      </c>
      <c r="C49">
        <v>0.4</v>
      </c>
      <c r="E49">
        <v>0.75</v>
      </c>
      <c r="F49">
        <v>0.85</v>
      </c>
      <c r="G49">
        <v>0.94</v>
      </c>
      <c r="H49">
        <v>1.04</v>
      </c>
      <c r="I49">
        <v>0.36</v>
      </c>
      <c r="J49" s="10">
        <v>0.42</v>
      </c>
      <c r="K49">
        <v>0.18</v>
      </c>
      <c r="L49">
        <f t="shared" si="12"/>
        <v>0.89500000000000013</v>
      </c>
      <c r="M49">
        <f t="shared" si="13"/>
        <v>0.44666666666666671</v>
      </c>
      <c r="N49" s="6">
        <f t="shared" si="14"/>
        <v>0.39976666666666677</v>
      </c>
      <c r="P49">
        <f t="shared" si="15"/>
        <v>0.33839999999999992</v>
      </c>
      <c r="Q49" t="str">
        <f t="shared" si="16"/>
        <v>Yes</v>
      </c>
      <c r="R49" t="str">
        <f t="shared" si="17"/>
        <v>Yes</v>
      </c>
    </row>
    <row r="50" spans="1:18" x14ac:dyDescent="0.3">
      <c r="A50" s="3">
        <v>2</v>
      </c>
      <c r="B50" s="15">
        <v>1</v>
      </c>
      <c r="C50">
        <v>0.5</v>
      </c>
      <c r="E50">
        <v>0.59</v>
      </c>
      <c r="F50">
        <v>0.67</v>
      </c>
      <c r="G50">
        <v>0.77</v>
      </c>
      <c r="H50">
        <v>0.84</v>
      </c>
      <c r="I50">
        <v>0.86</v>
      </c>
      <c r="J50">
        <v>0.21</v>
      </c>
      <c r="K50">
        <v>0.35</v>
      </c>
      <c r="L50">
        <f t="shared" si="12"/>
        <v>0.71714285714285719</v>
      </c>
      <c r="M50">
        <f t="shared" si="13"/>
        <v>0.69666666666666666</v>
      </c>
      <c r="N50" s="6">
        <f t="shared" si="14"/>
        <v>0.49960952380952384</v>
      </c>
      <c r="P50">
        <f t="shared" si="15"/>
        <v>0.90619999999999989</v>
      </c>
      <c r="Q50" t="str">
        <f t="shared" si="16"/>
        <v>Yes</v>
      </c>
      <c r="R50" t="str">
        <f t="shared" si="17"/>
        <v>Yes</v>
      </c>
    </row>
    <row r="51" spans="1:18" x14ac:dyDescent="0.3">
      <c r="A51" s="3">
        <v>2</v>
      </c>
      <c r="B51" s="3">
        <v>2</v>
      </c>
      <c r="C51">
        <v>0.7</v>
      </c>
      <c r="E51">
        <v>1.02</v>
      </c>
      <c r="F51">
        <v>1.1200000000000001</v>
      </c>
      <c r="G51">
        <v>1.2</v>
      </c>
      <c r="H51">
        <v>1.3</v>
      </c>
      <c r="I51">
        <v>0.76</v>
      </c>
      <c r="J51" s="11">
        <v>0.28000000000000003</v>
      </c>
      <c r="K51">
        <v>0.39</v>
      </c>
      <c r="L51">
        <f t="shared" si="12"/>
        <v>1.1600000000000004</v>
      </c>
      <c r="M51">
        <f t="shared" si="13"/>
        <v>0.60333333333333339</v>
      </c>
      <c r="N51" s="6">
        <f t="shared" si="14"/>
        <v>0.69986666666666697</v>
      </c>
      <c r="P51">
        <f t="shared" si="15"/>
        <v>0.80810000000000004</v>
      </c>
      <c r="Q51" t="str">
        <f t="shared" si="16"/>
        <v>Yes</v>
      </c>
      <c r="R51" t="str">
        <f t="shared" si="17"/>
        <v>Yes</v>
      </c>
    </row>
    <row r="52" spans="1:18" x14ac:dyDescent="0.3">
      <c r="A52" s="3">
        <v>2</v>
      </c>
      <c r="B52" s="16">
        <v>3</v>
      </c>
      <c r="C52">
        <v>0.2</v>
      </c>
      <c r="E52">
        <v>0.18</v>
      </c>
      <c r="F52">
        <v>0.24</v>
      </c>
      <c r="G52">
        <v>0.37</v>
      </c>
      <c r="H52">
        <v>0.46</v>
      </c>
      <c r="I52">
        <v>0.78</v>
      </c>
      <c r="J52">
        <v>0.38</v>
      </c>
      <c r="K52">
        <v>0.11</v>
      </c>
      <c r="L52">
        <f t="shared" si="12"/>
        <v>0.31341463414634141</v>
      </c>
      <c r="M52">
        <f t="shared" si="13"/>
        <v>0.6366666666666666</v>
      </c>
      <c r="N52" s="6">
        <f t="shared" si="14"/>
        <v>0.19954065040650401</v>
      </c>
      <c r="P52">
        <f t="shared" si="15"/>
        <v>0.76490000000000002</v>
      </c>
      <c r="Q52" t="str">
        <f t="shared" si="16"/>
        <v>Yes</v>
      </c>
      <c r="R52" t="str">
        <f t="shared" si="17"/>
        <v>Yes</v>
      </c>
    </row>
    <row r="53" spans="1:18" x14ac:dyDescent="0.3">
      <c r="A53" s="3">
        <v>2</v>
      </c>
      <c r="B53" s="17">
        <v>4</v>
      </c>
      <c r="C53">
        <v>0.5</v>
      </c>
      <c r="E53">
        <v>0.77</v>
      </c>
      <c r="F53">
        <v>0.81</v>
      </c>
      <c r="G53">
        <v>0.92</v>
      </c>
      <c r="H53">
        <v>1.04</v>
      </c>
      <c r="I53">
        <v>0.68</v>
      </c>
      <c r="J53">
        <v>0.38</v>
      </c>
      <c r="K53">
        <v>0.23</v>
      </c>
      <c r="L53">
        <f t="shared" si="12"/>
        <v>0.88780701754385993</v>
      </c>
      <c r="M53">
        <f t="shared" si="13"/>
        <v>0.56333333333333335</v>
      </c>
      <c r="N53" s="6">
        <f t="shared" si="14"/>
        <v>0.50013128654970773</v>
      </c>
      <c r="P53">
        <f t="shared" si="15"/>
        <v>0.65970000000000018</v>
      </c>
      <c r="Q53" t="str">
        <f t="shared" si="16"/>
        <v>Yes</v>
      </c>
      <c r="R53" t="str">
        <f t="shared" si="17"/>
        <v>Yes</v>
      </c>
    </row>
    <row r="54" spans="1:18" x14ac:dyDescent="0.3">
      <c r="A54" s="3">
        <v>2</v>
      </c>
      <c r="B54" s="5">
        <v>5</v>
      </c>
      <c r="C54">
        <v>0.1</v>
      </c>
      <c r="E54">
        <v>0.16</v>
      </c>
      <c r="F54">
        <v>0.28000000000000003</v>
      </c>
      <c r="G54">
        <v>0.38</v>
      </c>
      <c r="H54">
        <v>0.46</v>
      </c>
      <c r="I54">
        <v>7.0000000000000007E-2</v>
      </c>
      <c r="J54">
        <v>0.45</v>
      </c>
      <c r="K54">
        <v>0.23</v>
      </c>
      <c r="L54">
        <f t="shared" si="12"/>
        <v>0.31833333333333336</v>
      </c>
      <c r="M54">
        <f t="shared" si="13"/>
        <v>0.3133333333333333</v>
      </c>
      <c r="N54" s="6">
        <f t="shared" si="14"/>
        <v>9.9744444444444441E-2</v>
      </c>
      <c r="P54">
        <f t="shared" si="15"/>
        <v>0.26029999999999998</v>
      </c>
      <c r="Q54" t="str">
        <f t="shared" si="16"/>
        <v>Yes</v>
      </c>
      <c r="R54" t="str">
        <f t="shared" si="17"/>
        <v>Yes</v>
      </c>
    </row>
    <row r="55" spans="1:18" x14ac:dyDescent="0.3">
      <c r="A55" s="3">
        <v>2</v>
      </c>
      <c r="B55" s="18">
        <v>6</v>
      </c>
      <c r="C55">
        <v>0.5</v>
      </c>
      <c r="E55">
        <v>0.63</v>
      </c>
      <c r="F55">
        <v>0.74</v>
      </c>
      <c r="G55">
        <v>0.85</v>
      </c>
      <c r="H55">
        <v>0.94</v>
      </c>
      <c r="I55">
        <v>0.56000000000000005</v>
      </c>
      <c r="J55">
        <v>0.27</v>
      </c>
      <c r="K55">
        <v>0.12</v>
      </c>
      <c r="L55">
        <f t="shared" si="12"/>
        <v>0.78920634920634902</v>
      </c>
      <c r="M55">
        <f t="shared" si="13"/>
        <v>0.6333333333333333</v>
      </c>
      <c r="N55" s="6">
        <f t="shared" si="14"/>
        <v>0.49983068783068768</v>
      </c>
      <c r="P55">
        <f t="shared" si="15"/>
        <v>0.40090000000000009</v>
      </c>
      <c r="Q55" t="str">
        <f t="shared" si="16"/>
        <v>Yes</v>
      </c>
      <c r="R55" t="str">
        <f t="shared" si="17"/>
        <v>Yes</v>
      </c>
    </row>
    <row r="56" spans="1:18" x14ac:dyDescent="0.3">
      <c r="A56" s="16">
        <v>3</v>
      </c>
      <c r="B56" s="15">
        <v>1</v>
      </c>
      <c r="C56">
        <v>0.4</v>
      </c>
      <c r="E56">
        <v>0.57999999999999996</v>
      </c>
      <c r="F56">
        <v>0.68</v>
      </c>
      <c r="G56">
        <v>0.78</v>
      </c>
      <c r="H56">
        <v>0.87</v>
      </c>
      <c r="I56">
        <v>0.56000000000000005</v>
      </c>
      <c r="J56">
        <v>0.37</v>
      </c>
      <c r="K56">
        <v>0.17</v>
      </c>
      <c r="L56">
        <f t="shared" si="12"/>
        <v>0.727094017094017</v>
      </c>
      <c r="M56">
        <f t="shared" si="13"/>
        <v>0.54999999999999993</v>
      </c>
      <c r="N56" s="6">
        <f t="shared" si="14"/>
        <v>0.39990170940170933</v>
      </c>
      <c r="P56">
        <f t="shared" si="15"/>
        <v>0.47939999999999999</v>
      </c>
      <c r="Q56" t="str">
        <f t="shared" si="16"/>
        <v>Yes</v>
      </c>
      <c r="R56" t="str">
        <f t="shared" si="17"/>
        <v>Yes</v>
      </c>
    </row>
    <row r="57" spans="1:18" x14ac:dyDescent="0.3">
      <c r="A57" s="16">
        <v>3</v>
      </c>
      <c r="B57" s="3">
        <v>2</v>
      </c>
      <c r="C57">
        <v>0.7</v>
      </c>
      <c r="E57">
        <v>1.1000000000000001</v>
      </c>
      <c r="F57">
        <v>1.2</v>
      </c>
      <c r="G57">
        <v>1.3</v>
      </c>
      <c r="H57">
        <v>1.4</v>
      </c>
      <c r="I57">
        <v>0.67</v>
      </c>
      <c r="J57">
        <v>0.32</v>
      </c>
      <c r="K57">
        <v>0.35</v>
      </c>
      <c r="L57">
        <f t="shared" si="12"/>
        <v>1.2499999999999991</v>
      </c>
      <c r="M57">
        <f t="shared" si="13"/>
        <v>0.56000000000000005</v>
      </c>
      <c r="N57" s="6">
        <f t="shared" si="14"/>
        <v>0.69999999999999962</v>
      </c>
      <c r="P57">
        <f t="shared" si="15"/>
        <v>0.67380000000000007</v>
      </c>
      <c r="Q57" t="str">
        <f t="shared" si="16"/>
        <v>Yes</v>
      </c>
      <c r="R57" t="str">
        <f t="shared" si="17"/>
        <v>Yes</v>
      </c>
    </row>
    <row r="58" spans="1:18" x14ac:dyDescent="0.3">
      <c r="A58" s="16">
        <v>3</v>
      </c>
      <c r="B58" s="16">
        <v>3</v>
      </c>
      <c r="C58">
        <v>0.8</v>
      </c>
      <c r="E58">
        <v>0.98</v>
      </c>
      <c r="F58">
        <v>1.05</v>
      </c>
      <c r="G58">
        <v>1.1200000000000001</v>
      </c>
      <c r="H58">
        <v>1.26</v>
      </c>
      <c r="I58">
        <v>0.72</v>
      </c>
      <c r="J58">
        <v>0.17</v>
      </c>
      <c r="K58">
        <v>0.21</v>
      </c>
      <c r="L58">
        <f t="shared" si="12"/>
        <v>1.106000000000001</v>
      </c>
      <c r="M58">
        <f t="shared" si="13"/>
        <v>0.72333333333333327</v>
      </c>
      <c r="N58" s="6">
        <f t="shared" si="14"/>
        <v>0.80000666666666731</v>
      </c>
      <c r="P58">
        <f t="shared" si="15"/>
        <v>0.59140000000000004</v>
      </c>
      <c r="Q58" t="str">
        <f t="shared" si="16"/>
        <v>Yes</v>
      </c>
      <c r="R58" t="str">
        <f t="shared" si="17"/>
        <v>Yes</v>
      </c>
    </row>
    <row r="59" spans="1:18" x14ac:dyDescent="0.3">
      <c r="A59" s="16">
        <v>3</v>
      </c>
      <c r="B59" s="17">
        <v>4</v>
      </c>
      <c r="C59">
        <v>0.3</v>
      </c>
      <c r="E59">
        <v>0.54</v>
      </c>
      <c r="F59">
        <v>0.65</v>
      </c>
      <c r="G59">
        <v>0.74</v>
      </c>
      <c r="H59">
        <v>0.84</v>
      </c>
      <c r="I59">
        <v>0.45</v>
      </c>
      <c r="J59">
        <v>0.37</v>
      </c>
      <c r="K59">
        <v>0.41</v>
      </c>
      <c r="L59">
        <f t="shared" si="12"/>
        <v>0.69205128205128197</v>
      </c>
      <c r="M59">
        <f t="shared" si="13"/>
        <v>0.43333333333333335</v>
      </c>
      <c r="N59" s="6">
        <f t="shared" si="14"/>
        <v>0.29988888888888887</v>
      </c>
      <c r="P59">
        <f t="shared" si="15"/>
        <v>0.50750000000000006</v>
      </c>
      <c r="Q59" t="str">
        <f t="shared" si="16"/>
        <v>Yes</v>
      </c>
      <c r="R59" t="str">
        <f t="shared" si="17"/>
        <v>Yes</v>
      </c>
    </row>
    <row r="60" spans="1:18" x14ac:dyDescent="0.3">
      <c r="A60" s="16">
        <v>3</v>
      </c>
      <c r="B60" s="5">
        <v>5</v>
      </c>
      <c r="C60">
        <v>0.8</v>
      </c>
      <c r="E60">
        <v>1.32</v>
      </c>
      <c r="F60">
        <v>1.42</v>
      </c>
      <c r="G60">
        <v>1.52</v>
      </c>
      <c r="H60">
        <v>1.6</v>
      </c>
      <c r="I60">
        <v>0.73</v>
      </c>
      <c r="J60">
        <v>0.33</v>
      </c>
      <c r="K60">
        <v>0.43</v>
      </c>
      <c r="L60">
        <f t="shared" si="12"/>
        <v>1.4642105263157894</v>
      </c>
      <c r="M60">
        <f t="shared" si="13"/>
        <v>0.54666666666666663</v>
      </c>
      <c r="N60" s="6">
        <f t="shared" si="14"/>
        <v>0.80043508771929817</v>
      </c>
      <c r="P60">
        <f t="shared" si="15"/>
        <v>0.82669999999999988</v>
      </c>
      <c r="Q60" t="str">
        <f t="shared" si="16"/>
        <v>Yes</v>
      </c>
      <c r="R60" t="str">
        <f t="shared" si="17"/>
        <v>Yes</v>
      </c>
    </row>
    <row r="61" spans="1:18" x14ac:dyDescent="0.3">
      <c r="A61" s="16">
        <v>3</v>
      </c>
      <c r="B61" s="18">
        <v>6</v>
      </c>
      <c r="C61">
        <v>0.4</v>
      </c>
      <c r="E61">
        <v>0.56000000000000005</v>
      </c>
      <c r="F61">
        <v>0.68</v>
      </c>
      <c r="G61">
        <v>0.78</v>
      </c>
      <c r="H61">
        <v>0.86</v>
      </c>
      <c r="I61">
        <v>0.59</v>
      </c>
      <c r="J61">
        <v>0.38</v>
      </c>
      <c r="K61">
        <v>0.16</v>
      </c>
      <c r="L61">
        <f>((G61^2)+(G61*H61)+(H61^2)-(E61^2)-(E61*F61)-(F61^2))/(3*(H61+G61-E61-F61))</f>
        <v>0.71833333333333316</v>
      </c>
      <c r="M61">
        <f>(I61-(2*J61)-K61+2)/3</f>
        <v>0.55666666666666664</v>
      </c>
      <c r="N61" s="6">
        <f>L61*M61</f>
        <v>0.39987222222222213</v>
      </c>
      <c r="P61">
        <f>I61^2+J61^2+K61^2</f>
        <v>0.51809999999999989</v>
      </c>
      <c r="Q61" t="str">
        <f>IF(AND(P61&gt;=0,P61&lt;=1),"Yes","No")</f>
        <v>Yes</v>
      </c>
      <c r="R61" t="str">
        <f>IF(ROUND(N61,2)=C61,"Yes","No")</f>
        <v>Yes</v>
      </c>
    </row>
    <row r="65" spans="1:18" x14ac:dyDescent="0.3">
      <c r="A65" t="s">
        <v>88</v>
      </c>
    </row>
    <row r="66" spans="1:18" x14ac:dyDescent="0.3">
      <c r="A66" s="10" t="s">
        <v>78</v>
      </c>
    </row>
    <row r="67" spans="1:18" x14ac:dyDescent="0.3">
      <c r="A67" s="11" t="s">
        <v>79</v>
      </c>
    </row>
    <row r="69" spans="1:18" x14ac:dyDescent="0.3">
      <c r="A69" t="s">
        <v>72</v>
      </c>
      <c r="B69" t="s">
        <v>10</v>
      </c>
      <c r="C69" t="s">
        <v>90</v>
      </c>
      <c r="E69" s="2" t="s">
        <v>4</v>
      </c>
      <c r="F69" s="2" t="s">
        <v>5</v>
      </c>
      <c r="G69" s="2" t="s">
        <v>6</v>
      </c>
      <c r="H69" s="2" t="s">
        <v>7</v>
      </c>
      <c r="I69" s="3" t="s">
        <v>8</v>
      </c>
      <c r="J69" s="3" t="s">
        <v>9</v>
      </c>
      <c r="K69" s="3" t="s">
        <v>10</v>
      </c>
      <c r="L69" s="4" t="s">
        <v>13</v>
      </c>
      <c r="M69" s="4" t="s">
        <v>12</v>
      </c>
      <c r="N69" s="5" t="s">
        <v>11</v>
      </c>
      <c r="P69" t="s">
        <v>14</v>
      </c>
      <c r="Q69" t="s">
        <v>30</v>
      </c>
      <c r="R69" t="s">
        <v>31</v>
      </c>
    </row>
    <row r="70" spans="1:18" x14ac:dyDescent="0.3">
      <c r="A70" s="15">
        <v>1</v>
      </c>
      <c r="B70" s="15">
        <v>1</v>
      </c>
      <c r="C70">
        <v>0.3</v>
      </c>
      <c r="E70">
        <v>0.3</v>
      </c>
      <c r="F70">
        <v>0.4</v>
      </c>
      <c r="G70">
        <v>0.5</v>
      </c>
      <c r="H70">
        <v>0.6</v>
      </c>
      <c r="I70">
        <v>0.77</v>
      </c>
      <c r="J70" s="11">
        <v>0.21</v>
      </c>
      <c r="K70">
        <v>0.35</v>
      </c>
      <c r="L70">
        <f>((G70^2)+(G70*H70)+(H70^2)-(E70^2)-(E70*F70)-(F70^2))/(3*(H70+G70-E70-F70))</f>
        <v>0.44999999999999996</v>
      </c>
      <c r="M70">
        <f>(I70-(2*J70)-K70+2)/3</f>
        <v>0.66666666666666663</v>
      </c>
      <c r="N70" s="6">
        <f>L70*M70</f>
        <v>0.29999999999999993</v>
      </c>
      <c r="P70">
        <f>I70^2+J70^2+K70^2</f>
        <v>0.75949999999999995</v>
      </c>
      <c r="Q70" t="str">
        <f>IF(AND(P70&gt;=0,P70&lt;=1),"Yes","No")</f>
        <v>Yes</v>
      </c>
      <c r="R70" t="str">
        <f>IF(ROUND(N70,2)=C70,"Yes","No")</f>
        <v>Yes</v>
      </c>
    </row>
    <row r="71" spans="1:18" x14ac:dyDescent="0.3">
      <c r="A71" s="15">
        <v>1</v>
      </c>
      <c r="B71" s="3">
        <v>2</v>
      </c>
      <c r="C71">
        <v>0.4</v>
      </c>
      <c r="E71">
        <v>0.45</v>
      </c>
      <c r="F71">
        <v>0.75</v>
      </c>
      <c r="G71">
        <v>0.85</v>
      </c>
      <c r="H71">
        <v>0.94</v>
      </c>
      <c r="I71">
        <v>0.67</v>
      </c>
      <c r="J71">
        <v>0.32</v>
      </c>
      <c r="K71">
        <v>0.4</v>
      </c>
      <c r="L71">
        <f t="shared" ref="L71:L81" si="18">((G71^2)+(G71*H71)+(H71^2)-(E71^2)-(E71*F71)-(F71^2))/(3*(H71+G71-E71-F71))</f>
        <v>0.73593220338983045</v>
      </c>
      <c r="M71">
        <f t="shared" ref="M71:M81" si="19">(I71-(2*J71)-K71+2)/3</f>
        <v>0.54333333333333333</v>
      </c>
      <c r="N71" s="6">
        <f t="shared" ref="N71:N81" si="20">L71*M71</f>
        <v>0.39985649717514121</v>
      </c>
      <c r="P71">
        <f t="shared" ref="P71:P81" si="21">I71^2+J71^2+K71^2</f>
        <v>0.71130000000000015</v>
      </c>
      <c r="Q71" t="str">
        <f t="shared" ref="Q71:Q81" si="22">IF(AND(P71&gt;=0,P71&lt;=1),"Yes","No")</f>
        <v>Yes</v>
      </c>
      <c r="R71" t="str">
        <f t="shared" ref="R71:R81" si="23">IF(ROUND(N71,2)=C71,"Yes","No")</f>
        <v>Yes</v>
      </c>
    </row>
    <row r="72" spans="1:18" x14ac:dyDescent="0.3">
      <c r="A72" s="15">
        <v>1</v>
      </c>
      <c r="B72" s="16">
        <v>3</v>
      </c>
      <c r="C72">
        <v>0.3</v>
      </c>
      <c r="E72">
        <v>0.39</v>
      </c>
      <c r="F72">
        <v>0.49</v>
      </c>
      <c r="G72">
        <v>0.57999999999999996</v>
      </c>
      <c r="H72">
        <v>0.68</v>
      </c>
      <c r="I72">
        <v>0.57999999999999996</v>
      </c>
      <c r="J72">
        <v>0.28000000000000003</v>
      </c>
      <c r="K72">
        <v>0.34</v>
      </c>
      <c r="L72">
        <f t="shared" si="18"/>
        <v>0.53500000000000003</v>
      </c>
      <c r="M72">
        <f t="shared" si="19"/>
        <v>0.55999999999999994</v>
      </c>
      <c r="N72" s="6">
        <f t="shared" si="20"/>
        <v>0.29959999999999998</v>
      </c>
      <c r="P72">
        <f t="shared" si="21"/>
        <v>0.53039999999999998</v>
      </c>
      <c r="Q72" t="str">
        <f t="shared" si="22"/>
        <v>Yes</v>
      </c>
      <c r="R72" t="str">
        <f t="shared" si="23"/>
        <v>Yes</v>
      </c>
    </row>
    <row r="73" spans="1:18" x14ac:dyDescent="0.3">
      <c r="A73" s="15">
        <v>1</v>
      </c>
      <c r="B73" s="17">
        <v>4</v>
      </c>
      <c r="C73">
        <v>0.2</v>
      </c>
      <c r="E73">
        <v>0.25</v>
      </c>
      <c r="F73">
        <v>0.35</v>
      </c>
      <c r="G73">
        <v>0.45</v>
      </c>
      <c r="H73">
        <v>0.55000000000000004</v>
      </c>
      <c r="I73">
        <v>0.76</v>
      </c>
      <c r="J73">
        <v>0.45</v>
      </c>
      <c r="K73">
        <v>0.36</v>
      </c>
      <c r="L73">
        <f t="shared" si="18"/>
        <v>0.40000000000000008</v>
      </c>
      <c r="M73">
        <f t="shared" si="19"/>
        <v>0.5</v>
      </c>
      <c r="N73" s="6">
        <f t="shared" si="20"/>
        <v>0.20000000000000004</v>
      </c>
      <c r="P73">
        <f t="shared" si="21"/>
        <v>0.90969999999999995</v>
      </c>
      <c r="Q73" t="str">
        <f t="shared" si="22"/>
        <v>Yes</v>
      </c>
      <c r="R73" t="str">
        <f t="shared" si="23"/>
        <v>Yes</v>
      </c>
    </row>
    <row r="74" spans="1:18" x14ac:dyDescent="0.3">
      <c r="A74" s="15">
        <v>1</v>
      </c>
      <c r="B74" s="5">
        <v>5</v>
      </c>
      <c r="C74">
        <v>0.5</v>
      </c>
      <c r="E74">
        <v>0.61</v>
      </c>
      <c r="F74">
        <v>0.72</v>
      </c>
      <c r="G74">
        <v>0.8</v>
      </c>
      <c r="H74">
        <v>0.89</v>
      </c>
      <c r="I74">
        <v>0.86</v>
      </c>
      <c r="J74">
        <v>0.21</v>
      </c>
      <c r="K74">
        <v>0.45</v>
      </c>
      <c r="L74">
        <f t="shared" si="18"/>
        <v>0.75407407407407412</v>
      </c>
      <c r="M74">
        <f t="shared" si="19"/>
        <v>0.66333333333333333</v>
      </c>
      <c r="N74" s="6">
        <f t="shared" si="20"/>
        <v>0.50020246913580246</v>
      </c>
      <c r="P74">
        <f t="shared" si="21"/>
        <v>0.98619999999999997</v>
      </c>
      <c r="Q74" t="str">
        <f t="shared" si="22"/>
        <v>Yes</v>
      </c>
      <c r="R74" t="str">
        <f t="shared" si="23"/>
        <v>Yes</v>
      </c>
    </row>
    <row r="75" spans="1:18" x14ac:dyDescent="0.3">
      <c r="A75" s="15">
        <v>1</v>
      </c>
      <c r="B75" s="18">
        <v>6</v>
      </c>
      <c r="C75">
        <v>0.7</v>
      </c>
      <c r="E75">
        <v>1.28</v>
      </c>
      <c r="F75">
        <v>1.38</v>
      </c>
      <c r="G75">
        <v>1.47</v>
      </c>
      <c r="H75">
        <v>1.58</v>
      </c>
      <c r="I75">
        <v>0.56000000000000005</v>
      </c>
      <c r="J75">
        <v>0.43</v>
      </c>
      <c r="K75">
        <v>0.23</v>
      </c>
      <c r="L75">
        <f t="shared" si="18"/>
        <v>1.4279487179487185</v>
      </c>
      <c r="M75">
        <f t="shared" si="19"/>
        <v>0.49000000000000005</v>
      </c>
      <c r="N75" s="6">
        <f t="shared" si="20"/>
        <v>0.69969487179487211</v>
      </c>
      <c r="P75">
        <f t="shared" si="21"/>
        <v>0.55140000000000011</v>
      </c>
      <c r="Q75" t="str">
        <f t="shared" si="22"/>
        <v>Yes</v>
      </c>
      <c r="R75" t="str">
        <f t="shared" si="23"/>
        <v>Yes</v>
      </c>
    </row>
    <row r="76" spans="1:18" x14ac:dyDescent="0.3">
      <c r="A76" s="3">
        <v>2</v>
      </c>
      <c r="B76" s="15">
        <v>1</v>
      </c>
      <c r="C76">
        <v>0.6</v>
      </c>
      <c r="E76">
        <v>1</v>
      </c>
      <c r="F76">
        <v>1.1000000000000001</v>
      </c>
      <c r="G76">
        <v>1.2</v>
      </c>
      <c r="H76">
        <v>1.29</v>
      </c>
      <c r="I76">
        <v>0.76</v>
      </c>
      <c r="J76">
        <v>0.38</v>
      </c>
      <c r="K76">
        <v>0.43</v>
      </c>
      <c r="L76">
        <f t="shared" si="18"/>
        <v>1.1470940170940165</v>
      </c>
      <c r="M76">
        <f t="shared" si="19"/>
        <v>0.52333333333333332</v>
      </c>
      <c r="N76" s="6">
        <f t="shared" si="20"/>
        <v>0.60031253561253528</v>
      </c>
      <c r="P76">
        <f t="shared" si="21"/>
        <v>0.90689999999999993</v>
      </c>
      <c r="Q76" t="str">
        <f t="shared" si="22"/>
        <v>Yes</v>
      </c>
      <c r="R76" t="str">
        <f t="shared" si="23"/>
        <v>Yes</v>
      </c>
    </row>
    <row r="77" spans="1:18" x14ac:dyDescent="0.3">
      <c r="A77" s="3">
        <v>2</v>
      </c>
      <c r="B77" s="3">
        <v>2</v>
      </c>
      <c r="C77">
        <v>0.7</v>
      </c>
      <c r="E77">
        <v>0.98</v>
      </c>
      <c r="F77">
        <v>1.06</v>
      </c>
      <c r="G77">
        <v>1.18</v>
      </c>
      <c r="H77">
        <v>1.27</v>
      </c>
      <c r="I77">
        <v>0.48</v>
      </c>
      <c r="J77">
        <v>0.21</v>
      </c>
      <c r="K77">
        <v>0.19</v>
      </c>
      <c r="L77">
        <f t="shared" si="18"/>
        <v>1.1228455284552838</v>
      </c>
      <c r="M77">
        <f t="shared" si="19"/>
        <v>0.62333333333333341</v>
      </c>
      <c r="N77" s="6">
        <f t="shared" si="20"/>
        <v>0.69990704607046039</v>
      </c>
      <c r="P77">
        <f t="shared" si="21"/>
        <v>0.31059999999999999</v>
      </c>
      <c r="Q77" t="str">
        <f t="shared" si="22"/>
        <v>Yes</v>
      </c>
      <c r="R77" t="str">
        <f t="shared" si="23"/>
        <v>Yes</v>
      </c>
    </row>
    <row r="78" spans="1:18" x14ac:dyDescent="0.3">
      <c r="A78" s="3">
        <v>2</v>
      </c>
      <c r="B78" s="16">
        <v>3</v>
      </c>
      <c r="C78">
        <v>0.3</v>
      </c>
      <c r="E78">
        <v>0.51</v>
      </c>
      <c r="F78">
        <v>0.6</v>
      </c>
      <c r="G78">
        <v>0.71</v>
      </c>
      <c r="H78">
        <v>0.82</v>
      </c>
      <c r="I78">
        <v>0.38</v>
      </c>
      <c r="J78">
        <v>0.32</v>
      </c>
      <c r="K78">
        <v>0.38</v>
      </c>
      <c r="L78">
        <f t="shared" si="18"/>
        <v>0.66079365079365104</v>
      </c>
      <c r="M78">
        <f t="shared" si="19"/>
        <v>0.45333333333333331</v>
      </c>
      <c r="N78" s="6">
        <f t="shared" si="20"/>
        <v>0.29955978835978847</v>
      </c>
      <c r="P78">
        <f t="shared" si="21"/>
        <v>0.39119999999999999</v>
      </c>
      <c r="Q78" t="str">
        <f t="shared" si="22"/>
        <v>Yes</v>
      </c>
      <c r="R78" t="str">
        <f t="shared" si="23"/>
        <v>Yes</v>
      </c>
    </row>
    <row r="79" spans="1:18" x14ac:dyDescent="0.3">
      <c r="A79" s="3">
        <v>2</v>
      </c>
      <c r="B79" s="17">
        <v>4</v>
      </c>
      <c r="C79">
        <v>0.8</v>
      </c>
      <c r="E79">
        <v>1.38</v>
      </c>
      <c r="F79">
        <v>1.45</v>
      </c>
      <c r="G79">
        <v>1.55</v>
      </c>
      <c r="H79">
        <v>1.65</v>
      </c>
      <c r="I79">
        <v>0.47</v>
      </c>
      <c r="J79">
        <v>0.28000000000000003</v>
      </c>
      <c r="K79">
        <v>0.32</v>
      </c>
      <c r="L79">
        <f t="shared" si="18"/>
        <v>1.5086486486486483</v>
      </c>
      <c r="M79">
        <f t="shared" si="19"/>
        <v>0.52999999999999992</v>
      </c>
      <c r="N79" s="6">
        <f t="shared" si="20"/>
        <v>0.79958378378378347</v>
      </c>
      <c r="P79">
        <f t="shared" si="21"/>
        <v>0.4017</v>
      </c>
      <c r="Q79" t="str">
        <f t="shared" si="22"/>
        <v>Yes</v>
      </c>
      <c r="R79" t="str">
        <f t="shared" si="23"/>
        <v>Yes</v>
      </c>
    </row>
    <row r="80" spans="1:18" x14ac:dyDescent="0.3">
      <c r="A80" s="3">
        <v>2</v>
      </c>
      <c r="B80" s="5">
        <v>5</v>
      </c>
      <c r="C80">
        <v>0.4</v>
      </c>
      <c r="E80">
        <v>0.75</v>
      </c>
      <c r="F80">
        <v>0.84</v>
      </c>
      <c r="G80">
        <v>0.95</v>
      </c>
      <c r="H80">
        <v>1.04</v>
      </c>
      <c r="I80">
        <v>0.36</v>
      </c>
      <c r="J80">
        <v>0.32</v>
      </c>
      <c r="K80">
        <v>0.38</v>
      </c>
      <c r="L80">
        <f t="shared" si="18"/>
        <v>0.89500000000000013</v>
      </c>
      <c r="M80">
        <f t="shared" si="19"/>
        <v>0.4466666666666666</v>
      </c>
      <c r="N80" s="6">
        <f t="shared" si="20"/>
        <v>0.39976666666666666</v>
      </c>
      <c r="P80">
        <f t="shared" si="21"/>
        <v>0.37639999999999996</v>
      </c>
      <c r="Q80" t="str">
        <f t="shared" si="22"/>
        <v>Yes</v>
      </c>
      <c r="R80" t="str">
        <f t="shared" si="23"/>
        <v>Yes</v>
      </c>
    </row>
    <row r="81" spans="1:18" x14ac:dyDescent="0.3">
      <c r="A81" s="3">
        <v>2</v>
      </c>
      <c r="B81" s="18">
        <v>6</v>
      </c>
      <c r="C81">
        <v>0.6</v>
      </c>
      <c r="E81">
        <v>0.78</v>
      </c>
      <c r="F81">
        <v>0.88</v>
      </c>
      <c r="G81">
        <v>0.98</v>
      </c>
      <c r="H81">
        <v>1.0900000000000001</v>
      </c>
      <c r="I81">
        <v>0.66</v>
      </c>
      <c r="J81">
        <v>0.21</v>
      </c>
      <c r="K81">
        <v>0.31</v>
      </c>
      <c r="L81">
        <f t="shared" si="18"/>
        <v>0.9329268292682924</v>
      </c>
      <c r="M81">
        <f t="shared" si="19"/>
        <v>0.64333333333333342</v>
      </c>
      <c r="N81" s="6">
        <f t="shared" si="20"/>
        <v>0.60018292682926822</v>
      </c>
      <c r="P81">
        <f t="shared" si="21"/>
        <v>0.57579999999999998</v>
      </c>
      <c r="Q81" t="str">
        <f t="shared" si="22"/>
        <v>Yes</v>
      </c>
      <c r="R81" t="str">
        <f t="shared" si="23"/>
        <v>Yes</v>
      </c>
    </row>
    <row r="85" spans="1:18" x14ac:dyDescent="0.3">
      <c r="A85" t="s">
        <v>98</v>
      </c>
    </row>
    <row r="86" spans="1:18" x14ac:dyDescent="0.3">
      <c r="A86" s="10" t="s">
        <v>91</v>
      </c>
    </row>
    <row r="88" spans="1:18" x14ac:dyDescent="0.3">
      <c r="A88" t="s">
        <v>40</v>
      </c>
      <c r="B88" t="s">
        <v>99</v>
      </c>
      <c r="D88" s="2" t="s">
        <v>4</v>
      </c>
      <c r="E88" s="2" t="s">
        <v>5</v>
      </c>
      <c r="F88" s="2" t="s">
        <v>6</v>
      </c>
      <c r="G88" s="2" t="s">
        <v>7</v>
      </c>
      <c r="H88" s="3" t="s">
        <v>8</v>
      </c>
      <c r="I88" s="3" t="s">
        <v>9</v>
      </c>
      <c r="J88" s="3" t="s">
        <v>10</v>
      </c>
      <c r="K88" s="4" t="s">
        <v>13</v>
      </c>
      <c r="L88" s="4" t="s">
        <v>12</v>
      </c>
      <c r="M88" s="5" t="s">
        <v>11</v>
      </c>
      <c r="O88" t="s">
        <v>14</v>
      </c>
      <c r="P88" t="s">
        <v>30</v>
      </c>
      <c r="Q88" t="s">
        <v>31</v>
      </c>
    </row>
    <row r="89" spans="1:18" x14ac:dyDescent="0.3">
      <c r="A89">
        <v>1</v>
      </c>
      <c r="B89">
        <v>40</v>
      </c>
      <c r="D89">
        <v>68.5</v>
      </c>
      <c r="E89">
        <v>69.22</v>
      </c>
      <c r="F89">
        <v>70.209999999999994</v>
      </c>
      <c r="G89">
        <v>71.11</v>
      </c>
      <c r="H89">
        <v>0.45</v>
      </c>
      <c r="I89">
        <v>0.21</v>
      </c>
      <c r="J89">
        <v>0.31</v>
      </c>
      <c r="K89">
        <f>((F89^2)+(F89*G89)+(G89^2)-(D89^2)-(D89*E89)-(E89^2))/(3*(G89+F89-D89-E89))</f>
        <v>69.766749999999988</v>
      </c>
      <c r="L89">
        <f>(H89-(2*I89)-J89+2)/3</f>
        <v>0.57333333333333336</v>
      </c>
      <c r="M89" s="6">
        <f>K89*L89</f>
        <v>39.999603333333326</v>
      </c>
      <c r="O89">
        <f>H89^2+I89^2+J89^2</f>
        <v>0.3427</v>
      </c>
      <c r="P89" t="str">
        <f>IF(AND(O89&gt;=0,O89&lt;=1),"Yes","No")</f>
        <v>Yes</v>
      </c>
      <c r="Q89" t="str">
        <f>IF(ROUND(M89,2)=B89,"Yes","No")</f>
        <v>Yes</v>
      </c>
    </row>
    <row r="90" spans="1:18" x14ac:dyDescent="0.3">
      <c r="A90">
        <v>2</v>
      </c>
      <c r="B90">
        <v>30</v>
      </c>
      <c r="D90">
        <v>50.2</v>
      </c>
      <c r="E90">
        <v>60.28</v>
      </c>
      <c r="F90">
        <v>70.2</v>
      </c>
      <c r="G90">
        <v>80.2</v>
      </c>
      <c r="H90">
        <v>0.5</v>
      </c>
      <c r="I90">
        <v>0.39</v>
      </c>
      <c r="J90">
        <v>0.34</v>
      </c>
      <c r="K90">
        <f t="shared" ref="K90:K91" si="24">((F90^2)+(F90*G90)+(G90^2)-(D90^2)-(D90*E90)-(E90^2))/(3*(G90+F90-D90-E90))</f>
        <v>65.21664662658651</v>
      </c>
      <c r="L90">
        <f t="shared" ref="L90:L91" si="25">(H90-(2*I90)-J90+2)/3</f>
        <v>0.45999999999999996</v>
      </c>
      <c r="M90" s="6">
        <f t="shared" ref="M90:M91" si="26">K90*L90</f>
        <v>29.999657448229794</v>
      </c>
      <c r="O90">
        <f t="shared" ref="O90:O91" si="27">H90^2+I90^2+J90^2</f>
        <v>0.51770000000000005</v>
      </c>
      <c r="P90" t="str">
        <f t="shared" ref="P90:P91" si="28">IF(AND(O90&gt;=0,O90&lt;=1),"Yes","No")</f>
        <v>Yes</v>
      </c>
      <c r="Q90" t="str">
        <f t="shared" ref="Q90:Q91" si="29">IF(ROUND(M90,2)=B90,"Yes","No")</f>
        <v>Yes</v>
      </c>
    </row>
    <row r="91" spans="1:18" x14ac:dyDescent="0.3">
      <c r="A91">
        <v>3</v>
      </c>
      <c r="B91">
        <v>34</v>
      </c>
      <c r="D91">
        <v>63.31</v>
      </c>
      <c r="E91">
        <v>64.510000000000005</v>
      </c>
      <c r="F91">
        <v>65.599999999999994</v>
      </c>
      <c r="G91">
        <v>66.5</v>
      </c>
      <c r="H91">
        <v>0.56999999999999995</v>
      </c>
      <c r="I91">
        <v>0.32</v>
      </c>
      <c r="J91">
        <v>0.36</v>
      </c>
      <c r="K91">
        <f t="shared" si="24"/>
        <v>64.967733644859806</v>
      </c>
      <c r="L91">
        <f t="shared" si="25"/>
        <v>0.52333333333333332</v>
      </c>
      <c r="M91" s="6">
        <f t="shared" si="26"/>
        <v>33.99978060747663</v>
      </c>
      <c r="O91">
        <f t="shared" si="27"/>
        <v>0.55689999999999995</v>
      </c>
      <c r="P91" t="str">
        <f t="shared" si="28"/>
        <v>Yes</v>
      </c>
      <c r="Q91" t="str">
        <f t="shared" si="29"/>
        <v>Yes</v>
      </c>
    </row>
    <row r="95" spans="1:18" x14ac:dyDescent="0.3">
      <c r="A95" t="s">
        <v>100</v>
      </c>
    </row>
    <row r="96" spans="1:18" x14ac:dyDescent="0.3">
      <c r="A96" s="10" t="s">
        <v>92</v>
      </c>
      <c r="J96" s="19"/>
    </row>
    <row r="98" spans="1:17" x14ac:dyDescent="0.3">
      <c r="A98" t="s">
        <v>55</v>
      </c>
      <c r="B98" t="s">
        <v>101</v>
      </c>
      <c r="D98" s="2" t="s">
        <v>4</v>
      </c>
      <c r="E98" s="2" t="s">
        <v>5</v>
      </c>
      <c r="F98" s="2" t="s">
        <v>6</v>
      </c>
      <c r="G98" s="2" t="s">
        <v>7</v>
      </c>
      <c r="H98" s="3" t="s">
        <v>8</v>
      </c>
      <c r="I98" s="3" t="s">
        <v>9</v>
      </c>
      <c r="J98" s="3" t="s">
        <v>10</v>
      </c>
      <c r="K98" s="4" t="s">
        <v>13</v>
      </c>
      <c r="L98" s="4" t="s">
        <v>12</v>
      </c>
      <c r="M98" s="5" t="s">
        <v>11</v>
      </c>
      <c r="O98" t="s">
        <v>14</v>
      </c>
      <c r="P98" t="s">
        <v>30</v>
      </c>
      <c r="Q98" t="s">
        <v>31</v>
      </c>
    </row>
    <row r="99" spans="1:17" x14ac:dyDescent="0.3">
      <c r="A99">
        <v>1</v>
      </c>
      <c r="B99">
        <v>35</v>
      </c>
      <c r="D99">
        <v>76.400000000000006</v>
      </c>
      <c r="E99">
        <v>77.3</v>
      </c>
      <c r="F99">
        <v>78.3</v>
      </c>
      <c r="G99">
        <v>79.12</v>
      </c>
      <c r="H99">
        <v>0.65</v>
      </c>
      <c r="I99">
        <v>0.43</v>
      </c>
      <c r="J99">
        <v>0.44</v>
      </c>
      <c r="K99">
        <f>((F99^2)+(F99*G99)+(G99^2)-(D99^2)-(D99*E99)-(E99^2))/(3*(G99+F99-D99-E99))</f>
        <v>77.776917562723952</v>
      </c>
      <c r="L99">
        <f>(H99-(2*I99)-J99+2)/3</f>
        <v>0.45</v>
      </c>
      <c r="M99" s="6">
        <f>K99*L99</f>
        <v>34.999612903225781</v>
      </c>
      <c r="O99">
        <f>H99^2+I99^2+J99^2</f>
        <v>0.80100000000000005</v>
      </c>
      <c r="P99" t="str">
        <f>IF(AND(O99&gt;=0,O99&lt;=1),"Yes","No")</f>
        <v>Yes</v>
      </c>
      <c r="Q99" t="str">
        <f>IF(ROUND(M99,2)=B99,"Yes","No")</f>
        <v>Yes</v>
      </c>
    </row>
    <row r="100" spans="1:17" x14ac:dyDescent="0.3">
      <c r="A100">
        <v>2</v>
      </c>
      <c r="B100">
        <v>44</v>
      </c>
      <c r="D100">
        <v>78.5</v>
      </c>
      <c r="E100">
        <v>79.5</v>
      </c>
      <c r="F100">
        <v>80.5</v>
      </c>
      <c r="G100">
        <v>81.5</v>
      </c>
      <c r="H100">
        <v>0.46</v>
      </c>
      <c r="I100">
        <v>0.31</v>
      </c>
      <c r="J100">
        <v>0.19</v>
      </c>
      <c r="K100">
        <f t="shared" ref="K100:K101" si="30">((F100^2)+(F100*G100)+(G100^2)-(D100^2)-(D100*E100)-(E100^2))/(3*(G100+F100-D100-E100))</f>
        <v>80</v>
      </c>
      <c r="L100">
        <f t="shared" ref="L100:L101" si="31">(H100-(2*I100)-J100+2)/3</f>
        <v>0.54999999999999993</v>
      </c>
      <c r="M100" s="6">
        <f t="shared" ref="M100:M101" si="32">K100*L100</f>
        <v>43.999999999999993</v>
      </c>
      <c r="O100">
        <f t="shared" ref="O100:O101" si="33">H100^2+I100^2+J100^2</f>
        <v>0.34380000000000005</v>
      </c>
      <c r="P100" t="str">
        <f t="shared" ref="P100:P101" si="34">IF(AND(O100&gt;=0,O100&lt;=1),"Yes","No")</f>
        <v>Yes</v>
      </c>
      <c r="Q100" t="str">
        <f t="shared" ref="Q100:Q101" si="35">IF(ROUND(M100,2)=B100,"Yes","No")</f>
        <v>Yes</v>
      </c>
    </row>
    <row r="101" spans="1:17" x14ac:dyDescent="0.3">
      <c r="A101">
        <v>3</v>
      </c>
      <c r="B101">
        <v>46</v>
      </c>
      <c r="D101">
        <v>75.2</v>
      </c>
      <c r="E101">
        <v>76.2</v>
      </c>
      <c r="F101">
        <v>77.180000000000007</v>
      </c>
      <c r="G101">
        <v>78.099999999999994</v>
      </c>
      <c r="H101">
        <v>0.67</v>
      </c>
      <c r="I101">
        <v>0.27</v>
      </c>
      <c r="J101">
        <v>0.33</v>
      </c>
      <c r="K101">
        <f t="shared" si="30"/>
        <v>76.666701030927726</v>
      </c>
      <c r="L101">
        <f t="shared" si="31"/>
        <v>0.6</v>
      </c>
      <c r="M101" s="6">
        <f t="shared" si="32"/>
        <v>46.000020618556633</v>
      </c>
      <c r="O101">
        <f t="shared" si="33"/>
        <v>0.63070000000000004</v>
      </c>
      <c r="P101" t="str">
        <f t="shared" si="34"/>
        <v>Yes</v>
      </c>
      <c r="Q101" t="str">
        <f t="shared" si="35"/>
        <v>Yes</v>
      </c>
    </row>
    <row r="105" spans="1:17" x14ac:dyDescent="0.3">
      <c r="A105" t="s">
        <v>107</v>
      </c>
    </row>
    <row r="106" spans="1:17" x14ac:dyDescent="0.3">
      <c r="A106" s="10" t="s">
        <v>93</v>
      </c>
    </row>
    <row r="108" spans="1:17" x14ac:dyDescent="0.3">
      <c r="A108" t="s">
        <v>72</v>
      </c>
      <c r="B108" t="s">
        <v>102</v>
      </c>
      <c r="D108" s="2" t="s">
        <v>4</v>
      </c>
      <c r="E108" s="2" t="s">
        <v>5</v>
      </c>
      <c r="F108" s="2" t="s">
        <v>6</v>
      </c>
      <c r="G108" s="2" t="s">
        <v>7</v>
      </c>
      <c r="H108" s="3" t="s">
        <v>8</v>
      </c>
      <c r="I108" s="3" t="s">
        <v>9</v>
      </c>
      <c r="J108" s="3" t="s">
        <v>10</v>
      </c>
      <c r="K108" s="4" t="s">
        <v>13</v>
      </c>
      <c r="L108" s="4" t="s">
        <v>12</v>
      </c>
      <c r="M108" s="5" t="s">
        <v>11</v>
      </c>
      <c r="O108" t="s">
        <v>14</v>
      </c>
      <c r="P108" t="s">
        <v>30</v>
      </c>
      <c r="Q108" t="s">
        <v>31</v>
      </c>
    </row>
    <row r="109" spans="1:17" x14ac:dyDescent="0.3">
      <c r="A109">
        <v>1</v>
      </c>
      <c r="B109">
        <v>43</v>
      </c>
      <c r="D109">
        <v>60</v>
      </c>
      <c r="E109">
        <v>70</v>
      </c>
      <c r="F109">
        <v>80</v>
      </c>
      <c r="G109">
        <v>90</v>
      </c>
      <c r="H109">
        <v>0.45</v>
      </c>
      <c r="I109">
        <v>0.21</v>
      </c>
      <c r="J109">
        <v>0.31</v>
      </c>
      <c r="K109">
        <f>((F109^2)+(F109*G109)+(G109^2)-(D109^2)-(D109*E109)-(E109^2))/(3*(G109+F109-D109-E109))</f>
        <v>75</v>
      </c>
      <c r="L109">
        <f>(H109-(2*I109)-J109+2)/3</f>
        <v>0.57333333333333336</v>
      </c>
      <c r="M109" s="6">
        <f>K109*L109</f>
        <v>43</v>
      </c>
      <c r="O109">
        <f>H109^2+I109^2+J109^2</f>
        <v>0.3427</v>
      </c>
      <c r="P109" t="str">
        <f>IF(AND(O109&gt;=0,O109&lt;=1),"Yes","No")</f>
        <v>Yes</v>
      </c>
      <c r="Q109" t="str">
        <f>IF(ROUND(M109,2)=B109,"Yes","No")</f>
        <v>Yes</v>
      </c>
    </row>
    <row r="110" spans="1:17" x14ac:dyDescent="0.3">
      <c r="A110">
        <v>2</v>
      </c>
      <c r="B110">
        <v>54</v>
      </c>
      <c r="D110">
        <v>90.03</v>
      </c>
      <c r="E110">
        <v>91.02</v>
      </c>
      <c r="F110">
        <v>92.02</v>
      </c>
      <c r="G110">
        <v>93.03</v>
      </c>
      <c r="H110">
        <v>0.67</v>
      </c>
      <c r="I110">
        <v>0.39</v>
      </c>
      <c r="J110">
        <v>0.12</v>
      </c>
      <c r="K110">
        <f>((F110^2)+(F110*G110)+(G110^2)-(D110^2)-(D110*E110)-(E110^2))/(3*(G110+F110-D110-E110))</f>
        <v>91.525833333333111</v>
      </c>
      <c r="L110">
        <f>(H110-(2*I110)-J110+2)/3</f>
        <v>0.59</v>
      </c>
      <c r="M110" s="6">
        <f>K110*L110</f>
        <v>54.000241666666533</v>
      </c>
      <c r="O110">
        <f>H110^2+I110^2+J110^2</f>
        <v>0.61540000000000006</v>
      </c>
      <c r="P110" t="str">
        <f>IF(AND(O110&gt;=0,O110&lt;=1),"Yes","No")</f>
        <v>Yes</v>
      </c>
      <c r="Q110" t="str">
        <f>IF(ROUND(M110,2)=B110,"Yes","No")</f>
        <v>Yes</v>
      </c>
    </row>
    <row r="114" spans="1:17" x14ac:dyDescent="0.3">
      <c r="A114" t="s">
        <v>103</v>
      </c>
    </row>
    <row r="115" spans="1:17" x14ac:dyDescent="0.3">
      <c r="A115" s="10" t="s">
        <v>94</v>
      </c>
    </row>
    <row r="117" spans="1:17" x14ac:dyDescent="0.3">
      <c r="A117" t="s">
        <v>67</v>
      </c>
      <c r="B117" t="s">
        <v>104</v>
      </c>
      <c r="D117" s="2" t="s">
        <v>4</v>
      </c>
      <c r="E117" s="2" t="s">
        <v>5</v>
      </c>
      <c r="F117" s="2" t="s">
        <v>6</v>
      </c>
      <c r="G117" s="2" t="s">
        <v>7</v>
      </c>
      <c r="H117" s="3" t="s">
        <v>8</v>
      </c>
      <c r="I117" s="3" t="s">
        <v>9</v>
      </c>
      <c r="J117" s="3" t="s">
        <v>10</v>
      </c>
      <c r="K117" s="4" t="s">
        <v>13</v>
      </c>
      <c r="L117" s="4" t="s">
        <v>12</v>
      </c>
      <c r="M117" s="5" t="s">
        <v>11</v>
      </c>
      <c r="O117" t="s">
        <v>14</v>
      </c>
      <c r="P117" t="s">
        <v>30</v>
      </c>
      <c r="Q117" t="s">
        <v>31</v>
      </c>
    </row>
    <row r="118" spans="1:17" x14ac:dyDescent="0.3">
      <c r="A118">
        <v>1</v>
      </c>
      <c r="B118">
        <v>44</v>
      </c>
      <c r="D118">
        <v>57.63</v>
      </c>
      <c r="E118">
        <v>58.54</v>
      </c>
      <c r="F118">
        <v>59.33</v>
      </c>
      <c r="G118">
        <v>60.22</v>
      </c>
      <c r="H118">
        <v>0.83</v>
      </c>
      <c r="I118">
        <v>0.2</v>
      </c>
      <c r="J118">
        <v>0.19</v>
      </c>
      <c r="K118">
        <f>((F118^2)+(F118*G118)+(G118^2)-(D118^2)-(D118*E118)-(E118^2))/(3*(G118+F118-D118-E118))</f>
        <v>58.929112426035459</v>
      </c>
      <c r="L118">
        <f>(H118-(2*I118)-J118+2)/3</f>
        <v>0.74666666666666659</v>
      </c>
      <c r="M118" s="6">
        <f>K118*L118</f>
        <v>44.00040394477314</v>
      </c>
      <c r="O118">
        <f>H118^2+I118^2+J118^2</f>
        <v>0.76500000000000001</v>
      </c>
      <c r="P118" t="str">
        <f>IF(AND(O118&gt;=0,O118&lt;=1),"Yes","No")</f>
        <v>Yes</v>
      </c>
      <c r="Q118" t="str">
        <f>IF(ROUND(M118,2)=B118,"Yes","No")</f>
        <v>Yes</v>
      </c>
    </row>
    <row r="119" spans="1:17" x14ac:dyDescent="0.3">
      <c r="A119">
        <v>2</v>
      </c>
      <c r="B119">
        <v>31</v>
      </c>
      <c r="D119">
        <v>63.1</v>
      </c>
      <c r="E119">
        <v>64.099999999999994</v>
      </c>
      <c r="F119">
        <v>65.09</v>
      </c>
      <c r="G119">
        <v>66.05</v>
      </c>
      <c r="H119">
        <v>0.67</v>
      </c>
      <c r="I119">
        <v>0.45</v>
      </c>
      <c r="J119">
        <v>0.33</v>
      </c>
      <c r="K119">
        <f t="shared" ref="K119:K120" si="36">((F119^2)+(F119*G119)+(G119^2)-(D119^2)-(D119*E119)-(E119^2))/(3*(G119+F119-D119-E119))</f>
        <v>64.583341793570511</v>
      </c>
      <c r="L119">
        <f t="shared" ref="L119:L120" si="37">(H119-(2*I119)-J119+2)/3</f>
        <v>0.48</v>
      </c>
      <c r="M119" s="6">
        <f t="shared" ref="M119:M120" si="38">K119*L119</f>
        <v>31.000004060913845</v>
      </c>
      <c r="O119">
        <f t="shared" ref="O119:O120" si="39">H119^2+I119^2+J119^2</f>
        <v>0.76030000000000009</v>
      </c>
      <c r="P119" t="str">
        <f t="shared" ref="P119:P120" si="40">IF(AND(O119&gt;=0,O119&lt;=1),"Yes","No")</f>
        <v>Yes</v>
      </c>
      <c r="Q119" t="str">
        <f t="shared" ref="Q119:Q120" si="41">IF(ROUND(M119,2)=B119,"Yes","No")</f>
        <v>Yes</v>
      </c>
    </row>
    <row r="120" spans="1:17" x14ac:dyDescent="0.3">
      <c r="A120">
        <v>3</v>
      </c>
      <c r="B120">
        <v>42</v>
      </c>
      <c r="D120">
        <v>86</v>
      </c>
      <c r="E120">
        <v>87</v>
      </c>
      <c r="F120">
        <v>88</v>
      </c>
      <c r="G120">
        <v>89</v>
      </c>
      <c r="H120">
        <v>0.57999999999999996</v>
      </c>
      <c r="I120">
        <v>0.43</v>
      </c>
      <c r="J120">
        <v>0.28000000000000003</v>
      </c>
      <c r="K120">
        <f t="shared" si="36"/>
        <v>87.5</v>
      </c>
      <c r="L120">
        <f t="shared" si="37"/>
        <v>0.48</v>
      </c>
      <c r="M120" s="6">
        <f t="shared" si="38"/>
        <v>42</v>
      </c>
      <c r="O120">
        <f t="shared" si="39"/>
        <v>0.59970000000000001</v>
      </c>
      <c r="P120" t="str">
        <f t="shared" si="40"/>
        <v>Yes</v>
      </c>
      <c r="Q120" t="str">
        <f t="shared" si="41"/>
        <v>Yes</v>
      </c>
    </row>
    <row r="124" spans="1:17" x14ac:dyDescent="0.3">
      <c r="A124" t="s">
        <v>105</v>
      </c>
    </row>
    <row r="125" spans="1:17" x14ac:dyDescent="0.3">
      <c r="A125" s="10" t="s">
        <v>95</v>
      </c>
    </row>
    <row r="126" spans="1:17" x14ac:dyDescent="0.3">
      <c r="A126" s="11" t="s">
        <v>96</v>
      </c>
    </row>
    <row r="127" spans="1:17" x14ac:dyDescent="0.3">
      <c r="A127" s="11" t="s">
        <v>97</v>
      </c>
    </row>
    <row r="129" spans="1:18" x14ac:dyDescent="0.3">
      <c r="A129" t="s">
        <v>28</v>
      </c>
      <c r="B129" t="s">
        <v>10</v>
      </c>
      <c r="C129" t="s">
        <v>106</v>
      </c>
      <c r="E129" s="2" t="s">
        <v>4</v>
      </c>
      <c r="F129" s="2" t="s">
        <v>5</v>
      </c>
      <c r="G129" s="2" t="s">
        <v>6</v>
      </c>
      <c r="H129" s="2" t="s">
        <v>7</v>
      </c>
      <c r="I129" s="3" t="s">
        <v>8</v>
      </c>
      <c r="J129" s="3" t="s">
        <v>9</v>
      </c>
      <c r="K129" s="3" t="s">
        <v>10</v>
      </c>
      <c r="L129" s="4" t="s">
        <v>13</v>
      </c>
      <c r="M129" s="4" t="s">
        <v>12</v>
      </c>
      <c r="N129" s="5" t="s">
        <v>11</v>
      </c>
      <c r="P129" t="s">
        <v>14</v>
      </c>
      <c r="Q129" t="s">
        <v>30</v>
      </c>
      <c r="R129" t="s">
        <v>31</v>
      </c>
    </row>
    <row r="130" spans="1:18" x14ac:dyDescent="0.3">
      <c r="A130" s="15">
        <v>1</v>
      </c>
      <c r="B130" s="15">
        <v>1</v>
      </c>
      <c r="C130">
        <v>0.5</v>
      </c>
      <c r="E130">
        <v>0.87</v>
      </c>
      <c r="F130">
        <v>0.98</v>
      </c>
      <c r="G130">
        <v>1.06</v>
      </c>
      <c r="H130">
        <v>1.1000000000000001</v>
      </c>
      <c r="I130">
        <v>0.28000000000000003</v>
      </c>
      <c r="J130">
        <v>0.17</v>
      </c>
      <c r="K130">
        <v>0.44</v>
      </c>
      <c r="L130">
        <f>((G130^2)+(G130*H130)+(H130^2)-(E130^2)-(E130*F130)-(F130^2))/(3*(H130+G130-E130-F130))</f>
        <v>0.99967741935483878</v>
      </c>
      <c r="M130">
        <f>(I130-(2*J130)-K130+2)/3</f>
        <v>0.5</v>
      </c>
      <c r="N130" s="6">
        <f>L130*M130</f>
        <v>0.49983870967741939</v>
      </c>
      <c r="P130">
        <f>I130^2+J130^2+K130^2</f>
        <v>0.3009</v>
      </c>
      <c r="Q130" t="str">
        <f>IF(AND(P130&gt;=0,P130&lt;=1),"Yes","No")</f>
        <v>Yes</v>
      </c>
      <c r="R130" t="str">
        <f>IF(ROUND(N130,2)=C130,"Yes","No")</f>
        <v>Yes</v>
      </c>
    </row>
    <row r="131" spans="1:18" x14ac:dyDescent="0.3">
      <c r="A131" s="15">
        <v>1</v>
      </c>
      <c r="B131" s="3">
        <v>2</v>
      </c>
      <c r="C131">
        <v>0</v>
      </c>
      <c r="E131">
        <v>1</v>
      </c>
      <c r="F131">
        <v>2</v>
      </c>
      <c r="G131">
        <v>3</v>
      </c>
      <c r="H131">
        <v>4</v>
      </c>
      <c r="I131">
        <v>0</v>
      </c>
      <c r="J131">
        <v>1</v>
      </c>
      <c r="K131">
        <v>0</v>
      </c>
      <c r="L131">
        <f t="shared" ref="L131:L147" si="42">((G131^2)+(G131*H131)+(H131^2)-(E131^2)-(E131*F131)-(F131^2))/(3*(H131+G131-E131-F131))</f>
        <v>2.5</v>
      </c>
      <c r="M131">
        <f t="shared" ref="M131:M147" si="43">(I131-(2*J131)-K131+2)/3</f>
        <v>0</v>
      </c>
      <c r="N131" s="6">
        <f t="shared" ref="N131:N147" si="44">L131*M131</f>
        <v>0</v>
      </c>
      <c r="P131">
        <f t="shared" ref="P131:P147" si="45">I131^2+J131^2+K131^2</f>
        <v>1</v>
      </c>
      <c r="Q131" t="str">
        <f t="shared" ref="Q131:Q147" si="46">IF(AND(P131&gt;=0,P131&lt;=1),"Yes","No")</f>
        <v>Yes</v>
      </c>
      <c r="R131" t="str">
        <f t="shared" ref="R131:R147" si="47">IF(ROUND(N131,2)=C131,"Yes","No")</f>
        <v>Yes</v>
      </c>
    </row>
    <row r="132" spans="1:18" x14ac:dyDescent="0.3">
      <c r="A132" s="15">
        <v>1</v>
      </c>
      <c r="B132" s="16">
        <v>3</v>
      </c>
      <c r="C132">
        <v>0.1</v>
      </c>
      <c r="E132">
        <v>0.15</v>
      </c>
      <c r="F132">
        <v>0.25</v>
      </c>
      <c r="G132">
        <v>0.35</v>
      </c>
      <c r="H132">
        <v>0.4</v>
      </c>
      <c r="I132">
        <v>0.1</v>
      </c>
      <c r="J132">
        <v>0.3</v>
      </c>
      <c r="K132">
        <v>0.45</v>
      </c>
      <c r="L132">
        <f t="shared" si="42"/>
        <v>0.28571428571428575</v>
      </c>
      <c r="M132">
        <f t="shared" si="43"/>
        <v>0.35000000000000003</v>
      </c>
      <c r="N132" s="6">
        <f t="shared" si="44"/>
        <v>0.10000000000000002</v>
      </c>
      <c r="P132">
        <f t="shared" si="45"/>
        <v>0.30249999999999999</v>
      </c>
      <c r="Q132" t="str">
        <f t="shared" si="46"/>
        <v>Yes</v>
      </c>
      <c r="R132" t="str">
        <f t="shared" si="47"/>
        <v>Yes</v>
      </c>
    </row>
    <row r="133" spans="1:18" x14ac:dyDescent="0.3">
      <c r="A133" s="15">
        <v>1</v>
      </c>
      <c r="B133" s="17">
        <v>4</v>
      </c>
      <c r="C133">
        <v>0.7</v>
      </c>
      <c r="E133">
        <v>0.91</v>
      </c>
      <c r="F133">
        <v>1.01</v>
      </c>
      <c r="G133">
        <v>1.1100000000000001</v>
      </c>
      <c r="H133">
        <v>1.21</v>
      </c>
      <c r="I133">
        <v>0.87</v>
      </c>
      <c r="J133">
        <v>0.26</v>
      </c>
      <c r="K133">
        <v>0.37</v>
      </c>
      <c r="L133">
        <f t="shared" si="42"/>
        <v>1.06</v>
      </c>
      <c r="M133">
        <f t="shared" si="43"/>
        <v>0.66</v>
      </c>
      <c r="N133" s="6">
        <f t="shared" si="44"/>
        <v>0.69960000000000011</v>
      </c>
      <c r="P133">
        <f t="shared" si="45"/>
        <v>0.96140000000000003</v>
      </c>
      <c r="Q133" t="str">
        <f t="shared" si="46"/>
        <v>Yes</v>
      </c>
      <c r="R133" t="str">
        <f t="shared" si="47"/>
        <v>Yes</v>
      </c>
    </row>
    <row r="134" spans="1:18" x14ac:dyDescent="0.3">
      <c r="A134" s="15">
        <v>1</v>
      </c>
      <c r="B134" s="5">
        <v>5</v>
      </c>
      <c r="C134">
        <v>0</v>
      </c>
      <c r="E134">
        <v>1</v>
      </c>
      <c r="F134">
        <v>2</v>
      </c>
      <c r="G134">
        <v>3</v>
      </c>
      <c r="H134">
        <v>4</v>
      </c>
      <c r="I134">
        <v>0</v>
      </c>
      <c r="J134">
        <v>1</v>
      </c>
      <c r="K134">
        <v>0</v>
      </c>
      <c r="L134">
        <f t="shared" si="42"/>
        <v>2.5</v>
      </c>
      <c r="M134">
        <f t="shared" si="43"/>
        <v>0</v>
      </c>
      <c r="N134" s="6">
        <f t="shared" si="44"/>
        <v>0</v>
      </c>
      <c r="P134">
        <f t="shared" si="45"/>
        <v>1</v>
      </c>
      <c r="Q134" t="str">
        <f t="shared" si="46"/>
        <v>Yes</v>
      </c>
      <c r="R134" t="str">
        <f t="shared" si="47"/>
        <v>Yes</v>
      </c>
    </row>
    <row r="135" spans="1:18" x14ac:dyDescent="0.3">
      <c r="A135" s="15">
        <v>1</v>
      </c>
      <c r="B135" s="18">
        <v>6</v>
      </c>
      <c r="C135">
        <v>0</v>
      </c>
      <c r="E135">
        <v>1</v>
      </c>
      <c r="F135">
        <v>2</v>
      </c>
      <c r="G135">
        <v>3</v>
      </c>
      <c r="H135">
        <v>4</v>
      </c>
      <c r="I135">
        <v>0</v>
      </c>
      <c r="J135">
        <v>1</v>
      </c>
      <c r="K135">
        <v>0</v>
      </c>
      <c r="L135">
        <f t="shared" si="42"/>
        <v>2.5</v>
      </c>
      <c r="M135">
        <f t="shared" si="43"/>
        <v>0</v>
      </c>
      <c r="N135" s="6">
        <f t="shared" si="44"/>
        <v>0</v>
      </c>
      <c r="P135">
        <f t="shared" si="45"/>
        <v>1</v>
      </c>
      <c r="Q135" t="str">
        <f t="shared" si="46"/>
        <v>Yes</v>
      </c>
      <c r="R135" t="str">
        <f t="shared" si="47"/>
        <v>Yes</v>
      </c>
    </row>
    <row r="136" spans="1:18" x14ac:dyDescent="0.3">
      <c r="A136" s="3">
        <v>2</v>
      </c>
      <c r="B136" s="15">
        <v>1</v>
      </c>
      <c r="C136">
        <v>0.5</v>
      </c>
      <c r="E136">
        <v>0.86</v>
      </c>
      <c r="F136">
        <v>0.96</v>
      </c>
      <c r="G136">
        <v>1.08</v>
      </c>
      <c r="H136">
        <v>1.1299999999999999</v>
      </c>
      <c r="I136">
        <v>0.67</v>
      </c>
      <c r="J136">
        <v>0.37</v>
      </c>
      <c r="K136">
        <v>0.44</v>
      </c>
      <c r="L136">
        <f t="shared" si="42"/>
        <v>1.0058974358974353</v>
      </c>
      <c r="M136">
        <f t="shared" si="43"/>
        <v>0.49666666666666665</v>
      </c>
      <c r="N136" s="6">
        <f t="shared" si="44"/>
        <v>0.4995957264957262</v>
      </c>
      <c r="P136">
        <f t="shared" si="45"/>
        <v>0.77940000000000009</v>
      </c>
      <c r="Q136" t="str">
        <f t="shared" si="46"/>
        <v>Yes</v>
      </c>
      <c r="R136" t="str">
        <f t="shared" si="47"/>
        <v>Yes</v>
      </c>
    </row>
    <row r="137" spans="1:18" x14ac:dyDescent="0.3">
      <c r="A137" s="3">
        <v>2</v>
      </c>
      <c r="B137" s="3">
        <v>2</v>
      </c>
      <c r="C137">
        <v>0</v>
      </c>
      <c r="E137">
        <v>1</v>
      </c>
      <c r="F137">
        <v>2</v>
      </c>
      <c r="G137">
        <v>3</v>
      </c>
      <c r="H137">
        <v>4</v>
      </c>
      <c r="I137">
        <v>0</v>
      </c>
      <c r="J137">
        <v>1</v>
      </c>
      <c r="K137">
        <v>0</v>
      </c>
      <c r="L137">
        <f t="shared" si="42"/>
        <v>2.5</v>
      </c>
      <c r="M137">
        <f t="shared" si="43"/>
        <v>0</v>
      </c>
      <c r="N137" s="6">
        <f t="shared" si="44"/>
        <v>0</v>
      </c>
      <c r="P137">
        <f t="shared" si="45"/>
        <v>1</v>
      </c>
      <c r="Q137" t="str">
        <f t="shared" si="46"/>
        <v>Yes</v>
      </c>
      <c r="R137" t="str">
        <f t="shared" si="47"/>
        <v>Yes</v>
      </c>
    </row>
    <row r="138" spans="1:18" x14ac:dyDescent="0.3">
      <c r="A138" s="3">
        <v>2</v>
      </c>
      <c r="B138" s="16">
        <v>3</v>
      </c>
      <c r="C138">
        <v>0.5</v>
      </c>
      <c r="E138">
        <v>0.65</v>
      </c>
      <c r="F138">
        <v>0.75</v>
      </c>
      <c r="G138">
        <v>0.82</v>
      </c>
      <c r="H138">
        <v>0.92</v>
      </c>
      <c r="I138">
        <v>0.21</v>
      </c>
      <c r="J138">
        <v>0.11</v>
      </c>
      <c r="K138">
        <v>0.08</v>
      </c>
      <c r="L138">
        <f t="shared" si="42"/>
        <v>0.78500000000000025</v>
      </c>
      <c r="M138">
        <f t="shared" si="43"/>
        <v>0.6366666666666666</v>
      </c>
      <c r="N138" s="6">
        <f t="shared" si="44"/>
        <v>0.49978333333333347</v>
      </c>
      <c r="P138">
        <f t="shared" si="45"/>
        <v>6.2599999999999989E-2</v>
      </c>
      <c r="Q138" t="str">
        <f t="shared" si="46"/>
        <v>Yes</v>
      </c>
      <c r="R138" t="str">
        <f t="shared" si="47"/>
        <v>Yes</v>
      </c>
    </row>
    <row r="139" spans="1:18" x14ac:dyDescent="0.3">
      <c r="A139" s="3">
        <v>2</v>
      </c>
      <c r="B139" s="17">
        <v>4</v>
      </c>
      <c r="C139">
        <v>0.6</v>
      </c>
      <c r="E139">
        <v>0.68</v>
      </c>
      <c r="F139">
        <v>0.76</v>
      </c>
      <c r="G139">
        <v>0.82</v>
      </c>
      <c r="H139">
        <v>0.91</v>
      </c>
      <c r="I139">
        <v>0.79</v>
      </c>
      <c r="J139">
        <v>0.2</v>
      </c>
      <c r="K139">
        <v>0.12</v>
      </c>
      <c r="L139">
        <f t="shared" si="42"/>
        <v>0.79298850574712654</v>
      </c>
      <c r="M139">
        <f t="shared" si="43"/>
        <v>0.75666666666666671</v>
      </c>
      <c r="N139" s="6">
        <f t="shared" si="44"/>
        <v>0.6000279693486591</v>
      </c>
      <c r="P139">
        <f t="shared" si="45"/>
        <v>0.6785000000000001</v>
      </c>
      <c r="Q139" t="str">
        <f t="shared" si="46"/>
        <v>Yes</v>
      </c>
      <c r="R139" t="str">
        <f t="shared" si="47"/>
        <v>Yes</v>
      </c>
    </row>
    <row r="140" spans="1:18" x14ac:dyDescent="0.3">
      <c r="A140" s="3">
        <v>2</v>
      </c>
      <c r="B140" s="5">
        <v>5</v>
      </c>
      <c r="C140">
        <v>0</v>
      </c>
      <c r="E140">
        <v>1</v>
      </c>
      <c r="F140">
        <v>2</v>
      </c>
      <c r="G140">
        <v>3</v>
      </c>
      <c r="H140">
        <v>4</v>
      </c>
      <c r="I140">
        <v>0</v>
      </c>
      <c r="J140">
        <v>1</v>
      </c>
      <c r="K140">
        <v>0</v>
      </c>
      <c r="L140">
        <f t="shared" si="42"/>
        <v>2.5</v>
      </c>
      <c r="M140">
        <f t="shared" si="43"/>
        <v>0</v>
      </c>
      <c r="N140" s="6">
        <f t="shared" si="44"/>
        <v>0</v>
      </c>
      <c r="P140">
        <f t="shared" si="45"/>
        <v>1</v>
      </c>
      <c r="Q140" t="str">
        <f t="shared" si="46"/>
        <v>Yes</v>
      </c>
      <c r="R140" t="str">
        <f t="shared" si="47"/>
        <v>Yes</v>
      </c>
    </row>
    <row r="141" spans="1:18" x14ac:dyDescent="0.3">
      <c r="A141" s="3">
        <v>2</v>
      </c>
      <c r="B141" s="18">
        <v>6</v>
      </c>
      <c r="C141">
        <v>0</v>
      </c>
      <c r="E141">
        <v>1</v>
      </c>
      <c r="F141">
        <v>2</v>
      </c>
      <c r="G141">
        <v>3</v>
      </c>
      <c r="H141">
        <v>4</v>
      </c>
      <c r="I141">
        <v>0</v>
      </c>
      <c r="J141">
        <v>1</v>
      </c>
      <c r="K141">
        <v>0</v>
      </c>
      <c r="L141">
        <f t="shared" si="42"/>
        <v>2.5</v>
      </c>
      <c r="M141">
        <f t="shared" si="43"/>
        <v>0</v>
      </c>
      <c r="N141" s="6">
        <f t="shared" si="44"/>
        <v>0</v>
      </c>
      <c r="P141">
        <f t="shared" si="45"/>
        <v>1</v>
      </c>
      <c r="Q141" t="str">
        <f t="shared" si="46"/>
        <v>Yes</v>
      </c>
      <c r="R141" t="str">
        <f t="shared" si="47"/>
        <v>Yes</v>
      </c>
    </row>
    <row r="142" spans="1:18" x14ac:dyDescent="0.3">
      <c r="A142" s="16">
        <v>3</v>
      </c>
      <c r="B142" s="15">
        <v>1</v>
      </c>
      <c r="C142">
        <v>0.4</v>
      </c>
      <c r="E142">
        <v>0.41</v>
      </c>
      <c r="F142">
        <v>0.51</v>
      </c>
      <c r="G142">
        <v>0.6</v>
      </c>
      <c r="H142">
        <v>0.72</v>
      </c>
      <c r="I142">
        <v>0.86</v>
      </c>
      <c r="J142">
        <v>0.28000000000000003</v>
      </c>
      <c r="K142">
        <v>0.16</v>
      </c>
      <c r="L142">
        <f t="shared" si="42"/>
        <v>0.56091666666666695</v>
      </c>
      <c r="M142">
        <f t="shared" si="43"/>
        <v>0.71333333333333337</v>
      </c>
      <c r="N142" s="6">
        <f t="shared" si="44"/>
        <v>0.40012055555555576</v>
      </c>
      <c r="P142">
        <f t="shared" si="45"/>
        <v>0.84359999999999991</v>
      </c>
      <c r="Q142" t="str">
        <f t="shared" si="46"/>
        <v>Yes</v>
      </c>
      <c r="R142" t="str">
        <f t="shared" si="47"/>
        <v>Yes</v>
      </c>
    </row>
    <row r="143" spans="1:18" x14ac:dyDescent="0.3">
      <c r="A143" s="16">
        <v>3</v>
      </c>
      <c r="B143" s="3">
        <v>2</v>
      </c>
      <c r="C143">
        <v>0</v>
      </c>
      <c r="E143">
        <v>1</v>
      </c>
      <c r="F143">
        <v>2</v>
      </c>
      <c r="G143">
        <v>3</v>
      </c>
      <c r="H143">
        <v>4</v>
      </c>
      <c r="I143">
        <v>0</v>
      </c>
      <c r="J143">
        <v>1</v>
      </c>
      <c r="K143">
        <v>0</v>
      </c>
      <c r="L143">
        <f t="shared" si="42"/>
        <v>2.5</v>
      </c>
      <c r="M143">
        <f t="shared" si="43"/>
        <v>0</v>
      </c>
      <c r="N143" s="6">
        <f t="shared" si="44"/>
        <v>0</v>
      </c>
      <c r="P143">
        <f t="shared" si="45"/>
        <v>1</v>
      </c>
      <c r="Q143" t="str">
        <f t="shared" si="46"/>
        <v>Yes</v>
      </c>
      <c r="R143" t="str">
        <f t="shared" si="47"/>
        <v>Yes</v>
      </c>
    </row>
    <row r="144" spans="1:18" x14ac:dyDescent="0.3">
      <c r="A144" s="16">
        <v>3</v>
      </c>
      <c r="B144" s="16">
        <v>3</v>
      </c>
      <c r="C144">
        <v>0.3</v>
      </c>
      <c r="E144">
        <v>0.39</v>
      </c>
      <c r="F144">
        <v>0.49</v>
      </c>
      <c r="G144">
        <v>0.56999999999999995</v>
      </c>
      <c r="H144">
        <v>0.68</v>
      </c>
      <c r="I144">
        <v>0.56000000000000005</v>
      </c>
      <c r="J144">
        <v>0.28000000000000003</v>
      </c>
      <c r="K144">
        <v>0.31</v>
      </c>
      <c r="L144">
        <f t="shared" si="42"/>
        <v>0.53297297297297319</v>
      </c>
      <c r="M144">
        <f t="shared" si="43"/>
        <v>0.56333333333333335</v>
      </c>
      <c r="N144" s="6">
        <f t="shared" si="44"/>
        <v>0.30024144144144155</v>
      </c>
      <c r="P144">
        <f t="shared" si="45"/>
        <v>0.48810000000000009</v>
      </c>
      <c r="Q144" t="str">
        <f t="shared" si="46"/>
        <v>Yes</v>
      </c>
      <c r="R144" t="str">
        <f t="shared" si="47"/>
        <v>Yes</v>
      </c>
    </row>
    <row r="145" spans="1:18" x14ac:dyDescent="0.3">
      <c r="A145" s="16">
        <v>3</v>
      </c>
      <c r="B145" s="17">
        <v>4</v>
      </c>
      <c r="C145">
        <v>0.6</v>
      </c>
      <c r="E145">
        <v>0.76</v>
      </c>
      <c r="F145">
        <v>0.85</v>
      </c>
      <c r="G145">
        <v>0.94</v>
      </c>
      <c r="H145">
        <v>1.06</v>
      </c>
      <c r="I145">
        <v>0.76</v>
      </c>
      <c r="J145">
        <v>0.28000000000000003</v>
      </c>
      <c r="K145">
        <v>0.21</v>
      </c>
      <c r="L145">
        <f t="shared" si="42"/>
        <v>0.90384615384615419</v>
      </c>
      <c r="M145">
        <f t="shared" si="43"/>
        <v>0.66333333333333333</v>
      </c>
      <c r="N145" s="6">
        <f t="shared" si="44"/>
        <v>0.59955128205128227</v>
      </c>
      <c r="P145">
        <f t="shared" si="45"/>
        <v>0.70010000000000006</v>
      </c>
      <c r="Q145" t="str">
        <f t="shared" si="46"/>
        <v>Yes</v>
      </c>
      <c r="R145" t="str">
        <f t="shared" si="47"/>
        <v>Yes</v>
      </c>
    </row>
    <row r="146" spans="1:18" x14ac:dyDescent="0.3">
      <c r="A146" s="16">
        <v>3</v>
      </c>
      <c r="B146" s="5">
        <v>5</v>
      </c>
      <c r="C146">
        <v>0</v>
      </c>
      <c r="E146">
        <v>1</v>
      </c>
      <c r="F146">
        <v>2</v>
      </c>
      <c r="G146">
        <v>3</v>
      </c>
      <c r="H146">
        <v>4</v>
      </c>
      <c r="I146">
        <v>0</v>
      </c>
      <c r="J146">
        <v>1</v>
      </c>
      <c r="K146">
        <v>0</v>
      </c>
      <c r="L146">
        <f t="shared" si="42"/>
        <v>2.5</v>
      </c>
      <c r="M146">
        <f t="shared" si="43"/>
        <v>0</v>
      </c>
      <c r="N146" s="6">
        <f t="shared" si="44"/>
        <v>0</v>
      </c>
      <c r="P146">
        <f t="shared" si="45"/>
        <v>1</v>
      </c>
      <c r="Q146" t="str">
        <f t="shared" si="46"/>
        <v>Yes</v>
      </c>
      <c r="R146" t="str">
        <f t="shared" si="47"/>
        <v>Yes</v>
      </c>
    </row>
    <row r="147" spans="1:18" x14ac:dyDescent="0.3">
      <c r="A147" s="16">
        <v>3</v>
      </c>
      <c r="B147" s="18">
        <v>6</v>
      </c>
      <c r="C147">
        <v>0</v>
      </c>
      <c r="E147">
        <v>1</v>
      </c>
      <c r="F147">
        <v>2</v>
      </c>
      <c r="G147">
        <v>3</v>
      </c>
      <c r="H147">
        <v>4</v>
      </c>
      <c r="I147">
        <v>0</v>
      </c>
      <c r="J147">
        <v>1</v>
      </c>
      <c r="K147">
        <v>0</v>
      </c>
      <c r="L147">
        <f t="shared" si="42"/>
        <v>2.5</v>
      </c>
      <c r="M147">
        <f t="shared" si="43"/>
        <v>0</v>
      </c>
      <c r="N147" s="6">
        <f t="shared" si="44"/>
        <v>0</v>
      </c>
      <c r="P147">
        <f t="shared" si="45"/>
        <v>1</v>
      </c>
      <c r="Q147" t="str">
        <f t="shared" si="46"/>
        <v>Yes</v>
      </c>
      <c r="R147" t="str">
        <f t="shared" si="47"/>
        <v>Yes</v>
      </c>
    </row>
    <row r="151" spans="1:18" x14ac:dyDescent="0.3">
      <c r="A151" t="s">
        <v>179</v>
      </c>
    </row>
    <row r="152" spans="1:18" x14ac:dyDescent="0.3">
      <c r="A152" s="1" t="s">
        <v>241</v>
      </c>
    </row>
    <row r="154" spans="1:18" x14ac:dyDescent="0.3">
      <c r="A154" t="s">
        <v>19</v>
      </c>
      <c r="B154" t="s">
        <v>180</v>
      </c>
      <c r="D154" s="2" t="s">
        <v>4</v>
      </c>
      <c r="E154" s="2" t="s">
        <v>5</v>
      </c>
      <c r="F154" s="2" t="s">
        <v>6</v>
      </c>
      <c r="G154" s="2" t="s">
        <v>7</v>
      </c>
      <c r="H154" s="3" t="s">
        <v>8</v>
      </c>
      <c r="I154" s="3" t="s">
        <v>9</v>
      </c>
      <c r="J154" s="3" t="s">
        <v>10</v>
      </c>
      <c r="K154" s="4" t="s">
        <v>13</v>
      </c>
      <c r="L154" s="4" t="s">
        <v>12</v>
      </c>
      <c r="M154" s="5" t="s">
        <v>11</v>
      </c>
      <c r="O154" t="s">
        <v>14</v>
      </c>
      <c r="P154" t="s">
        <v>30</v>
      </c>
      <c r="Q154" t="s">
        <v>31</v>
      </c>
    </row>
    <row r="155" spans="1:18" x14ac:dyDescent="0.3">
      <c r="A155">
        <v>1</v>
      </c>
      <c r="B155">
        <v>1.3</v>
      </c>
      <c r="D155">
        <v>1.1000000000000001</v>
      </c>
      <c r="E155">
        <v>2.1</v>
      </c>
      <c r="F155">
        <v>3.05</v>
      </c>
      <c r="G155">
        <v>4.0199999999999996</v>
      </c>
      <c r="H155">
        <v>0.64</v>
      </c>
      <c r="I155">
        <v>0.28000000000000003</v>
      </c>
      <c r="J155">
        <v>0.56000000000000005</v>
      </c>
      <c r="K155">
        <f t="shared" ref="K155" si="48">((F155^2)+(F155*G155)+(G155^2)-(D155^2)-(D155*E155)-(E155^2))/(3*(G155+F155-D155-E155))</f>
        <v>2.5662273901808788</v>
      </c>
      <c r="L155">
        <f t="shared" ref="L155" si="49">(H155-(2*I155)-J155+2)/3</f>
        <v>0.50666666666666671</v>
      </c>
      <c r="M155" s="6">
        <f t="shared" ref="M155" si="50">K155*L155</f>
        <v>1.3002218776916454</v>
      </c>
      <c r="O155">
        <f>H155^2+I155^2+J155^2</f>
        <v>0.80160000000000009</v>
      </c>
      <c r="P155" t="str">
        <f>IF(AND(O155&gt;=0,O155&lt;=1),"Yes","No")</f>
        <v>Yes</v>
      </c>
      <c r="Q155" t="str">
        <f>IF(ROUND(M155,2)=B155,"Yes","No")</f>
        <v>Yes</v>
      </c>
    </row>
    <row r="156" spans="1:18" x14ac:dyDescent="0.3">
      <c r="A156">
        <v>2</v>
      </c>
      <c r="B156">
        <v>1.2</v>
      </c>
      <c r="D156">
        <v>1.5</v>
      </c>
      <c r="E156">
        <v>2.5</v>
      </c>
      <c r="F156">
        <v>3.5</v>
      </c>
      <c r="G156">
        <v>4.5</v>
      </c>
      <c r="H156">
        <v>0.65</v>
      </c>
      <c r="I156">
        <v>0.5</v>
      </c>
      <c r="J156">
        <v>0.45</v>
      </c>
      <c r="K156">
        <f t="shared" ref="K156" si="51">((F156^2)+(F156*G156)+(G156^2)-(D156^2)-(D156*E156)-(E156^2))/(3*(G156+F156-D156-E156))</f>
        <v>3</v>
      </c>
      <c r="L156">
        <f t="shared" ref="L156" si="52">(H156-(2*I156)-J156+2)/3</f>
        <v>0.39999999999999997</v>
      </c>
      <c r="M156" s="6">
        <f t="shared" ref="M156" si="53">K156*L156</f>
        <v>1.2</v>
      </c>
      <c r="O156">
        <f t="shared" ref="O156" si="54">H156^2+I156^2+J156^2</f>
        <v>0.87500000000000011</v>
      </c>
      <c r="P156" t="str">
        <f t="shared" ref="P156" si="55">IF(AND(O156&gt;=0,O156&lt;=1),"Yes","No")</f>
        <v>Yes</v>
      </c>
      <c r="Q156" t="str">
        <f t="shared" ref="Q156" si="56">IF(ROUND(M156,2)=B156,"Yes","No")</f>
        <v>Yes</v>
      </c>
    </row>
    <row r="157" spans="1:18" x14ac:dyDescent="0.3">
      <c r="M157" s="6"/>
    </row>
    <row r="160" spans="1:18" x14ac:dyDescent="0.3">
      <c r="A160" t="s">
        <v>181</v>
      </c>
    </row>
    <row r="161" spans="1:18" x14ac:dyDescent="0.3">
      <c r="A161" s="10" t="s">
        <v>184</v>
      </c>
    </row>
    <row r="162" spans="1:18" x14ac:dyDescent="0.3">
      <c r="A162" s="11" t="s">
        <v>185</v>
      </c>
    </row>
    <row r="163" spans="1:18" x14ac:dyDescent="0.3">
      <c r="A163" s="11" t="s">
        <v>186</v>
      </c>
    </row>
    <row r="164" spans="1:18" x14ac:dyDescent="0.3">
      <c r="A164" s="11" t="s">
        <v>187</v>
      </c>
    </row>
    <row r="166" spans="1:18" x14ac:dyDescent="0.3">
      <c r="A166" s="11" t="s">
        <v>2</v>
      </c>
      <c r="B166" t="s">
        <v>10</v>
      </c>
      <c r="C166" t="s">
        <v>182</v>
      </c>
      <c r="E166" s="2" t="s">
        <v>4</v>
      </c>
      <c r="F166" s="2" t="s">
        <v>5</v>
      </c>
      <c r="G166" s="2" t="s">
        <v>6</v>
      </c>
      <c r="H166" s="2" t="s">
        <v>7</v>
      </c>
      <c r="I166" s="3" t="s">
        <v>8</v>
      </c>
      <c r="J166" s="3" t="s">
        <v>9</v>
      </c>
      <c r="K166" s="3" t="s">
        <v>10</v>
      </c>
      <c r="L166" s="4" t="s">
        <v>13</v>
      </c>
      <c r="M166" s="4" t="s">
        <v>12</v>
      </c>
      <c r="N166" s="5" t="s">
        <v>11</v>
      </c>
      <c r="P166" t="s">
        <v>14</v>
      </c>
      <c r="Q166" t="s">
        <v>30</v>
      </c>
      <c r="R166" t="s">
        <v>31</v>
      </c>
    </row>
    <row r="167" spans="1:18" x14ac:dyDescent="0.3">
      <c r="A167" s="15">
        <v>1</v>
      </c>
      <c r="B167" s="15">
        <v>1</v>
      </c>
      <c r="C167">
        <v>1.8</v>
      </c>
      <c r="E167" s="7">
        <v>3.4</v>
      </c>
      <c r="F167" s="7">
        <v>3.5</v>
      </c>
      <c r="G167" s="7">
        <v>3.6</v>
      </c>
      <c r="H167" s="7">
        <v>3.7</v>
      </c>
      <c r="I167" s="7">
        <v>0.75</v>
      </c>
      <c r="J167" s="7">
        <v>0.51</v>
      </c>
      <c r="K167" s="7">
        <v>0.21</v>
      </c>
      <c r="L167">
        <f t="shared" ref="L167:L168" si="57">((G167^2)+(G167*H167)+(H167^2)-(E167^2)-(E167*F167)-(F167^2))/(3*(H167+G167-E167-F167))</f>
        <v>3.5499999999999914</v>
      </c>
      <c r="M167">
        <f t="shared" ref="M167:M168" si="58">(I167-(2*J167)-K167+2)/3</f>
        <v>0.50666666666666671</v>
      </c>
      <c r="N167" s="6">
        <f t="shared" ref="N167:N168" si="59">L167*M167</f>
        <v>1.7986666666666624</v>
      </c>
      <c r="P167">
        <f>I167^2+J167^2+K167^2</f>
        <v>0.86670000000000003</v>
      </c>
      <c r="Q167" t="str">
        <f>IF(AND(P167&gt;=0,P167&lt;=1),"Yes","No")</f>
        <v>Yes</v>
      </c>
      <c r="R167" t="str">
        <f>IF(ROUND(N167,2)=C167,"Yes","No")</f>
        <v>Yes</v>
      </c>
    </row>
    <row r="168" spans="1:18" x14ac:dyDescent="0.3">
      <c r="A168" s="15">
        <v>1</v>
      </c>
      <c r="B168" s="3">
        <v>2</v>
      </c>
      <c r="C168">
        <v>1.3</v>
      </c>
      <c r="E168" s="7">
        <v>1.1000000000000001</v>
      </c>
      <c r="F168" s="7">
        <v>2.1</v>
      </c>
      <c r="G168" s="7">
        <v>3.05</v>
      </c>
      <c r="H168" s="7">
        <v>4.0199999999999996</v>
      </c>
      <c r="I168" s="7">
        <v>0.64</v>
      </c>
      <c r="J168" s="7">
        <v>0.28000000000000003</v>
      </c>
      <c r="K168" s="7">
        <v>0.56000000000000005</v>
      </c>
      <c r="L168">
        <f t="shared" si="57"/>
        <v>2.5662273901808788</v>
      </c>
      <c r="M168">
        <f t="shared" si="58"/>
        <v>0.50666666666666671</v>
      </c>
      <c r="N168" s="6">
        <f t="shared" si="59"/>
        <v>1.3002218776916454</v>
      </c>
      <c r="P168">
        <f t="shared" ref="P168:P169" si="60">I168^2+J168^2+K168^2</f>
        <v>0.80160000000000009</v>
      </c>
      <c r="Q168" t="str">
        <f t="shared" ref="Q168:Q169" si="61">IF(AND(P168&gt;=0,P168&lt;=1),"Yes","No")</f>
        <v>Yes</v>
      </c>
      <c r="R168" t="str">
        <f t="shared" ref="R168:R169" si="62">IF(ROUND(N168,2)=C168,"Yes","No")</f>
        <v>Yes</v>
      </c>
    </row>
    <row r="169" spans="1:18" x14ac:dyDescent="0.3">
      <c r="A169" s="15">
        <v>1</v>
      </c>
      <c r="B169" s="16">
        <v>3</v>
      </c>
      <c r="C169">
        <v>1.4</v>
      </c>
      <c r="E169" s="7">
        <v>1.9</v>
      </c>
      <c r="F169" s="7">
        <v>2.9</v>
      </c>
      <c r="G169" s="7">
        <v>3.95</v>
      </c>
      <c r="H169" s="7">
        <v>4.9800000000000004</v>
      </c>
      <c r="I169" s="7">
        <v>0.23</v>
      </c>
      <c r="J169" s="7">
        <v>0.45</v>
      </c>
      <c r="K169" s="7">
        <v>0.11</v>
      </c>
      <c r="L169">
        <f t="shared" ref="L169:L190" si="63">((G169^2)+(G169*H169)+(H169^2)-(E169^2)-(E169*F169)-(F169^2))/(3*(H169+G169-E169-F169))</f>
        <v>3.4337288135593234</v>
      </c>
      <c r="M169">
        <f t="shared" ref="M169:M190" si="64">(I169-(2*J169)-K169+2)/3</f>
        <v>0.40666666666666668</v>
      </c>
      <c r="N169" s="6">
        <f t="shared" ref="N169:N190" si="65">L169*M169</f>
        <v>1.3963830508474582</v>
      </c>
      <c r="P169">
        <f t="shared" si="60"/>
        <v>0.26750000000000002</v>
      </c>
      <c r="Q169" t="str">
        <f t="shared" si="61"/>
        <v>Yes</v>
      </c>
      <c r="R169" t="str">
        <f t="shared" si="62"/>
        <v>Yes</v>
      </c>
    </row>
    <row r="170" spans="1:18" x14ac:dyDescent="0.3">
      <c r="A170" s="15">
        <v>1</v>
      </c>
      <c r="B170" s="17">
        <v>4</v>
      </c>
      <c r="C170">
        <v>1.7</v>
      </c>
      <c r="E170" s="7">
        <v>3</v>
      </c>
      <c r="F170" s="7">
        <v>3.1</v>
      </c>
      <c r="G170" s="7">
        <v>3.2</v>
      </c>
      <c r="H170" s="7">
        <v>3.3</v>
      </c>
      <c r="I170" s="7">
        <v>0.62</v>
      </c>
      <c r="J170" s="7">
        <v>0.33</v>
      </c>
      <c r="K170" s="7">
        <v>0.34</v>
      </c>
      <c r="L170">
        <f t="shared" si="63"/>
        <v>3.150000000000003</v>
      </c>
      <c r="M170">
        <f t="shared" si="64"/>
        <v>0.53999999999999992</v>
      </c>
      <c r="N170" s="6">
        <f t="shared" si="65"/>
        <v>1.7010000000000014</v>
      </c>
      <c r="P170">
        <f t="shared" ref="P170:P190" si="66">I170^2+J170^2+K170^2</f>
        <v>0.6089</v>
      </c>
      <c r="Q170" t="str">
        <f t="shared" ref="Q170:Q190" si="67">IF(AND(P170&gt;=0,P170&lt;=1),"Yes","No")</f>
        <v>Yes</v>
      </c>
      <c r="R170" t="str">
        <f t="shared" ref="R170:R190" si="68">IF(ROUND(N170,2)=C170,"Yes","No")</f>
        <v>Yes</v>
      </c>
    </row>
    <row r="171" spans="1:18" x14ac:dyDescent="0.3">
      <c r="A171" s="15">
        <v>1</v>
      </c>
      <c r="B171" s="5">
        <v>5</v>
      </c>
      <c r="C171">
        <v>1</v>
      </c>
      <c r="E171" s="7">
        <v>2</v>
      </c>
      <c r="F171" s="7">
        <v>2.5</v>
      </c>
      <c r="G171" s="7">
        <v>3</v>
      </c>
      <c r="H171" s="7">
        <v>3.5</v>
      </c>
      <c r="I171" s="7">
        <v>0.23</v>
      </c>
      <c r="J171" s="7">
        <v>0.23</v>
      </c>
      <c r="K171" s="7">
        <v>0.68</v>
      </c>
      <c r="L171">
        <f t="shared" si="63"/>
        <v>2.75</v>
      </c>
      <c r="M171">
        <f t="shared" si="64"/>
        <v>0.36333333333333329</v>
      </c>
      <c r="N171" s="6">
        <f t="shared" si="65"/>
        <v>0.99916666666666654</v>
      </c>
      <c r="P171">
        <f t="shared" si="66"/>
        <v>0.56820000000000004</v>
      </c>
      <c r="Q171" t="str">
        <f t="shared" si="67"/>
        <v>Yes</v>
      </c>
      <c r="R171" t="str">
        <f t="shared" si="68"/>
        <v>Yes</v>
      </c>
    </row>
    <row r="172" spans="1:18" x14ac:dyDescent="0.3">
      <c r="A172" s="15">
        <v>1</v>
      </c>
      <c r="B172" s="18">
        <v>6</v>
      </c>
      <c r="C172">
        <v>1.2</v>
      </c>
      <c r="E172" s="7">
        <v>2</v>
      </c>
      <c r="F172" s="7">
        <v>2.1</v>
      </c>
      <c r="G172" s="7">
        <v>2.2000000000000002</v>
      </c>
      <c r="H172" s="7">
        <v>2.2999999999999998</v>
      </c>
      <c r="I172" s="7">
        <v>0.68</v>
      </c>
      <c r="J172" s="7">
        <v>0.33</v>
      </c>
      <c r="K172" s="7">
        <v>0.34</v>
      </c>
      <c r="L172">
        <f t="shared" si="63"/>
        <v>2.15</v>
      </c>
      <c r="M172">
        <f t="shared" si="64"/>
        <v>0.55999999999999994</v>
      </c>
      <c r="N172" s="6">
        <f t="shared" si="65"/>
        <v>1.2039999999999997</v>
      </c>
      <c r="P172">
        <f t="shared" si="66"/>
        <v>0.68690000000000018</v>
      </c>
      <c r="Q172" t="str">
        <f t="shared" si="67"/>
        <v>Yes</v>
      </c>
      <c r="R172" t="str">
        <f t="shared" si="68"/>
        <v>Yes</v>
      </c>
    </row>
    <row r="173" spans="1:18" x14ac:dyDescent="0.3">
      <c r="A173" s="3">
        <v>2</v>
      </c>
      <c r="B173" s="15">
        <v>1</v>
      </c>
      <c r="C173">
        <v>1.3</v>
      </c>
      <c r="E173" s="7">
        <v>1.1000000000000001</v>
      </c>
      <c r="F173" s="7">
        <v>2.1</v>
      </c>
      <c r="G173" s="7">
        <v>3.05</v>
      </c>
      <c r="H173" s="7">
        <v>4.0199999999999996</v>
      </c>
      <c r="I173" s="7">
        <v>0.64</v>
      </c>
      <c r="J173" s="7">
        <v>0.28000000000000003</v>
      </c>
      <c r="K173" s="7">
        <v>0.56000000000000005</v>
      </c>
      <c r="L173">
        <f t="shared" si="63"/>
        <v>2.5662273901808788</v>
      </c>
      <c r="M173">
        <f t="shared" si="64"/>
        <v>0.50666666666666671</v>
      </c>
      <c r="N173" s="6">
        <f t="shared" si="65"/>
        <v>1.3002218776916454</v>
      </c>
      <c r="P173">
        <f t="shared" si="66"/>
        <v>0.80160000000000009</v>
      </c>
      <c r="Q173" t="str">
        <f t="shared" si="67"/>
        <v>Yes</v>
      </c>
      <c r="R173" t="str">
        <f t="shared" si="68"/>
        <v>Yes</v>
      </c>
    </row>
    <row r="174" spans="1:18" x14ac:dyDescent="0.3">
      <c r="A174" s="3">
        <v>2</v>
      </c>
      <c r="B174" s="3">
        <v>2</v>
      </c>
      <c r="C174">
        <v>1.7</v>
      </c>
      <c r="E174" s="7">
        <v>3</v>
      </c>
      <c r="F174" s="7">
        <v>3.1</v>
      </c>
      <c r="G174" s="7">
        <v>3.2</v>
      </c>
      <c r="H174" s="7">
        <v>3.3</v>
      </c>
      <c r="I174" s="7">
        <v>0.62</v>
      </c>
      <c r="J174" s="7">
        <v>0.33</v>
      </c>
      <c r="K174" s="7">
        <v>0.34</v>
      </c>
      <c r="L174">
        <f t="shared" si="63"/>
        <v>3.150000000000003</v>
      </c>
      <c r="M174">
        <f t="shared" si="64"/>
        <v>0.53999999999999992</v>
      </c>
      <c r="N174" s="6">
        <f t="shared" si="65"/>
        <v>1.7010000000000014</v>
      </c>
      <c r="P174">
        <f t="shared" si="66"/>
        <v>0.6089</v>
      </c>
      <c r="Q174" t="str">
        <f t="shared" si="67"/>
        <v>Yes</v>
      </c>
      <c r="R174" t="str">
        <f t="shared" si="68"/>
        <v>Yes</v>
      </c>
    </row>
    <row r="175" spans="1:18" x14ac:dyDescent="0.3">
      <c r="A175" s="3">
        <v>2</v>
      </c>
      <c r="B175" s="16">
        <v>3</v>
      </c>
      <c r="C175">
        <v>1.3</v>
      </c>
      <c r="E175" s="7">
        <v>1.1000000000000001</v>
      </c>
      <c r="F175" s="7">
        <v>2.1</v>
      </c>
      <c r="G175" s="7">
        <v>3.05</v>
      </c>
      <c r="H175" s="7">
        <v>4.0199999999999996</v>
      </c>
      <c r="I175" s="7">
        <v>0.64</v>
      </c>
      <c r="J175" s="7">
        <v>0.28000000000000003</v>
      </c>
      <c r="K175" s="7">
        <v>0.56000000000000005</v>
      </c>
      <c r="L175">
        <f t="shared" si="63"/>
        <v>2.5662273901808788</v>
      </c>
      <c r="M175">
        <f t="shared" si="64"/>
        <v>0.50666666666666671</v>
      </c>
      <c r="N175" s="6">
        <f t="shared" si="65"/>
        <v>1.3002218776916454</v>
      </c>
      <c r="P175">
        <f t="shared" si="66"/>
        <v>0.80160000000000009</v>
      </c>
      <c r="Q175" t="str">
        <f t="shared" si="67"/>
        <v>Yes</v>
      </c>
      <c r="R175" t="str">
        <f t="shared" si="68"/>
        <v>Yes</v>
      </c>
    </row>
    <row r="176" spans="1:18" x14ac:dyDescent="0.3">
      <c r="A176" s="3">
        <v>2</v>
      </c>
      <c r="B176" s="17">
        <v>4</v>
      </c>
      <c r="C176">
        <v>1.4</v>
      </c>
      <c r="E176" s="7">
        <v>1.9</v>
      </c>
      <c r="F176" s="7">
        <v>2.9</v>
      </c>
      <c r="G176" s="7">
        <v>3.95</v>
      </c>
      <c r="H176" s="7">
        <v>4.9800000000000004</v>
      </c>
      <c r="I176" s="7">
        <v>0.23</v>
      </c>
      <c r="J176" s="7">
        <v>0.45</v>
      </c>
      <c r="K176" s="7">
        <v>0.11</v>
      </c>
      <c r="L176">
        <f t="shared" si="63"/>
        <v>3.4337288135593234</v>
      </c>
      <c r="M176">
        <f t="shared" si="64"/>
        <v>0.40666666666666668</v>
      </c>
      <c r="N176" s="6">
        <f t="shared" si="65"/>
        <v>1.3963830508474582</v>
      </c>
      <c r="P176">
        <f t="shared" si="66"/>
        <v>0.26750000000000002</v>
      </c>
      <c r="Q176" t="str">
        <f t="shared" si="67"/>
        <v>Yes</v>
      </c>
      <c r="R176" t="str">
        <f t="shared" si="68"/>
        <v>Yes</v>
      </c>
    </row>
    <row r="177" spans="1:18" x14ac:dyDescent="0.3">
      <c r="A177" s="3">
        <v>2</v>
      </c>
      <c r="B177" s="5">
        <v>5</v>
      </c>
      <c r="C177">
        <v>1.1000000000000001</v>
      </c>
      <c r="E177" s="7">
        <v>1.5</v>
      </c>
      <c r="F177" s="7">
        <v>1.6</v>
      </c>
      <c r="G177" s="7">
        <v>1.7</v>
      </c>
      <c r="H177" s="7">
        <v>1.8</v>
      </c>
      <c r="I177" s="7">
        <v>0.63</v>
      </c>
      <c r="J177" s="7">
        <v>0.23</v>
      </c>
      <c r="K177" s="7">
        <v>0.17</v>
      </c>
      <c r="L177">
        <f t="shared" si="63"/>
        <v>1.6499999999999992</v>
      </c>
      <c r="M177">
        <f t="shared" si="64"/>
        <v>0.66666666666666663</v>
      </c>
      <c r="N177" s="6">
        <f t="shared" si="65"/>
        <v>1.0999999999999994</v>
      </c>
      <c r="P177">
        <f t="shared" si="66"/>
        <v>0.47870000000000001</v>
      </c>
      <c r="Q177" t="str">
        <f t="shared" si="67"/>
        <v>Yes</v>
      </c>
      <c r="R177" t="str">
        <f t="shared" si="68"/>
        <v>Yes</v>
      </c>
    </row>
    <row r="178" spans="1:18" x14ac:dyDescent="0.3">
      <c r="A178" s="3">
        <v>2</v>
      </c>
      <c r="B178" s="18">
        <v>6</v>
      </c>
      <c r="C178">
        <v>1.8</v>
      </c>
      <c r="E178" s="7">
        <v>3.4</v>
      </c>
      <c r="F178" s="7">
        <v>3.5</v>
      </c>
      <c r="G178" s="7">
        <v>3.6</v>
      </c>
      <c r="H178" s="7">
        <v>3.7</v>
      </c>
      <c r="I178" s="7">
        <v>0.75</v>
      </c>
      <c r="J178" s="7">
        <v>0.51</v>
      </c>
      <c r="K178" s="7">
        <v>0.21</v>
      </c>
      <c r="L178">
        <f t="shared" si="63"/>
        <v>3.5499999999999914</v>
      </c>
      <c r="M178">
        <f t="shared" si="64"/>
        <v>0.50666666666666671</v>
      </c>
      <c r="N178" s="6">
        <f t="shared" si="65"/>
        <v>1.7986666666666624</v>
      </c>
      <c r="P178">
        <f t="shared" si="66"/>
        <v>0.86670000000000003</v>
      </c>
      <c r="Q178" t="str">
        <f t="shared" si="67"/>
        <v>Yes</v>
      </c>
      <c r="R178" t="str">
        <f t="shared" si="68"/>
        <v>Yes</v>
      </c>
    </row>
    <row r="179" spans="1:18" x14ac:dyDescent="0.3">
      <c r="A179" s="16">
        <v>3</v>
      </c>
      <c r="B179" s="15">
        <v>1</v>
      </c>
      <c r="C179">
        <v>1.6</v>
      </c>
      <c r="E179" s="7">
        <v>3.4</v>
      </c>
      <c r="F179" s="7">
        <v>3.5</v>
      </c>
      <c r="G179" s="7">
        <v>3.6</v>
      </c>
      <c r="H179" s="7">
        <v>3.7</v>
      </c>
      <c r="I179" s="7">
        <v>0.44</v>
      </c>
      <c r="J179" s="7">
        <v>0.43</v>
      </c>
      <c r="K179" s="7">
        <v>0.23</v>
      </c>
      <c r="L179">
        <f t="shared" si="63"/>
        <v>3.5499999999999914</v>
      </c>
      <c r="M179">
        <f t="shared" si="64"/>
        <v>0.45</v>
      </c>
      <c r="N179" s="6">
        <f t="shared" si="65"/>
        <v>1.5974999999999961</v>
      </c>
      <c r="P179">
        <f t="shared" si="66"/>
        <v>0.43139999999999995</v>
      </c>
      <c r="Q179" t="str">
        <f t="shared" si="67"/>
        <v>Yes</v>
      </c>
      <c r="R179" t="str">
        <f t="shared" si="68"/>
        <v>Yes</v>
      </c>
    </row>
    <row r="180" spans="1:18" x14ac:dyDescent="0.3">
      <c r="A180" s="16">
        <v>3</v>
      </c>
      <c r="B180" s="3">
        <v>2</v>
      </c>
      <c r="C180">
        <v>1.2</v>
      </c>
      <c r="E180" s="7">
        <v>2</v>
      </c>
      <c r="F180" s="7">
        <v>2.1</v>
      </c>
      <c r="G180" s="7">
        <v>2.2000000000000002</v>
      </c>
      <c r="H180" s="7">
        <v>2.2999999999999998</v>
      </c>
      <c r="I180" s="7">
        <v>0.68</v>
      </c>
      <c r="J180" s="7">
        <v>0.33</v>
      </c>
      <c r="K180" s="7">
        <v>0.34</v>
      </c>
      <c r="L180">
        <f t="shared" si="63"/>
        <v>2.15</v>
      </c>
      <c r="M180">
        <f t="shared" si="64"/>
        <v>0.55999999999999994</v>
      </c>
      <c r="N180" s="6">
        <f t="shared" si="65"/>
        <v>1.2039999999999997</v>
      </c>
      <c r="P180">
        <f t="shared" si="66"/>
        <v>0.68690000000000018</v>
      </c>
      <c r="Q180" t="str">
        <f t="shared" si="67"/>
        <v>Yes</v>
      </c>
      <c r="R180" t="str">
        <f t="shared" si="68"/>
        <v>Yes</v>
      </c>
    </row>
    <row r="181" spans="1:18" x14ac:dyDescent="0.3">
      <c r="A181" s="16">
        <v>3</v>
      </c>
      <c r="B181" s="16">
        <v>3</v>
      </c>
      <c r="C181">
        <v>1.1000000000000001</v>
      </c>
      <c r="E181" s="7">
        <v>1.5</v>
      </c>
      <c r="F181" s="7">
        <v>1.6</v>
      </c>
      <c r="G181" s="7">
        <v>1.7</v>
      </c>
      <c r="H181" s="7">
        <v>1.8</v>
      </c>
      <c r="I181" s="7">
        <v>0.63</v>
      </c>
      <c r="J181" s="7">
        <v>0.23</v>
      </c>
      <c r="K181" s="7">
        <v>0.17</v>
      </c>
      <c r="L181">
        <f t="shared" si="63"/>
        <v>1.6499999999999992</v>
      </c>
      <c r="M181">
        <f t="shared" si="64"/>
        <v>0.66666666666666663</v>
      </c>
      <c r="N181" s="6">
        <f t="shared" si="65"/>
        <v>1.0999999999999994</v>
      </c>
      <c r="P181">
        <f t="shared" si="66"/>
        <v>0.47870000000000001</v>
      </c>
      <c r="Q181" t="str">
        <f t="shared" si="67"/>
        <v>Yes</v>
      </c>
      <c r="R181" t="str">
        <f t="shared" si="68"/>
        <v>Yes</v>
      </c>
    </row>
    <row r="182" spans="1:18" x14ac:dyDescent="0.3">
      <c r="A182" s="16">
        <v>3</v>
      </c>
      <c r="B182" s="17">
        <v>4</v>
      </c>
      <c r="C182">
        <v>1.5</v>
      </c>
      <c r="E182" s="7">
        <v>1.6</v>
      </c>
      <c r="F182" s="7">
        <v>1.7</v>
      </c>
      <c r="G182" s="7">
        <v>1.8</v>
      </c>
      <c r="H182" s="7">
        <v>1.9</v>
      </c>
      <c r="I182" s="7">
        <v>0.73</v>
      </c>
      <c r="J182" s="7">
        <v>0.02</v>
      </c>
      <c r="K182" s="7">
        <v>0.12</v>
      </c>
      <c r="L182">
        <f t="shared" si="63"/>
        <v>1.7499999999999984</v>
      </c>
      <c r="M182">
        <f t="shared" si="64"/>
        <v>0.85666666666666658</v>
      </c>
      <c r="N182" s="6">
        <f t="shared" si="65"/>
        <v>1.4991666666666652</v>
      </c>
      <c r="P182">
        <f t="shared" si="66"/>
        <v>0.54769999999999985</v>
      </c>
      <c r="Q182" t="str">
        <f t="shared" si="67"/>
        <v>Yes</v>
      </c>
      <c r="R182" t="str">
        <f t="shared" si="68"/>
        <v>Yes</v>
      </c>
    </row>
    <row r="183" spans="1:18" x14ac:dyDescent="0.3">
      <c r="A183" s="16">
        <v>3</v>
      </c>
      <c r="B183" s="5">
        <v>5</v>
      </c>
      <c r="C183">
        <v>1.7</v>
      </c>
      <c r="E183" s="7">
        <v>3</v>
      </c>
      <c r="F183" s="7">
        <v>3.1</v>
      </c>
      <c r="G183" s="7">
        <v>3.2</v>
      </c>
      <c r="H183" s="7">
        <v>3.3</v>
      </c>
      <c r="I183" s="7">
        <v>0.62</v>
      </c>
      <c r="J183" s="7">
        <v>0.33</v>
      </c>
      <c r="K183" s="7">
        <v>0.34</v>
      </c>
      <c r="L183">
        <f t="shared" si="63"/>
        <v>3.150000000000003</v>
      </c>
      <c r="M183">
        <f t="shared" si="64"/>
        <v>0.53999999999999992</v>
      </c>
      <c r="N183" s="6">
        <f t="shared" si="65"/>
        <v>1.7010000000000014</v>
      </c>
      <c r="P183">
        <f t="shared" si="66"/>
        <v>0.6089</v>
      </c>
      <c r="Q183" t="str">
        <f t="shared" si="67"/>
        <v>Yes</v>
      </c>
      <c r="R183" t="str">
        <f t="shared" si="68"/>
        <v>Yes</v>
      </c>
    </row>
    <row r="184" spans="1:18" x14ac:dyDescent="0.3">
      <c r="A184" s="16">
        <v>3</v>
      </c>
      <c r="B184" s="18">
        <v>6</v>
      </c>
      <c r="C184">
        <v>1.6</v>
      </c>
      <c r="E184" s="7">
        <v>3.4</v>
      </c>
      <c r="F184" s="7">
        <v>3.5</v>
      </c>
      <c r="G184" s="7">
        <v>3.6</v>
      </c>
      <c r="H184" s="7">
        <v>3.7</v>
      </c>
      <c r="I184" s="7">
        <v>0.44</v>
      </c>
      <c r="J184" s="7">
        <v>0.43</v>
      </c>
      <c r="K184" s="7">
        <v>0.23</v>
      </c>
      <c r="L184">
        <f t="shared" si="63"/>
        <v>3.5499999999999914</v>
      </c>
      <c r="M184">
        <f t="shared" si="64"/>
        <v>0.45</v>
      </c>
      <c r="N184" s="6">
        <f t="shared" si="65"/>
        <v>1.5974999999999961</v>
      </c>
      <c r="P184">
        <f t="shared" si="66"/>
        <v>0.43139999999999995</v>
      </c>
      <c r="Q184" t="str">
        <f t="shared" si="67"/>
        <v>Yes</v>
      </c>
      <c r="R184" t="str">
        <f t="shared" si="68"/>
        <v>Yes</v>
      </c>
    </row>
    <row r="185" spans="1:18" x14ac:dyDescent="0.3">
      <c r="A185" s="17">
        <v>4</v>
      </c>
      <c r="B185" s="15">
        <v>1</v>
      </c>
      <c r="C185">
        <v>1.3</v>
      </c>
      <c r="E185" s="7">
        <v>1.1000000000000001</v>
      </c>
      <c r="F185" s="7">
        <v>2.1</v>
      </c>
      <c r="G185" s="7">
        <v>3.05</v>
      </c>
      <c r="H185" s="7">
        <v>4.0199999999999996</v>
      </c>
      <c r="I185" s="7">
        <v>0.64</v>
      </c>
      <c r="J185" s="7">
        <v>0.28000000000000003</v>
      </c>
      <c r="K185" s="7">
        <v>0.56000000000000005</v>
      </c>
      <c r="L185">
        <f t="shared" si="63"/>
        <v>2.5662273901808788</v>
      </c>
      <c r="M185">
        <f t="shared" si="64"/>
        <v>0.50666666666666671</v>
      </c>
      <c r="N185" s="6">
        <f t="shared" si="65"/>
        <v>1.3002218776916454</v>
      </c>
      <c r="P185">
        <f t="shared" si="66"/>
        <v>0.80160000000000009</v>
      </c>
      <c r="Q185" t="str">
        <f t="shared" si="67"/>
        <v>Yes</v>
      </c>
      <c r="R185" t="str">
        <f t="shared" si="68"/>
        <v>Yes</v>
      </c>
    </row>
    <row r="186" spans="1:18" x14ac:dyDescent="0.3">
      <c r="A186" s="17">
        <v>4</v>
      </c>
      <c r="B186" s="3">
        <v>2</v>
      </c>
      <c r="C186">
        <v>1.2</v>
      </c>
      <c r="E186" s="7">
        <v>1.5</v>
      </c>
      <c r="F186" s="7">
        <v>2.5</v>
      </c>
      <c r="G186" s="7">
        <v>3.5</v>
      </c>
      <c r="H186" s="7">
        <v>4.5</v>
      </c>
      <c r="I186" s="7">
        <v>0.65</v>
      </c>
      <c r="J186" s="7">
        <v>0.5</v>
      </c>
      <c r="K186" s="7">
        <v>0.45</v>
      </c>
      <c r="L186">
        <f t="shared" si="63"/>
        <v>3</v>
      </c>
      <c r="M186">
        <f t="shared" si="64"/>
        <v>0.39999999999999997</v>
      </c>
      <c r="N186" s="6">
        <f t="shared" si="65"/>
        <v>1.2</v>
      </c>
      <c r="P186">
        <f t="shared" si="66"/>
        <v>0.87500000000000011</v>
      </c>
      <c r="Q186" t="str">
        <f t="shared" si="67"/>
        <v>Yes</v>
      </c>
      <c r="R186" t="str">
        <f t="shared" si="68"/>
        <v>Yes</v>
      </c>
    </row>
    <row r="187" spans="1:18" x14ac:dyDescent="0.3">
      <c r="A187" s="17">
        <v>4</v>
      </c>
      <c r="B187" s="16">
        <v>3</v>
      </c>
      <c r="C187">
        <v>1.5</v>
      </c>
      <c r="E187" s="7">
        <v>1.6</v>
      </c>
      <c r="F187" s="7">
        <v>1.7</v>
      </c>
      <c r="G187" s="7">
        <v>1.8</v>
      </c>
      <c r="H187" s="7">
        <v>1.9</v>
      </c>
      <c r="I187" s="7">
        <v>0.73</v>
      </c>
      <c r="J187" s="7">
        <v>0.02</v>
      </c>
      <c r="K187" s="7">
        <v>0.12</v>
      </c>
      <c r="L187">
        <f t="shared" si="63"/>
        <v>1.7499999999999984</v>
      </c>
      <c r="M187">
        <f t="shared" si="64"/>
        <v>0.85666666666666658</v>
      </c>
      <c r="N187" s="6">
        <f t="shared" si="65"/>
        <v>1.4991666666666652</v>
      </c>
      <c r="P187">
        <f t="shared" si="66"/>
        <v>0.54769999999999985</v>
      </c>
      <c r="Q187" t="str">
        <f t="shared" si="67"/>
        <v>Yes</v>
      </c>
      <c r="R187" t="str">
        <f t="shared" si="68"/>
        <v>Yes</v>
      </c>
    </row>
    <row r="188" spans="1:18" x14ac:dyDescent="0.3">
      <c r="A188" s="17">
        <v>4</v>
      </c>
      <c r="B188" s="17">
        <v>4</v>
      </c>
      <c r="C188">
        <v>1.3</v>
      </c>
      <c r="E188" s="7">
        <v>1.1000000000000001</v>
      </c>
      <c r="F188" s="7">
        <v>2.1</v>
      </c>
      <c r="G188" s="7">
        <v>3.05</v>
      </c>
      <c r="H188" s="7">
        <v>4.0199999999999996</v>
      </c>
      <c r="I188" s="7">
        <v>0.64</v>
      </c>
      <c r="J188" s="7">
        <v>0.28000000000000003</v>
      </c>
      <c r="K188" s="7">
        <v>0.56000000000000005</v>
      </c>
      <c r="L188">
        <f t="shared" si="63"/>
        <v>2.5662273901808788</v>
      </c>
      <c r="M188">
        <f t="shared" si="64"/>
        <v>0.50666666666666671</v>
      </c>
      <c r="N188" s="6">
        <f t="shared" si="65"/>
        <v>1.3002218776916454</v>
      </c>
      <c r="P188">
        <f t="shared" si="66"/>
        <v>0.80160000000000009</v>
      </c>
      <c r="Q188" t="str">
        <f t="shared" si="67"/>
        <v>Yes</v>
      </c>
      <c r="R188" t="str">
        <f t="shared" si="68"/>
        <v>Yes</v>
      </c>
    </row>
    <row r="189" spans="1:18" x14ac:dyDescent="0.3">
      <c r="A189" s="17">
        <v>4</v>
      </c>
      <c r="B189" s="5">
        <v>5</v>
      </c>
      <c r="C189">
        <v>1.8</v>
      </c>
      <c r="E189" s="7">
        <v>3.4</v>
      </c>
      <c r="F189" s="7">
        <v>3.5</v>
      </c>
      <c r="G189" s="7">
        <v>3.6</v>
      </c>
      <c r="H189" s="7">
        <v>3.7</v>
      </c>
      <c r="I189" s="7">
        <v>0.75</v>
      </c>
      <c r="J189" s="7">
        <v>0.51</v>
      </c>
      <c r="K189" s="7">
        <v>0.21</v>
      </c>
      <c r="L189">
        <f t="shared" si="63"/>
        <v>3.5499999999999914</v>
      </c>
      <c r="M189">
        <f t="shared" si="64"/>
        <v>0.50666666666666671</v>
      </c>
      <c r="N189" s="6">
        <f t="shared" si="65"/>
        <v>1.7986666666666624</v>
      </c>
      <c r="P189">
        <f t="shared" si="66"/>
        <v>0.86670000000000003</v>
      </c>
      <c r="Q189" t="str">
        <f t="shared" si="67"/>
        <v>Yes</v>
      </c>
      <c r="R189" t="str">
        <f t="shared" si="68"/>
        <v>Yes</v>
      </c>
    </row>
    <row r="190" spans="1:18" x14ac:dyDescent="0.3">
      <c r="A190" s="17">
        <v>4</v>
      </c>
      <c r="B190" s="18">
        <v>6</v>
      </c>
      <c r="C190">
        <v>1.4</v>
      </c>
      <c r="E190" s="7">
        <v>1.9</v>
      </c>
      <c r="F190" s="7">
        <v>2.9</v>
      </c>
      <c r="G190" s="7">
        <v>3.95</v>
      </c>
      <c r="H190" s="7">
        <v>4.9800000000000004</v>
      </c>
      <c r="I190" s="7">
        <v>0.23</v>
      </c>
      <c r="J190" s="7">
        <v>0.45</v>
      </c>
      <c r="K190" s="7">
        <v>0.11</v>
      </c>
      <c r="L190">
        <f t="shared" si="63"/>
        <v>3.4337288135593234</v>
      </c>
      <c r="M190">
        <f t="shared" si="64"/>
        <v>0.40666666666666668</v>
      </c>
      <c r="N190" s="6">
        <f t="shared" si="65"/>
        <v>1.3963830508474582</v>
      </c>
      <c r="P190">
        <f t="shared" si="66"/>
        <v>0.26750000000000002</v>
      </c>
      <c r="Q190" t="str">
        <f t="shared" si="67"/>
        <v>Yes</v>
      </c>
      <c r="R190" t="str">
        <f t="shared" si="68"/>
        <v>Yes</v>
      </c>
    </row>
    <row r="191" spans="1:18" x14ac:dyDescent="0.3">
      <c r="N191" s="6"/>
    </row>
    <row r="192" spans="1:18" x14ac:dyDescent="0.3">
      <c r="N19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37536-235E-485E-9BD2-1E9B150C87C4}">
  <dimension ref="A1:R227"/>
  <sheetViews>
    <sheetView topLeftCell="A205" zoomScale="89" workbookViewId="0">
      <selection activeCell="I11" sqref="I11"/>
    </sheetView>
  </sheetViews>
  <sheetFormatPr defaultRowHeight="14.4" x14ac:dyDescent="0.3"/>
  <sheetData>
    <row r="1" spans="1:17" x14ac:dyDescent="0.3">
      <c r="A1" s="13" t="s">
        <v>111</v>
      </c>
      <c r="B1" s="13"/>
      <c r="C1" s="13"/>
      <c r="D1" s="13"/>
    </row>
    <row r="2" spans="1:17" x14ac:dyDescent="0.3">
      <c r="A2" s="10" t="s">
        <v>108</v>
      </c>
    </row>
    <row r="4" spans="1:17" x14ac:dyDescent="0.3">
      <c r="A4" t="s">
        <v>19</v>
      </c>
      <c r="B4" t="s">
        <v>112</v>
      </c>
      <c r="D4" s="2" t="s">
        <v>4</v>
      </c>
      <c r="E4" s="2" t="s">
        <v>5</v>
      </c>
      <c r="F4" s="2" t="s">
        <v>6</v>
      </c>
      <c r="G4" s="2" t="s">
        <v>7</v>
      </c>
      <c r="H4" s="3" t="s">
        <v>8</v>
      </c>
      <c r="I4" s="3" t="s">
        <v>9</v>
      </c>
      <c r="J4" s="3" t="s">
        <v>10</v>
      </c>
      <c r="K4" s="4" t="s">
        <v>13</v>
      </c>
      <c r="L4" s="4" t="s">
        <v>12</v>
      </c>
      <c r="M4" s="5" t="s">
        <v>11</v>
      </c>
      <c r="O4" t="s">
        <v>14</v>
      </c>
      <c r="P4" t="s">
        <v>30</v>
      </c>
      <c r="Q4" t="s">
        <v>31</v>
      </c>
    </row>
    <row r="5" spans="1:17" x14ac:dyDescent="0.3">
      <c r="A5">
        <v>1</v>
      </c>
      <c r="B5">
        <v>659</v>
      </c>
      <c r="D5">
        <v>892.2</v>
      </c>
      <c r="E5">
        <v>901.71</v>
      </c>
      <c r="F5">
        <v>911.75</v>
      </c>
      <c r="G5">
        <v>921.78</v>
      </c>
      <c r="H5">
        <v>0.88</v>
      </c>
      <c r="I5">
        <v>0.19</v>
      </c>
      <c r="J5">
        <v>0.32</v>
      </c>
      <c r="K5">
        <f>((F5^2)+(F5*G5)+(G5^2)-(D5^2)-(D5*E5)-(E5^2))/(3*(G5+F5-D5-E5))</f>
        <v>906.88137136126613</v>
      </c>
      <c r="L5">
        <f>(H5-(2*I5)-J5+2)/3</f>
        <v>0.72666666666666668</v>
      </c>
      <c r="M5" s="6">
        <f>K5*L5</f>
        <v>659.00046318918669</v>
      </c>
      <c r="O5">
        <f>H5^2+I5^2+J5^2</f>
        <v>0.91290000000000004</v>
      </c>
      <c r="P5" t="str">
        <f>IF(AND(O5&gt;=0,O5&lt;=1),"Yes","No")</f>
        <v>Yes</v>
      </c>
      <c r="Q5" t="str">
        <f>IF(ROUND(M5,2)=B5,"Yes","No")</f>
        <v>Yes</v>
      </c>
    </row>
    <row r="6" spans="1:17" x14ac:dyDescent="0.3">
      <c r="A6" s="1">
        <v>2</v>
      </c>
      <c r="B6">
        <v>756</v>
      </c>
      <c r="D6">
        <v>921.5</v>
      </c>
      <c r="E6">
        <v>932.51</v>
      </c>
      <c r="F6">
        <v>942.52</v>
      </c>
      <c r="G6">
        <v>952.42</v>
      </c>
      <c r="H6">
        <v>0.83</v>
      </c>
      <c r="I6">
        <v>0.15</v>
      </c>
      <c r="J6">
        <v>0.11</v>
      </c>
      <c r="K6">
        <f t="shared" ref="K6" si="0">((F6^2)+(F6*G6)+(G6^2)-(D6^2)-(D6*E6)-(E6^2))/(3*(G6+F6-D6-E6))</f>
        <v>937.19024431956689</v>
      </c>
      <c r="L6">
        <f t="shared" ref="L6" si="1">(H6-(2*I6)-J6+2)/3</f>
        <v>0.80666666666666664</v>
      </c>
      <c r="M6" s="6">
        <f t="shared" ref="M6" si="2">K6*L6</f>
        <v>756.00013041778391</v>
      </c>
      <c r="O6">
        <f t="shared" ref="O6" si="3">H6^2+I6^2+J6^2</f>
        <v>0.72349999999999992</v>
      </c>
      <c r="P6" t="str">
        <f t="shared" ref="P6" si="4">IF(AND(O6&gt;=0,O6&lt;=1),"Yes","No")</f>
        <v>Yes</v>
      </c>
      <c r="Q6" t="str">
        <f t="shared" ref="Q6" si="5">IF(ROUND(M6,2)=B6,"Yes","No")</f>
        <v>Yes</v>
      </c>
    </row>
    <row r="7" spans="1:17" x14ac:dyDescent="0.3">
      <c r="M7" s="6"/>
    </row>
    <row r="10" spans="1:17" x14ac:dyDescent="0.3">
      <c r="A10" t="s">
        <v>113</v>
      </c>
    </row>
    <row r="11" spans="1:17" x14ac:dyDescent="0.3">
      <c r="A11" s="10" t="s">
        <v>109</v>
      </c>
    </row>
    <row r="13" spans="1:17" x14ac:dyDescent="0.3">
      <c r="A13" t="s">
        <v>2</v>
      </c>
      <c r="B13" t="s">
        <v>114</v>
      </c>
      <c r="D13" s="2" t="s">
        <v>4</v>
      </c>
      <c r="E13" s="2" t="s">
        <v>5</v>
      </c>
      <c r="F13" s="2" t="s">
        <v>6</v>
      </c>
      <c r="G13" s="2" t="s">
        <v>7</v>
      </c>
      <c r="H13" s="3" t="s">
        <v>8</v>
      </c>
      <c r="I13" s="3" t="s">
        <v>9</v>
      </c>
      <c r="J13" s="3" t="s">
        <v>10</v>
      </c>
      <c r="K13" s="4" t="s">
        <v>13</v>
      </c>
      <c r="L13" s="4" t="s">
        <v>12</v>
      </c>
      <c r="M13" s="5" t="s">
        <v>11</v>
      </c>
      <c r="O13" t="s">
        <v>14</v>
      </c>
      <c r="P13" t="s">
        <v>30</v>
      </c>
      <c r="Q13" t="s">
        <v>31</v>
      </c>
    </row>
    <row r="14" spans="1:17" x14ac:dyDescent="0.3">
      <c r="A14">
        <v>1</v>
      </c>
      <c r="B14">
        <v>351</v>
      </c>
      <c r="D14">
        <v>644.6</v>
      </c>
      <c r="E14">
        <v>645.51</v>
      </c>
      <c r="F14">
        <v>646.41</v>
      </c>
      <c r="G14">
        <v>647.5</v>
      </c>
      <c r="H14">
        <v>0.75</v>
      </c>
      <c r="I14">
        <v>0.28000000000000003</v>
      </c>
      <c r="J14">
        <v>0.56000000000000005</v>
      </c>
      <c r="K14">
        <f>((F14^2)+(F14*G14)+(G14^2)-(D14^2)-(D14*E14)-(E14^2))/(3*(G14+F14-D14-E14))</f>
        <v>646.01289473686586</v>
      </c>
      <c r="L14">
        <f>(H14-(2*I14)-J14+2)/3</f>
        <v>0.54333333333333333</v>
      </c>
      <c r="M14" s="6">
        <f>K14*L14</f>
        <v>351.00033947369712</v>
      </c>
      <c r="O14">
        <f>H14^2+I14^2+J14^2</f>
        <v>0.95450000000000013</v>
      </c>
      <c r="P14" t="str">
        <f>IF(AND(O14&gt;=0,O14&lt;=1),"Yes","No")</f>
        <v>Yes</v>
      </c>
      <c r="Q14" t="str">
        <f>IF(ROUND(M14,2)=B14,"Yes","No")</f>
        <v>Yes</v>
      </c>
    </row>
    <row r="15" spans="1:17" x14ac:dyDescent="0.3">
      <c r="A15">
        <v>2</v>
      </c>
      <c r="B15">
        <v>348</v>
      </c>
      <c r="D15">
        <v>491.62</v>
      </c>
      <c r="E15">
        <v>501.58</v>
      </c>
      <c r="F15">
        <v>511.52</v>
      </c>
      <c r="G15">
        <v>522.32000000000005</v>
      </c>
      <c r="H15">
        <v>0.81</v>
      </c>
      <c r="I15">
        <v>0.27</v>
      </c>
      <c r="J15">
        <v>0.21</v>
      </c>
      <c r="K15">
        <f t="shared" ref="K15:K17" si="6">((F15^2)+(F15*G15)+(G15^2)-(D15^2)-(D15*E15)-(E15^2))/(3*(G15+F15-D15-E15))</f>
        <v>506.79575787401433</v>
      </c>
      <c r="L15">
        <f t="shared" ref="L15:L17" si="7">(H15-(2*I15)-J15+2)/3</f>
        <v>0.68666666666666665</v>
      </c>
      <c r="M15" s="6">
        <f t="shared" ref="M15:M17" si="8">K15*L15</f>
        <v>347.99975374015651</v>
      </c>
      <c r="O15">
        <f t="shared" ref="O15:O17" si="9">H15^2+I15^2+J15^2</f>
        <v>0.77310000000000012</v>
      </c>
      <c r="P15" t="str">
        <f t="shared" ref="P15:P17" si="10">IF(AND(O15&gt;=0,O15&lt;=1),"Yes","No")</f>
        <v>Yes</v>
      </c>
      <c r="Q15" t="str">
        <f t="shared" ref="Q15:Q17" si="11">IF(ROUND(M15,2)=B15,"Yes","No")</f>
        <v>Yes</v>
      </c>
    </row>
    <row r="16" spans="1:17" x14ac:dyDescent="0.3">
      <c r="A16">
        <v>3</v>
      </c>
      <c r="B16">
        <v>337</v>
      </c>
      <c r="D16">
        <v>477.6</v>
      </c>
      <c r="E16">
        <v>478.75</v>
      </c>
      <c r="F16">
        <v>479.68</v>
      </c>
      <c r="G16">
        <v>480.6</v>
      </c>
      <c r="H16">
        <v>0.71</v>
      </c>
      <c r="I16">
        <v>0.19</v>
      </c>
      <c r="J16">
        <v>0.22</v>
      </c>
      <c r="K16">
        <f t="shared" si="6"/>
        <v>479.14740458015723</v>
      </c>
      <c r="L16">
        <f t="shared" si="7"/>
        <v>0.70333333333333325</v>
      </c>
      <c r="M16" s="6">
        <f t="shared" si="8"/>
        <v>337.0003412213772</v>
      </c>
      <c r="O16">
        <f t="shared" si="9"/>
        <v>0.58860000000000001</v>
      </c>
      <c r="P16" t="str">
        <f t="shared" si="10"/>
        <v>Yes</v>
      </c>
      <c r="Q16" t="str">
        <f t="shared" si="11"/>
        <v>Yes</v>
      </c>
    </row>
    <row r="17" spans="1:17" x14ac:dyDescent="0.3">
      <c r="A17">
        <v>4</v>
      </c>
      <c r="B17">
        <v>390</v>
      </c>
      <c r="D17">
        <v>748.5</v>
      </c>
      <c r="E17">
        <v>749.5</v>
      </c>
      <c r="F17">
        <v>750.5</v>
      </c>
      <c r="G17">
        <v>751.5</v>
      </c>
      <c r="H17">
        <v>0.62</v>
      </c>
      <c r="I17">
        <v>0.41</v>
      </c>
      <c r="J17">
        <v>0.24</v>
      </c>
      <c r="K17">
        <f t="shared" si="6"/>
        <v>750</v>
      </c>
      <c r="L17">
        <f t="shared" si="7"/>
        <v>0.52</v>
      </c>
      <c r="M17" s="6">
        <f t="shared" si="8"/>
        <v>390</v>
      </c>
      <c r="O17">
        <f t="shared" si="9"/>
        <v>0.61009999999999998</v>
      </c>
      <c r="P17" t="str">
        <f t="shared" si="10"/>
        <v>Yes</v>
      </c>
      <c r="Q17" t="str">
        <f t="shared" si="11"/>
        <v>Yes</v>
      </c>
    </row>
    <row r="21" spans="1:17" x14ac:dyDescent="0.3">
      <c r="A21" t="s">
        <v>115</v>
      </c>
    </row>
    <row r="22" spans="1:17" x14ac:dyDescent="0.3">
      <c r="A22" s="10" t="s">
        <v>110</v>
      </c>
    </row>
    <row r="24" spans="1:17" x14ac:dyDescent="0.3">
      <c r="A24" t="s">
        <v>40</v>
      </c>
      <c r="B24" t="s">
        <v>116</v>
      </c>
      <c r="D24" s="2" t="s">
        <v>4</v>
      </c>
      <c r="E24" s="2" t="s">
        <v>5</v>
      </c>
      <c r="F24" s="2" t="s">
        <v>6</v>
      </c>
      <c r="G24" s="2" t="s">
        <v>7</v>
      </c>
      <c r="H24" s="3" t="s">
        <v>8</v>
      </c>
      <c r="I24" s="3" t="s">
        <v>9</v>
      </c>
      <c r="J24" s="3" t="s">
        <v>10</v>
      </c>
      <c r="K24" s="4" t="s">
        <v>13</v>
      </c>
      <c r="L24" s="4" t="s">
        <v>12</v>
      </c>
      <c r="M24" s="5" t="s">
        <v>11</v>
      </c>
      <c r="O24" t="s">
        <v>14</v>
      </c>
      <c r="P24" t="s">
        <v>30</v>
      </c>
      <c r="Q24" t="s">
        <v>31</v>
      </c>
    </row>
    <row r="25" spans="1:17" x14ac:dyDescent="0.3">
      <c r="A25">
        <v>1</v>
      </c>
      <c r="B25">
        <v>500</v>
      </c>
      <c r="D25">
        <v>637.17999999999995</v>
      </c>
      <c r="E25">
        <v>647.17999999999995</v>
      </c>
      <c r="F25">
        <v>657.15</v>
      </c>
      <c r="G25">
        <v>667.18</v>
      </c>
      <c r="H25">
        <v>0.87</v>
      </c>
      <c r="I25">
        <v>0.21</v>
      </c>
      <c r="J25">
        <v>0.15</v>
      </c>
      <c r="K25">
        <f>((F25^2)+(F25*G25)+(G25^2)-(D25^2)-(D25*E25)-(E25^2))/(3*(G25+F25-D25-E25))</f>
        <v>652.17375281461068</v>
      </c>
      <c r="L25">
        <f>(H25-(2*I25)-J25+2)/3</f>
        <v>0.76666666666666661</v>
      </c>
      <c r="M25" s="6">
        <f>K25*L25</f>
        <v>499.99987715786813</v>
      </c>
      <c r="O25">
        <f>H25^2+I25^2+J25^2</f>
        <v>0.82350000000000001</v>
      </c>
      <c r="P25" t="str">
        <f>IF(AND(O25&gt;=0,O25&lt;=1),"Yes","No")</f>
        <v>Yes</v>
      </c>
      <c r="Q25" t="str">
        <f>IF(ROUND(M25,2)=B25,"Yes","No")</f>
        <v>Yes</v>
      </c>
    </row>
    <row r="26" spans="1:17" x14ac:dyDescent="0.3">
      <c r="A26">
        <v>2</v>
      </c>
      <c r="B26">
        <v>500</v>
      </c>
      <c r="D26">
        <v>735</v>
      </c>
      <c r="E26">
        <v>745</v>
      </c>
      <c r="F26">
        <v>755</v>
      </c>
      <c r="G26">
        <v>765</v>
      </c>
      <c r="H26">
        <v>0.85</v>
      </c>
      <c r="I26">
        <v>0.27</v>
      </c>
      <c r="J26">
        <v>0.31</v>
      </c>
      <c r="K26">
        <f t="shared" ref="K26:K27" si="12">((F26^2)+(F26*G26)+(G26^2)-(D26^2)-(D26*E26)-(E26^2))/(3*(G26+F26-D26-E26))</f>
        <v>750</v>
      </c>
      <c r="L26">
        <f t="shared" ref="L26:L27" si="13">(H26-(2*I26)-J26+2)/3</f>
        <v>0.66666666666666663</v>
      </c>
      <c r="M26" s="6">
        <f t="shared" ref="M26:M27" si="14">K26*L26</f>
        <v>500</v>
      </c>
      <c r="O26">
        <f t="shared" ref="O26:O27" si="15">H26^2+I26^2+J26^2</f>
        <v>0.89149999999999985</v>
      </c>
      <c r="P26" t="str">
        <f t="shared" ref="P26:P27" si="16">IF(AND(O26&gt;=0,O26&lt;=1),"Yes","No")</f>
        <v>Yes</v>
      </c>
      <c r="Q26" t="str">
        <f t="shared" ref="Q26:Q27" si="17">IF(ROUND(M26,2)=B26,"Yes","No")</f>
        <v>Yes</v>
      </c>
    </row>
    <row r="27" spans="1:17" x14ac:dyDescent="0.3">
      <c r="A27">
        <v>3</v>
      </c>
      <c r="B27">
        <v>500</v>
      </c>
      <c r="D27">
        <v>679.48</v>
      </c>
      <c r="E27">
        <v>689.34</v>
      </c>
      <c r="F27">
        <v>699.45</v>
      </c>
      <c r="G27">
        <v>709.48</v>
      </c>
      <c r="H27">
        <v>0.76</v>
      </c>
      <c r="I27">
        <v>0.16</v>
      </c>
      <c r="J27">
        <v>0.28000000000000003</v>
      </c>
      <c r="K27">
        <f t="shared" si="12"/>
        <v>694.44452505609399</v>
      </c>
      <c r="L27">
        <f t="shared" si="13"/>
        <v>0.72000000000000008</v>
      </c>
      <c r="M27" s="6">
        <f t="shared" si="14"/>
        <v>500.00005804038773</v>
      </c>
      <c r="O27">
        <f t="shared" si="15"/>
        <v>0.68159999999999998</v>
      </c>
      <c r="P27" t="str">
        <f t="shared" si="16"/>
        <v>Yes</v>
      </c>
      <c r="Q27" t="str">
        <f t="shared" si="17"/>
        <v>Yes</v>
      </c>
    </row>
    <row r="31" spans="1:17" x14ac:dyDescent="0.3">
      <c r="A31" t="s">
        <v>125</v>
      </c>
    </row>
    <row r="32" spans="1:17" x14ac:dyDescent="0.3">
      <c r="A32" s="10" t="s">
        <v>124</v>
      </c>
    </row>
    <row r="34" spans="1:18" x14ac:dyDescent="0.3">
      <c r="A34" t="s">
        <v>28</v>
      </c>
      <c r="B34" t="s">
        <v>126</v>
      </c>
      <c r="D34" s="2" t="s">
        <v>4</v>
      </c>
      <c r="E34" s="2" t="s">
        <v>5</v>
      </c>
      <c r="F34" s="2" t="s">
        <v>6</v>
      </c>
      <c r="G34" s="2" t="s">
        <v>7</v>
      </c>
      <c r="H34" s="3" t="s">
        <v>8</v>
      </c>
      <c r="I34" s="3" t="s">
        <v>9</v>
      </c>
      <c r="J34" s="3" t="s">
        <v>10</v>
      </c>
      <c r="K34" s="4" t="s">
        <v>13</v>
      </c>
      <c r="L34" s="4" t="s">
        <v>12</v>
      </c>
      <c r="M34" s="5" t="s">
        <v>11</v>
      </c>
      <c r="O34" t="s">
        <v>14</v>
      </c>
      <c r="P34" t="s">
        <v>30</v>
      </c>
      <c r="Q34" t="s">
        <v>31</v>
      </c>
    </row>
    <row r="35" spans="1:18" x14ac:dyDescent="0.3">
      <c r="A35">
        <v>1</v>
      </c>
      <c r="B35">
        <v>450</v>
      </c>
      <c r="D35">
        <v>626.41</v>
      </c>
      <c r="E35">
        <v>627.41</v>
      </c>
      <c r="F35">
        <v>628.41</v>
      </c>
      <c r="G35">
        <v>629.4</v>
      </c>
      <c r="H35">
        <v>0.92</v>
      </c>
      <c r="I35">
        <v>0.23</v>
      </c>
      <c r="J35">
        <v>0.31</v>
      </c>
      <c r="K35">
        <f>((F35^2)+(F35*G35)+(G35^2)-(D35^2)-(D35*E35)-(E35^2))/(3*(G35+F35-D35-E35))</f>
        <v>627.90708437761418</v>
      </c>
      <c r="L35">
        <f>(H35-(2*I35)-J35+2)/3</f>
        <v>0.71666666666666667</v>
      </c>
      <c r="M35" s="6">
        <f>K35*L35</f>
        <v>450.00007713729019</v>
      </c>
      <c r="O35">
        <f>H35^2+I35^2+J35^2</f>
        <v>0.99539999999999995</v>
      </c>
      <c r="P35" t="str">
        <f>IF(AND(O35&gt;=0,O35&lt;=1),"Yes","No")</f>
        <v>Yes</v>
      </c>
      <c r="Q35" t="str">
        <f>IF(ROUND(M35,2)=B35,"Yes","No")</f>
        <v>Yes</v>
      </c>
    </row>
    <row r="36" spans="1:18" x14ac:dyDescent="0.3">
      <c r="A36">
        <v>2</v>
      </c>
      <c r="B36">
        <v>400</v>
      </c>
      <c r="D36">
        <v>654.29999999999995</v>
      </c>
      <c r="E36">
        <v>655.23</v>
      </c>
      <c r="F36">
        <v>656.21</v>
      </c>
      <c r="G36">
        <v>657.2</v>
      </c>
      <c r="H36">
        <v>0.79</v>
      </c>
      <c r="I36">
        <v>0.28999999999999998</v>
      </c>
      <c r="J36">
        <v>0.38</v>
      </c>
      <c r="K36">
        <f t="shared" ref="K36:K37" si="18">((F36^2)+(F36*G36)+(G36^2)-(D36^2)-(D36*E36)-(E36^2))/(3*(G36+F36-D36-E36))</f>
        <v>655.73747422680526</v>
      </c>
      <c r="L36">
        <f t="shared" ref="L36:L37" si="19">(H36-(2*I36)-J36+2)/3</f>
        <v>0.61</v>
      </c>
      <c r="M36" s="6">
        <f t="shared" ref="M36:M37" si="20">K36*L36</f>
        <v>399.99985927835121</v>
      </c>
      <c r="O36">
        <f t="shared" ref="O36:O37" si="21">H36^2+I36^2+J36^2</f>
        <v>0.85260000000000002</v>
      </c>
      <c r="P36" t="str">
        <f t="shared" ref="P36:P37" si="22">IF(AND(O36&gt;=0,O36&lt;=1),"Yes","No")</f>
        <v>Yes</v>
      </c>
      <c r="Q36" t="str">
        <f t="shared" ref="Q36:Q37" si="23">IF(ROUND(M36,2)=B36,"Yes","No")</f>
        <v>Yes</v>
      </c>
    </row>
    <row r="37" spans="1:18" x14ac:dyDescent="0.3">
      <c r="A37">
        <v>3</v>
      </c>
      <c r="B37">
        <v>460</v>
      </c>
      <c r="D37">
        <v>736.5</v>
      </c>
      <c r="E37">
        <v>737.5</v>
      </c>
      <c r="F37">
        <v>738.43</v>
      </c>
      <c r="G37">
        <v>739.44</v>
      </c>
      <c r="H37">
        <v>0.87</v>
      </c>
      <c r="I37">
        <v>0.39</v>
      </c>
      <c r="J37">
        <v>0.22</v>
      </c>
      <c r="K37">
        <f t="shared" si="18"/>
        <v>737.9679328165787</v>
      </c>
      <c r="L37">
        <f t="shared" si="19"/>
        <v>0.62333333333333329</v>
      </c>
      <c r="M37" s="6">
        <f t="shared" si="20"/>
        <v>460.00001145566733</v>
      </c>
      <c r="O37">
        <f t="shared" si="21"/>
        <v>0.95740000000000003</v>
      </c>
      <c r="P37" t="str">
        <f t="shared" si="22"/>
        <v>Yes</v>
      </c>
      <c r="Q37" t="str">
        <f t="shared" si="23"/>
        <v>Yes</v>
      </c>
    </row>
    <row r="41" spans="1:18" x14ac:dyDescent="0.3">
      <c r="A41" t="s">
        <v>127</v>
      </c>
    </row>
    <row r="42" spans="1:18" x14ac:dyDescent="0.3">
      <c r="A42" s="10" t="s">
        <v>117</v>
      </c>
    </row>
    <row r="43" spans="1:18" x14ac:dyDescent="0.3">
      <c r="A43" s="11" t="s">
        <v>118</v>
      </c>
    </row>
    <row r="44" spans="1:18" x14ac:dyDescent="0.3">
      <c r="A44" s="11" t="s">
        <v>119</v>
      </c>
    </row>
    <row r="45" spans="1:18" x14ac:dyDescent="0.3">
      <c r="A45" s="11" t="s">
        <v>120</v>
      </c>
    </row>
    <row r="47" spans="1:18" x14ac:dyDescent="0.3">
      <c r="A47" s="11" t="s">
        <v>2</v>
      </c>
      <c r="B47" t="s">
        <v>10</v>
      </c>
      <c r="C47" t="s">
        <v>128</v>
      </c>
      <c r="E47" s="2" t="s">
        <v>4</v>
      </c>
      <c r="F47" s="2" t="s">
        <v>5</v>
      </c>
      <c r="G47" s="2" t="s">
        <v>6</v>
      </c>
      <c r="H47" s="2" t="s">
        <v>7</v>
      </c>
      <c r="I47" s="3" t="s">
        <v>8</v>
      </c>
      <c r="J47" s="3" t="s">
        <v>9</v>
      </c>
      <c r="K47" s="3" t="s">
        <v>10</v>
      </c>
      <c r="L47" s="4" t="s">
        <v>13</v>
      </c>
      <c r="M47" s="4" t="s">
        <v>12</v>
      </c>
      <c r="N47" s="5" t="s">
        <v>11</v>
      </c>
      <c r="P47" t="s">
        <v>14</v>
      </c>
      <c r="Q47" t="s">
        <v>30</v>
      </c>
      <c r="R47" t="s">
        <v>31</v>
      </c>
    </row>
    <row r="48" spans="1:18" x14ac:dyDescent="0.3">
      <c r="A48" s="15">
        <v>1</v>
      </c>
      <c r="B48" s="15">
        <v>1</v>
      </c>
      <c r="C48">
        <v>63</v>
      </c>
      <c r="E48">
        <v>109.02</v>
      </c>
      <c r="F48">
        <v>110.03</v>
      </c>
      <c r="G48">
        <v>111.03</v>
      </c>
      <c r="H48">
        <v>112.03</v>
      </c>
      <c r="I48">
        <v>0.45</v>
      </c>
      <c r="J48">
        <v>0.21</v>
      </c>
      <c r="K48">
        <v>0.32</v>
      </c>
      <c r="L48">
        <f>((G48^2)+(G48*H48)+(H48^2)-(E48^2)-(E48*F48)-(F48^2))/(3*(H48+G48-E48-F48))</f>
        <v>110.52708229426474</v>
      </c>
      <c r="M48">
        <f>(I48-(2*J48)-K48+2)/3</f>
        <v>0.56999999999999995</v>
      </c>
      <c r="N48" s="6">
        <f>L48*M48</f>
        <v>63.000436907730901</v>
      </c>
      <c r="P48">
        <f>I48^2+J48^2+K48^2</f>
        <v>0.34900000000000003</v>
      </c>
      <c r="Q48" t="str">
        <f>IF(AND(P48&gt;=0,P48&lt;=1),"Yes","No")</f>
        <v>Yes</v>
      </c>
      <c r="R48" t="str">
        <f>IF(ROUND(N48,2)=C48,"Yes","No")</f>
        <v>Yes</v>
      </c>
    </row>
    <row r="49" spans="1:18" x14ac:dyDescent="0.3">
      <c r="A49" s="15">
        <v>1</v>
      </c>
      <c r="B49" s="3">
        <v>2</v>
      </c>
      <c r="C49">
        <v>65</v>
      </c>
      <c r="E49">
        <v>130.30000000000001</v>
      </c>
      <c r="F49">
        <v>131.24</v>
      </c>
      <c r="G49">
        <v>132.25</v>
      </c>
      <c r="H49">
        <v>133.22999999999999</v>
      </c>
      <c r="I49">
        <v>0.54</v>
      </c>
      <c r="J49">
        <v>0.43</v>
      </c>
      <c r="K49">
        <v>0.2</v>
      </c>
      <c r="L49">
        <f t="shared" ref="L49:L51" si="24">((G49^2)+(G49*H49)+(H49^2)-(E49^2)-(E49*F49)-(F49^2))/(3*(H49+G49-E49-F49))</f>
        <v>131.75662436548146</v>
      </c>
      <c r="M49">
        <f t="shared" ref="M49:M51" si="25">(I49-(2*J49)-K49+2)/3</f>
        <v>0.49333333333333335</v>
      </c>
      <c r="N49" s="6">
        <f t="shared" ref="N49:N51" si="26">L49*M49</f>
        <v>64.99993468697086</v>
      </c>
      <c r="P49">
        <f t="shared" ref="P49:P51" si="27">I49^2+J49^2+K49^2</f>
        <v>0.51650000000000007</v>
      </c>
      <c r="Q49" t="str">
        <f t="shared" ref="Q49:Q71" si="28">IF(AND(P49&gt;=0,P49&lt;=1),"Yes","No")</f>
        <v>Yes</v>
      </c>
      <c r="R49" t="str">
        <f t="shared" ref="R49:R51" si="29">IF(ROUND(N49,2)=C49,"Yes","No")</f>
        <v>Yes</v>
      </c>
    </row>
    <row r="50" spans="1:18" x14ac:dyDescent="0.3">
      <c r="A50" s="15">
        <v>1</v>
      </c>
      <c r="B50" s="16">
        <v>3</v>
      </c>
      <c r="C50">
        <v>57</v>
      </c>
      <c r="E50">
        <v>101.44</v>
      </c>
      <c r="F50">
        <v>102.4</v>
      </c>
      <c r="G50">
        <v>103.6</v>
      </c>
      <c r="H50">
        <v>104.6</v>
      </c>
      <c r="I50">
        <v>0.22</v>
      </c>
      <c r="J50">
        <v>0.22</v>
      </c>
      <c r="K50">
        <v>0.12</v>
      </c>
      <c r="L50">
        <f t="shared" si="24"/>
        <v>103.01149847094769</v>
      </c>
      <c r="M50">
        <f t="shared" si="25"/>
        <v>0.55333333333333334</v>
      </c>
      <c r="N50" s="6">
        <f t="shared" si="26"/>
        <v>56.999695820591057</v>
      </c>
      <c r="P50">
        <f t="shared" si="27"/>
        <v>0.11119999999999999</v>
      </c>
      <c r="Q50" t="str">
        <f t="shared" si="28"/>
        <v>Yes</v>
      </c>
      <c r="R50" t="str">
        <f t="shared" si="29"/>
        <v>Yes</v>
      </c>
    </row>
    <row r="51" spans="1:18" x14ac:dyDescent="0.3">
      <c r="A51" s="15">
        <v>1</v>
      </c>
      <c r="B51" s="17">
        <v>4</v>
      </c>
      <c r="C51">
        <v>55</v>
      </c>
      <c r="E51">
        <v>126.21</v>
      </c>
      <c r="F51">
        <v>127.25</v>
      </c>
      <c r="G51">
        <v>128.69999999999999</v>
      </c>
      <c r="H51">
        <v>129.5</v>
      </c>
      <c r="I51">
        <v>0.3</v>
      </c>
      <c r="J51">
        <v>0.45</v>
      </c>
      <c r="K51">
        <v>0.11</v>
      </c>
      <c r="L51">
        <f t="shared" si="24"/>
        <v>127.90723628691953</v>
      </c>
      <c r="M51">
        <f t="shared" si="25"/>
        <v>0.43</v>
      </c>
      <c r="N51" s="6">
        <f t="shared" si="26"/>
        <v>55.000111603375395</v>
      </c>
      <c r="P51">
        <f t="shared" si="27"/>
        <v>0.30459999999999998</v>
      </c>
      <c r="Q51" t="str">
        <f t="shared" si="28"/>
        <v>Yes</v>
      </c>
      <c r="R51" t="str">
        <f t="shared" si="29"/>
        <v>Yes</v>
      </c>
    </row>
    <row r="52" spans="1:18" x14ac:dyDescent="0.3">
      <c r="A52" s="15">
        <v>1</v>
      </c>
      <c r="B52" s="5">
        <v>5</v>
      </c>
      <c r="C52">
        <v>60</v>
      </c>
      <c r="E52">
        <v>151.05000000000001</v>
      </c>
      <c r="F52">
        <v>152.05000000000001</v>
      </c>
      <c r="G52">
        <v>153.04</v>
      </c>
      <c r="H52">
        <v>154.03</v>
      </c>
      <c r="I52">
        <v>0.24</v>
      </c>
      <c r="J52">
        <v>0.42</v>
      </c>
      <c r="K52">
        <v>0.22</v>
      </c>
      <c r="L52">
        <f t="shared" ref="L52:L67" si="30">((G52^2)+(G52*H52)+(H52^2)-(E52^2)-(E52*F52)-(F52^2))/(3*(H52+G52-E52-F52))</f>
        <v>152.54208228379477</v>
      </c>
      <c r="M52">
        <f t="shared" ref="M52:M67" si="31">(I52-(2*J52)-K52+2)/3</f>
        <v>0.39333333333333337</v>
      </c>
      <c r="N52" s="6">
        <f t="shared" ref="N52:N67" si="32">L52*M52</f>
        <v>59.999885698292616</v>
      </c>
      <c r="P52">
        <f t="shared" ref="P52:P71" si="33">I52^2+J52^2+K52^2</f>
        <v>0.28239999999999998</v>
      </c>
      <c r="Q52" t="str">
        <f t="shared" si="28"/>
        <v>Yes</v>
      </c>
      <c r="R52" t="str">
        <f t="shared" ref="R52:R62" si="34">IF(ROUND(N52,2)=C52,"Yes","No")</f>
        <v>Yes</v>
      </c>
    </row>
    <row r="53" spans="1:18" x14ac:dyDescent="0.3">
      <c r="A53" s="15">
        <v>1</v>
      </c>
      <c r="B53" s="18">
        <v>6</v>
      </c>
      <c r="C53">
        <v>51</v>
      </c>
      <c r="E53">
        <v>126</v>
      </c>
      <c r="F53">
        <v>127</v>
      </c>
      <c r="G53">
        <v>128</v>
      </c>
      <c r="H53">
        <v>129</v>
      </c>
      <c r="I53">
        <v>0.28000000000000003</v>
      </c>
      <c r="J53">
        <v>0.46</v>
      </c>
      <c r="K53">
        <v>0.16</v>
      </c>
      <c r="L53">
        <f t="shared" si="30"/>
        <v>127.5</v>
      </c>
      <c r="M53">
        <f t="shared" si="31"/>
        <v>0.39999999999999997</v>
      </c>
      <c r="N53" s="6">
        <f t="shared" si="32"/>
        <v>50.999999999999993</v>
      </c>
      <c r="P53">
        <f t="shared" si="33"/>
        <v>0.31560000000000005</v>
      </c>
      <c r="Q53" t="str">
        <f t="shared" si="28"/>
        <v>Yes</v>
      </c>
      <c r="R53" t="str">
        <f t="shared" si="34"/>
        <v>Yes</v>
      </c>
    </row>
    <row r="54" spans="1:18" x14ac:dyDescent="0.3">
      <c r="A54" s="3">
        <v>2</v>
      </c>
      <c r="B54" s="15">
        <v>1</v>
      </c>
      <c r="C54">
        <v>67</v>
      </c>
      <c r="E54">
        <v>103.21</v>
      </c>
      <c r="F54">
        <v>104.2</v>
      </c>
      <c r="G54">
        <v>105.21</v>
      </c>
      <c r="H54">
        <v>106.14</v>
      </c>
      <c r="I54">
        <v>0.67</v>
      </c>
      <c r="J54">
        <v>0.32</v>
      </c>
      <c r="K54">
        <v>0.11</v>
      </c>
      <c r="L54">
        <f t="shared" si="30"/>
        <v>104.68756345177619</v>
      </c>
      <c r="M54">
        <f t="shared" si="31"/>
        <v>0.64</v>
      </c>
      <c r="N54" s="6">
        <f t="shared" si="32"/>
        <v>67.000040609136761</v>
      </c>
      <c r="P54">
        <f t="shared" si="33"/>
        <v>0.56340000000000012</v>
      </c>
      <c r="Q54" t="str">
        <f t="shared" si="28"/>
        <v>Yes</v>
      </c>
      <c r="R54" t="str">
        <f t="shared" si="34"/>
        <v>Yes</v>
      </c>
    </row>
    <row r="55" spans="1:18" x14ac:dyDescent="0.3">
      <c r="A55" s="3">
        <v>2</v>
      </c>
      <c r="B55" s="3">
        <v>2</v>
      </c>
      <c r="C55">
        <v>55</v>
      </c>
      <c r="E55">
        <v>124.61</v>
      </c>
      <c r="F55">
        <v>125.62</v>
      </c>
      <c r="G55">
        <v>126.42</v>
      </c>
      <c r="H55">
        <v>127.21</v>
      </c>
      <c r="I55">
        <v>0.3</v>
      </c>
      <c r="J55">
        <v>0.45</v>
      </c>
      <c r="K55">
        <v>0.09</v>
      </c>
      <c r="L55">
        <f t="shared" si="30"/>
        <v>125.95529411764832</v>
      </c>
      <c r="M55">
        <f t="shared" si="31"/>
        <v>0.4366666666666667</v>
      </c>
      <c r="N55" s="6">
        <f t="shared" si="32"/>
        <v>55.000478431373104</v>
      </c>
      <c r="P55">
        <f t="shared" si="33"/>
        <v>0.30059999999999998</v>
      </c>
      <c r="Q55" t="str">
        <f t="shared" si="28"/>
        <v>Yes</v>
      </c>
      <c r="R55" t="str">
        <f t="shared" si="34"/>
        <v>Yes</v>
      </c>
    </row>
    <row r="56" spans="1:18" x14ac:dyDescent="0.3">
      <c r="A56" s="3">
        <v>2</v>
      </c>
      <c r="B56" s="16">
        <v>3</v>
      </c>
      <c r="C56">
        <v>54</v>
      </c>
      <c r="E56">
        <v>110.3</v>
      </c>
      <c r="F56">
        <v>112.4</v>
      </c>
      <c r="G56">
        <v>114.21</v>
      </c>
      <c r="H56">
        <v>116.25</v>
      </c>
      <c r="I56">
        <v>0.38</v>
      </c>
      <c r="J56">
        <v>0.31</v>
      </c>
      <c r="K56">
        <v>0.33</v>
      </c>
      <c r="L56">
        <f t="shared" si="30"/>
        <v>113.28733247422679</v>
      </c>
      <c r="M56">
        <f t="shared" si="31"/>
        <v>0.47666666666666663</v>
      </c>
      <c r="N56" s="6">
        <f t="shared" si="32"/>
        <v>54.000295146048096</v>
      </c>
      <c r="P56">
        <f t="shared" si="33"/>
        <v>0.34939999999999999</v>
      </c>
      <c r="Q56" t="str">
        <f t="shared" si="28"/>
        <v>Yes</v>
      </c>
      <c r="R56" t="str">
        <f t="shared" si="34"/>
        <v>Yes</v>
      </c>
    </row>
    <row r="57" spans="1:18" x14ac:dyDescent="0.3">
      <c r="A57" s="3">
        <v>2</v>
      </c>
      <c r="B57" s="17">
        <v>4</v>
      </c>
      <c r="C57">
        <v>62</v>
      </c>
      <c r="E57">
        <v>118.6</v>
      </c>
      <c r="F57">
        <v>119.5</v>
      </c>
      <c r="G57">
        <v>120.5</v>
      </c>
      <c r="H57">
        <v>121.4</v>
      </c>
      <c r="I57">
        <v>0.45</v>
      </c>
      <c r="J57">
        <v>0.21</v>
      </c>
      <c r="K57">
        <v>0.48</v>
      </c>
      <c r="L57">
        <f t="shared" si="30"/>
        <v>120.00000000000011</v>
      </c>
      <c r="M57">
        <f t="shared" si="31"/>
        <v>0.51666666666666672</v>
      </c>
      <c r="N57" s="6">
        <f t="shared" si="32"/>
        <v>62.000000000000064</v>
      </c>
      <c r="P57">
        <f t="shared" si="33"/>
        <v>0.47699999999999998</v>
      </c>
      <c r="Q57" t="str">
        <f t="shared" si="28"/>
        <v>Yes</v>
      </c>
      <c r="R57" t="str">
        <f t="shared" si="34"/>
        <v>Yes</v>
      </c>
    </row>
    <row r="58" spans="1:18" x14ac:dyDescent="0.3">
      <c r="A58" s="3">
        <v>2</v>
      </c>
      <c r="B58" s="5">
        <v>5</v>
      </c>
      <c r="C58">
        <v>52</v>
      </c>
      <c r="E58">
        <v>136.80000000000001</v>
      </c>
      <c r="F58">
        <v>137.80000000000001</v>
      </c>
      <c r="G58">
        <v>138.30000000000001</v>
      </c>
      <c r="H58">
        <v>139.31</v>
      </c>
      <c r="I58">
        <v>0.28000000000000003</v>
      </c>
      <c r="J58">
        <v>0.48</v>
      </c>
      <c r="K58">
        <v>0.19</v>
      </c>
      <c r="L58">
        <f t="shared" si="30"/>
        <v>138.05305647840493</v>
      </c>
      <c r="M58">
        <f t="shared" si="31"/>
        <v>0.37666666666666671</v>
      </c>
      <c r="N58" s="6">
        <f t="shared" si="32"/>
        <v>51.999984606865858</v>
      </c>
      <c r="P58">
        <f t="shared" si="33"/>
        <v>0.34490000000000004</v>
      </c>
      <c r="Q58" t="str">
        <f t="shared" si="28"/>
        <v>Yes</v>
      </c>
      <c r="R58" t="str">
        <f t="shared" si="34"/>
        <v>Yes</v>
      </c>
    </row>
    <row r="59" spans="1:18" x14ac:dyDescent="0.3">
      <c r="A59" s="3">
        <v>2</v>
      </c>
      <c r="B59" s="18">
        <v>6</v>
      </c>
      <c r="C59">
        <v>58</v>
      </c>
      <c r="E59">
        <v>156.56</v>
      </c>
      <c r="F59">
        <v>157.85</v>
      </c>
      <c r="G59">
        <v>158.85</v>
      </c>
      <c r="H59">
        <v>159.56</v>
      </c>
      <c r="I59">
        <v>0.48</v>
      </c>
      <c r="J59">
        <v>0.39</v>
      </c>
      <c r="K59">
        <v>0.6</v>
      </c>
      <c r="L59">
        <f t="shared" si="30"/>
        <v>158.18083333333371</v>
      </c>
      <c r="M59">
        <f t="shared" si="31"/>
        <v>0.3666666666666667</v>
      </c>
      <c r="N59" s="6">
        <f t="shared" si="32"/>
        <v>57.999638888889031</v>
      </c>
      <c r="P59">
        <f t="shared" si="33"/>
        <v>0.74249999999999994</v>
      </c>
      <c r="Q59" t="str">
        <f t="shared" si="28"/>
        <v>Yes</v>
      </c>
      <c r="R59" t="str">
        <f t="shared" si="34"/>
        <v>Yes</v>
      </c>
    </row>
    <row r="60" spans="1:18" x14ac:dyDescent="0.3">
      <c r="A60" s="16">
        <v>3</v>
      </c>
      <c r="B60" s="15">
        <v>1</v>
      </c>
      <c r="C60">
        <v>51</v>
      </c>
      <c r="E60">
        <v>134.85</v>
      </c>
      <c r="F60">
        <v>136.81</v>
      </c>
      <c r="G60">
        <v>138.9</v>
      </c>
      <c r="H60">
        <v>140.80000000000001</v>
      </c>
      <c r="I60">
        <v>0.39</v>
      </c>
      <c r="J60">
        <v>0.31</v>
      </c>
      <c r="K60">
        <v>0.66</v>
      </c>
      <c r="L60">
        <f t="shared" si="30"/>
        <v>137.83759950248682</v>
      </c>
      <c r="M60">
        <f t="shared" si="31"/>
        <v>0.36999999999999994</v>
      </c>
      <c r="N60" s="6">
        <f t="shared" si="32"/>
        <v>50.999911815920115</v>
      </c>
      <c r="P60">
        <f t="shared" si="33"/>
        <v>0.68380000000000007</v>
      </c>
      <c r="Q60" t="str">
        <f t="shared" si="28"/>
        <v>Yes</v>
      </c>
      <c r="R60" t="str">
        <f t="shared" si="34"/>
        <v>Yes</v>
      </c>
    </row>
    <row r="61" spans="1:18" x14ac:dyDescent="0.3">
      <c r="A61" s="16">
        <v>3</v>
      </c>
      <c r="B61" s="3">
        <v>2</v>
      </c>
      <c r="C61">
        <v>61</v>
      </c>
      <c r="E61">
        <v>153.6</v>
      </c>
      <c r="F61">
        <v>154.6</v>
      </c>
      <c r="G61">
        <v>155.6</v>
      </c>
      <c r="H61">
        <v>156.55000000000001</v>
      </c>
      <c r="I61">
        <v>0.25</v>
      </c>
      <c r="J61">
        <v>0.43</v>
      </c>
      <c r="K61">
        <v>0.21</v>
      </c>
      <c r="L61">
        <f t="shared" si="30"/>
        <v>155.08544303797581</v>
      </c>
      <c r="M61">
        <f t="shared" si="31"/>
        <v>0.39333333333333337</v>
      </c>
      <c r="N61" s="6">
        <f t="shared" si="32"/>
        <v>61.00027426160382</v>
      </c>
      <c r="P61">
        <f t="shared" si="33"/>
        <v>0.29149999999999998</v>
      </c>
      <c r="Q61" t="str">
        <f t="shared" si="28"/>
        <v>Yes</v>
      </c>
      <c r="R61" t="str">
        <f t="shared" si="34"/>
        <v>Yes</v>
      </c>
    </row>
    <row r="62" spans="1:18" x14ac:dyDescent="0.3">
      <c r="A62" s="16">
        <v>3</v>
      </c>
      <c r="B62" s="16">
        <v>3</v>
      </c>
      <c r="C62">
        <v>58</v>
      </c>
      <c r="E62">
        <v>156.56</v>
      </c>
      <c r="F62">
        <v>157.85</v>
      </c>
      <c r="G62">
        <v>158.85</v>
      </c>
      <c r="H62">
        <v>159.56</v>
      </c>
      <c r="I62">
        <v>0.43</v>
      </c>
      <c r="J62">
        <v>0.34</v>
      </c>
      <c r="K62">
        <v>0.65</v>
      </c>
      <c r="L62">
        <f>((G62^2)+(G62*H62)+(H62^2)-(E62^2)-(E62*F62)-(F62^2))/(3*(H62+G62-E62-F62))</f>
        <v>158.18083333333371</v>
      </c>
      <c r="M62">
        <f>(I62-(2*J62)-K62+2)/3</f>
        <v>0.36666666666666664</v>
      </c>
      <c r="N62" s="6">
        <f t="shared" si="32"/>
        <v>57.999638888889024</v>
      </c>
      <c r="P62">
        <f>I62^2+J62^2+K62^2</f>
        <v>0.72300000000000009</v>
      </c>
      <c r="Q62" t="str">
        <f t="shared" si="28"/>
        <v>Yes</v>
      </c>
      <c r="R62" t="str">
        <f t="shared" si="34"/>
        <v>Yes</v>
      </c>
    </row>
    <row r="63" spans="1:18" x14ac:dyDescent="0.3">
      <c r="A63" s="16">
        <v>3</v>
      </c>
      <c r="B63" s="17">
        <v>4</v>
      </c>
      <c r="C63">
        <v>53</v>
      </c>
      <c r="E63">
        <v>109.7</v>
      </c>
      <c r="F63">
        <v>110.65</v>
      </c>
      <c r="G63">
        <v>111.7</v>
      </c>
      <c r="H63">
        <v>112.7</v>
      </c>
      <c r="I63">
        <v>0.25</v>
      </c>
      <c r="J63">
        <v>0.25</v>
      </c>
      <c r="K63">
        <v>0.32</v>
      </c>
      <c r="L63">
        <f>((G63^2)+(G63*H63)+(H63^2)-(E63^2)-(E63*F63)-(F63^2))/(3*(H63+G63-E63-F63))</f>
        <v>111.18950617283984</v>
      </c>
      <c r="M63">
        <f>(I63-(2*J63)-K63+2)/3</f>
        <v>0.47666666666666663</v>
      </c>
      <c r="N63" s="6">
        <f t="shared" ref="N63" si="35">L63*M63</f>
        <v>53.00033127572032</v>
      </c>
      <c r="P63">
        <f t="shared" ref="P63:P65" si="36">I63^2+J63^2+K63^2</f>
        <v>0.22739999999999999</v>
      </c>
      <c r="Q63" t="str">
        <f t="shared" ref="Q63:Q65" si="37">IF(AND(P63&gt;=0,P63&lt;=1),"Yes","No")</f>
        <v>Yes</v>
      </c>
      <c r="R63" t="str">
        <f t="shared" ref="R63:R71" si="38">IF(ROUND(N63,2)=C63,"Yes","No")</f>
        <v>Yes</v>
      </c>
    </row>
    <row r="64" spans="1:18" x14ac:dyDescent="0.3">
      <c r="A64" s="16">
        <v>3</v>
      </c>
      <c r="B64" s="5">
        <v>5</v>
      </c>
      <c r="C64">
        <v>51</v>
      </c>
      <c r="E64">
        <v>134.85</v>
      </c>
      <c r="F64">
        <v>136.81</v>
      </c>
      <c r="G64">
        <v>138.9</v>
      </c>
      <c r="H64">
        <v>140.80000000000001</v>
      </c>
      <c r="I64">
        <v>0.36</v>
      </c>
      <c r="J64">
        <v>0.38</v>
      </c>
      <c r="K64">
        <v>0.49</v>
      </c>
      <c r="L64">
        <f t="shared" si="30"/>
        <v>137.83759950248682</v>
      </c>
      <c r="M64">
        <f t="shared" si="31"/>
        <v>0.36999999999999994</v>
      </c>
      <c r="N64" s="6">
        <f t="shared" si="32"/>
        <v>50.999911815920115</v>
      </c>
      <c r="P64">
        <f t="shared" si="36"/>
        <v>0.5141</v>
      </c>
      <c r="Q64" t="str">
        <f t="shared" si="37"/>
        <v>Yes</v>
      </c>
      <c r="R64" t="str">
        <f t="shared" si="38"/>
        <v>Yes</v>
      </c>
    </row>
    <row r="65" spans="1:18" x14ac:dyDescent="0.3">
      <c r="A65" s="16">
        <v>3</v>
      </c>
      <c r="B65" s="18">
        <v>6</v>
      </c>
      <c r="C65">
        <v>63</v>
      </c>
      <c r="E65">
        <v>109.02</v>
      </c>
      <c r="F65">
        <v>110.03</v>
      </c>
      <c r="G65">
        <v>111.03</v>
      </c>
      <c r="H65">
        <v>112.03</v>
      </c>
      <c r="I65">
        <v>0.45</v>
      </c>
      <c r="J65">
        <v>0.21</v>
      </c>
      <c r="K65">
        <v>0.32</v>
      </c>
      <c r="L65">
        <f t="shared" si="30"/>
        <v>110.52708229426474</v>
      </c>
      <c r="M65">
        <f t="shared" si="31"/>
        <v>0.56999999999999995</v>
      </c>
      <c r="N65" s="6">
        <f t="shared" si="32"/>
        <v>63.000436907730901</v>
      </c>
      <c r="P65">
        <f t="shared" si="36"/>
        <v>0.34900000000000003</v>
      </c>
      <c r="Q65" t="str">
        <f t="shared" si="37"/>
        <v>Yes</v>
      </c>
      <c r="R65" t="str">
        <f t="shared" si="38"/>
        <v>Yes</v>
      </c>
    </row>
    <row r="66" spans="1:18" x14ac:dyDescent="0.3">
      <c r="A66" s="17">
        <v>4</v>
      </c>
      <c r="B66" s="15">
        <v>1</v>
      </c>
      <c r="C66">
        <v>64</v>
      </c>
      <c r="E66">
        <v>112.12</v>
      </c>
      <c r="F66">
        <v>113.12</v>
      </c>
      <c r="G66">
        <v>114.1</v>
      </c>
      <c r="H66">
        <v>115.1</v>
      </c>
      <c r="I66">
        <v>0.46</v>
      </c>
      <c r="J66">
        <v>0.11</v>
      </c>
      <c r="K66">
        <v>0.55000000000000004</v>
      </c>
      <c r="L66">
        <f t="shared" si="30"/>
        <v>113.60999999999993</v>
      </c>
      <c r="M66">
        <f t="shared" si="31"/>
        <v>0.56333333333333335</v>
      </c>
      <c r="N66" s="6">
        <f t="shared" si="32"/>
        <v>64.000299999999967</v>
      </c>
      <c r="P66">
        <f t="shared" si="33"/>
        <v>0.5262</v>
      </c>
      <c r="Q66" t="str">
        <f t="shared" si="28"/>
        <v>Yes</v>
      </c>
      <c r="R66" t="str">
        <f t="shared" si="38"/>
        <v>Yes</v>
      </c>
    </row>
    <row r="67" spans="1:18" x14ac:dyDescent="0.3">
      <c r="A67" s="17">
        <v>4</v>
      </c>
      <c r="B67" s="3">
        <v>2</v>
      </c>
      <c r="C67">
        <v>55</v>
      </c>
      <c r="E67">
        <v>126.21</v>
      </c>
      <c r="F67">
        <v>127.25</v>
      </c>
      <c r="G67">
        <v>128.69999999999999</v>
      </c>
      <c r="H67">
        <v>129.5</v>
      </c>
      <c r="I67">
        <v>0.3</v>
      </c>
      <c r="J67">
        <v>0.45</v>
      </c>
      <c r="K67">
        <v>0.11</v>
      </c>
      <c r="L67">
        <f t="shared" si="30"/>
        <v>127.90723628691953</v>
      </c>
      <c r="M67">
        <f t="shared" si="31"/>
        <v>0.43</v>
      </c>
      <c r="N67" s="6">
        <f t="shared" si="32"/>
        <v>55.000111603375395</v>
      </c>
      <c r="P67">
        <f t="shared" si="33"/>
        <v>0.30459999999999998</v>
      </c>
      <c r="Q67" t="str">
        <f t="shared" si="28"/>
        <v>Yes</v>
      </c>
      <c r="R67" t="str">
        <f t="shared" si="38"/>
        <v>Yes</v>
      </c>
    </row>
    <row r="68" spans="1:18" x14ac:dyDescent="0.3">
      <c r="A68" s="17">
        <v>4</v>
      </c>
      <c r="B68" s="16">
        <v>3</v>
      </c>
      <c r="C68">
        <v>62</v>
      </c>
      <c r="E68">
        <v>118.6</v>
      </c>
      <c r="F68">
        <v>119.5</v>
      </c>
      <c r="G68">
        <v>120.5</v>
      </c>
      <c r="H68">
        <v>121.4</v>
      </c>
      <c r="I68">
        <v>0.45</v>
      </c>
      <c r="J68">
        <v>0.21</v>
      </c>
      <c r="K68">
        <v>0.48</v>
      </c>
      <c r="L68">
        <f t="shared" ref="L68:L71" si="39">((G68^2)+(G68*H68)+(H68^2)-(E68^2)-(E68*F68)-(F68^2))/(3*(H68+G68-E68-F68))</f>
        <v>120.00000000000011</v>
      </c>
      <c r="M68">
        <f t="shared" ref="M68:M71" si="40">(I68-(2*J68)-K68+2)/3</f>
        <v>0.51666666666666672</v>
      </c>
      <c r="N68" s="6">
        <f t="shared" ref="N68:N71" si="41">L68*M68</f>
        <v>62.000000000000064</v>
      </c>
      <c r="P68">
        <f t="shared" si="33"/>
        <v>0.47699999999999998</v>
      </c>
      <c r="Q68" t="str">
        <f t="shared" si="28"/>
        <v>Yes</v>
      </c>
      <c r="R68" t="str">
        <f t="shared" si="38"/>
        <v>Yes</v>
      </c>
    </row>
    <row r="69" spans="1:18" x14ac:dyDescent="0.3">
      <c r="A69" s="17">
        <v>4</v>
      </c>
      <c r="B69" s="17">
        <v>4</v>
      </c>
      <c r="C69">
        <v>76</v>
      </c>
      <c r="E69">
        <v>145.72</v>
      </c>
      <c r="F69">
        <v>146.80000000000001</v>
      </c>
      <c r="G69">
        <v>147.69999999999999</v>
      </c>
      <c r="H69">
        <v>148.25</v>
      </c>
      <c r="I69">
        <v>0.54</v>
      </c>
      <c r="J69">
        <v>0.28999999999999998</v>
      </c>
      <c r="K69">
        <v>0.41</v>
      </c>
      <c r="L69">
        <f t="shared" si="39"/>
        <v>147.09651117589956</v>
      </c>
      <c r="M69">
        <f t="shared" si="40"/>
        <v>0.51666666666666672</v>
      </c>
      <c r="N69" s="6">
        <f t="shared" si="41"/>
        <v>75.99986410754812</v>
      </c>
      <c r="P69">
        <f t="shared" si="33"/>
        <v>0.54380000000000006</v>
      </c>
      <c r="Q69" t="str">
        <f t="shared" si="28"/>
        <v>Yes</v>
      </c>
      <c r="R69" t="str">
        <f t="shared" si="38"/>
        <v>Yes</v>
      </c>
    </row>
    <row r="70" spans="1:18" x14ac:dyDescent="0.3">
      <c r="A70" s="17">
        <v>4</v>
      </c>
      <c r="B70" s="5">
        <v>5</v>
      </c>
      <c r="C70">
        <v>60</v>
      </c>
      <c r="E70">
        <v>151.05000000000001</v>
      </c>
      <c r="F70">
        <v>152.05000000000001</v>
      </c>
      <c r="G70">
        <v>153.04</v>
      </c>
      <c r="H70">
        <v>154.03</v>
      </c>
      <c r="I70">
        <v>0.24</v>
      </c>
      <c r="J70">
        <v>0.42</v>
      </c>
      <c r="K70">
        <v>0.22</v>
      </c>
      <c r="L70">
        <f t="shared" si="39"/>
        <v>152.54208228379477</v>
      </c>
      <c r="M70">
        <f t="shared" si="40"/>
        <v>0.39333333333333337</v>
      </c>
      <c r="N70" s="6">
        <f t="shared" si="41"/>
        <v>59.999885698292616</v>
      </c>
      <c r="P70">
        <f t="shared" si="33"/>
        <v>0.28239999999999998</v>
      </c>
      <c r="Q70" t="str">
        <f t="shared" si="28"/>
        <v>Yes</v>
      </c>
      <c r="R70" t="str">
        <f t="shared" si="38"/>
        <v>Yes</v>
      </c>
    </row>
    <row r="71" spans="1:18" x14ac:dyDescent="0.3">
      <c r="A71" s="17">
        <v>4</v>
      </c>
      <c r="B71" s="18">
        <v>6</v>
      </c>
      <c r="C71">
        <v>69</v>
      </c>
      <c r="E71">
        <v>149.69999999999999</v>
      </c>
      <c r="F71">
        <v>150.56</v>
      </c>
      <c r="G71">
        <v>151.55000000000001</v>
      </c>
      <c r="H71">
        <v>152.55000000000001</v>
      </c>
      <c r="I71">
        <v>0.38</v>
      </c>
      <c r="J71">
        <v>0.42</v>
      </c>
      <c r="K71">
        <v>0.17</v>
      </c>
      <c r="L71">
        <f t="shared" si="39"/>
        <v>151.09565104166686</v>
      </c>
      <c r="M71">
        <f t="shared" si="40"/>
        <v>0.45666666666666672</v>
      </c>
      <c r="N71" s="6">
        <f t="shared" si="41"/>
        <v>69.000347309027873</v>
      </c>
      <c r="P71">
        <f t="shared" si="33"/>
        <v>0.34969999999999996</v>
      </c>
      <c r="Q71" t="str">
        <f t="shared" si="28"/>
        <v>Yes</v>
      </c>
      <c r="R71" t="str">
        <f t="shared" si="38"/>
        <v>Yes</v>
      </c>
    </row>
    <row r="75" spans="1:18" x14ac:dyDescent="0.3">
      <c r="A75" t="s">
        <v>129</v>
      </c>
    </row>
    <row r="76" spans="1:18" x14ac:dyDescent="0.3">
      <c r="A76" s="10" t="s">
        <v>121</v>
      </c>
    </row>
    <row r="77" spans="1:18" x14ac:dyDescent="0.3">
      <c r="A77" s="11" t="s">
        <v>122</v>
      </c>
    </row>
    <row r="78" spans="1:18" x14ac:dyDescent="0.3">
      <c r="A78" s="11" t="s">
        <v>123</v>
      </c>
    </row>
    <row r="80" spans="1:18" x14ac:dyDescent="0.3">
      <c r="A80" s="11" t="s">
        <v>28</v>
      </c>
      <c r="B80" t="s">
        <v>10</v>
      </c>
      <c r="C80" t="s">
        <v>130</v>
      </c>
      <c r="E80" s="2" t="s">
        <v>4</v>
      </c>
      <c r="F80" s="2" t="s">
        <v>5</v>
      </c>
      <c r="G80" s="2" t="s">
        <v>6</v>
      </c>
      <c r="H80" s="2" t="s">
        <v>7</v>
      </c>
      <c r="I80" s="3" t="s">
        <v>8</v>
      </c>
      <c r="J80" s="3" t="s">
        <v>9</v>
      </c>
      <c r="K80" s="3" t="s">
        <v>10</v>
      </c>
      <c r="L80" s="4" t="s">
        <v>13</v>
      </c>
      <c r="M80" s="4" t="s">
        <v>12</v>
      </c>
      <c r="N80" s="5" t="s">
        <v>11</v>
      </c>
      <c r="P80" t="s">
        <v>14</v>
      </c>
      <c r="Q80" t="s">
        <v>30</v>
      </c>
      <c r="R80" t="s">
        <v>31</v>
      </c>
    </row>
    <row r="81" spans="1:18" x14ac:dyDescent="0.3">
      <c r="A81" s="15">
        <v>1</v>
      </c>
      <c r="B81" s="15">
        <v>1</v>
      </c>
      <c r="C81">
        <v>70</v>
      </c>
      <c r="E81">
        <v>150.80000000000001</v>
      </c>
      <c r="F81">
        <v>151.69999999999999</v>
      </c>
      <c r="G81">
        <v>152.69999999999999</v>
      </c>
      <c r="H81">
        <v>153.51</v>
      </c>
      <c r="I81">
        <v>0.56000000000000005</v>
      </c>
      <c r="J81">
        <v>0.31</v>
      </c>
      <c r="K81">
        <v>0.56000000000000005</v>
      </c>
      <c r="L81">
        <f>((G81^2)+(G81*H81)+(H81^2)-(E81^2)-(E81*F81)-(F81^2))/(3*(H81+G81-E81-F81))</f>
        <v>152.17404312668492</v>
      </c>
      <c r="M81">
        <f>(I81-(2*J81)-K81+2)/3</f>
        <v>0.45999999999999996</v>
      </c>
      <c r="N81" s="6">
        <f>L81*M81</f>
        <v>70.000059838275064</v>
      </c>
      <c r="P81">
        <f>I81^2+J81^2+K81^2</f>
        <v>0.72330000000000005</v>
      </c>
      <c r="Q81" t="str">
        <f>IF(AND(P81&gt;=0,P81&lt;=1),"Yes","No")</f>
        <v>Yes</v>
      </c>
      <c r="R81" t="str">
        <f>IF(ROUND(N81,2)=C81,"Yes","No")</f>
        <v>Yes</v>
      </c>
    </row>
    <row r="82" spans="1:18" x14ac:dyDescent="0.3">
      <c r="A82" s="15">
        <v>1</v>
      </c>
      <c r="B82" s="3">
        <v>2</v>
      </c>
      <c r="C82">
        <v>0</v>
      </c>
      <c r="E82">
        <v>100</v>
      </c>
      <c r="F82">
        <v>101</v>
      </c>
      <c r="G82">
        <v>102</v>
      </c>
      <c r="H82">
        <v>103</v>
      </c>
      <c r="I82">
        <v>0</v>
      </c>
      <c r="J82">
        <v>1</v>
      </c>
      <c r="K82">
        <v>0</v>
      </c>
      <c r="L82">
        <f t="shared" ref="L82:L98" si="42">((G82^2)+(G82*H82)+(H82^2)-(E82^2)-(E82*F82)-(F82^2))/(3*(H82+G82-E82-F82))</f>
        <v>101.5</v>
      </c>
      <c r="M82">
        <f t="shared" ref="M82:M98" si="43">(I82-(2*J82)-K82+2)/3</f>
        <v>0</v>
      </c>
      <c r="N82" s="6">
        <f t="shared" ref="N82:N98" si="44">L82*M82</f>
        <v>0</v>
      </c>
      <c r="P82">
        <f t="shared" ref="P82:P98" si="45">I82^2+J82^2+K82^2</f>
        <v>1</v>
      </c>
      <c r="Q82" t="str">
        <f t="shared" ref="Q82:Q98" si="46">IF(AND(P82&gt;=0,P82&lt;=1),"Yes","No")</f>
        <v>Yes</v>
      </c>
      <c r="R82" t="str">
        <f t="shared" ref="R82:R98" si="47">IF(ROUND(N82,2)=C82,"Yes","No")</f>
        <v>Yes</v>
      </c>
    </row>
    <row r="83" spans="1:18" x14ac:dyDescent="0.3">
      <c r="A83" s="15">
        <v>1</v>
      </c>
      <c r="B83" s="16">
        <v>3</v>
      </c>
      <c r="C83">
        <v>69</v>
      </c>
      <c r="E83">
        <v>149.69999999999999</v>
      </c>
      <c r="F83">
        <v>150.56</v>
      </c>
      <c r="G83">
        <v>151.55000000000001</v>
      </c>
      <c r="H83">
        <v>152.55000000000001</v>
      </c>
      <c r="I83">
        <v>0.38</v>
      </c>
      <c r="J83">
        <v>0.42</v>
      </c>
      <c r="K83">
        <v>0.17</v>
      </c>
      <c r="L83">
        <f t="shared" si="42"/>
        <v>151.09565104166686</v>
      </c>
      <c r="M83">
        <f t="shared" si="43"/>
        <v>0.45666666666666672</v>
      </c>
      <c r="N83" s="6">
        <f t="shared" si="44"/>
        <v>69.000347309027873</v>
      </c>
      <c r="P83">
        <f t="shared" si="45"/>
        <v>0.34969999999999996</v>
      </c>
      <c r="Q83" t="str">
        <f t="shared" si="46"/>
        <v>Yes</v>
      </c>
      <c r="R83" t="str">
        <f t="shared" si="47"/>
        <v>Yes</v>
      </c>
    </row>
    <row r="84" spans="1:18" x14ac:dyDescent="0.3">
      <c r="A84" s="15">
        <v>1</v>
      </c>
      <c r="B84" s="17">
        <v>4</v>
      </c>
      <c r="C84">
        <v>72</v>
      </c>
      <c r="E84">
        <v>125.3</v>
      </c>
      <c r="F84">
        <v>135.30000000000001</v>
      </c>
      <c r="G84">
        <v>145.22</v>
      </c>
      <c r="H84">
        <v>155.22</v>
      </c>
      <c r="I84">
        <v>0.52</v>
      </c>
      <c r="J84">
        <v>0.38</v>
      </c>
      <c r="K84">
        <v>0.22</v>
      </c>
      <c r="L84">
        <f t="shared" si="42"/>
        <v>140.2600000000001</v>
      </c>
      <c r="M84">
        <f t="shared" si="43"/>
        <v>0.51333333333333331</v>
      </c>
      <c r="N84" s="6">
        <f t="shared" si="44"/>
        <v>72.00013333333338</v>
      </c>
      <c r="P84">
        <f t="shared" si="45"/>
        <v>0.46320000000000006</v>
      </c>
      <c r="Q84" t="str">
        <f t="shared" si="46"/>
        <v>Yes</v>
      </c>
      <c r="R84" t="str">
        <f t="shared" si="47"/>
        <v>Yes</v>
      </c>
    </row>
    <row r="85" spans="1:18" x14ac:dyDescent="0.3">
      <c r="A85" s="15">
        <v>1</v>
      </c>
      <c r="B85" s="5">
        <v>5</v>
      </c>
      <c r="C85">
        <v>0</v>
      </c>
      <c r="E85">
        <v>100</v>
      </c>
      <c r="F85">
        <v>101</v>
      </c>
      <c r="G85">
        <v>102</v>
      </c>
      <c r="H85">
        <v>103</v>
      </c>
      <c r="I85">
        <v>0</v>
      </c>
      <c r="J85">
        <v>1</v>
      </c>
      <c r="K85">
        <v>0</v>
      </c>
      <c r="L85">
        <f t="shared" si="42"/>
        <v>101.5</v>
      </c>
      <c r="M85">
        <f t="shared" si="43"/>
        <v>0</v>
      </c>
      <c r="N85" s="6">
        <f t="shared" si="44"/>
        <v>0</v>
      </c>
      <c r="P85">
        <f t="shared" si="45"/>
        <v>1</v>
      </c>
      <c r="Q85" t="str">
        <f t="shared" si="46"/>
        <v>Yes</v>
      </c>
      <c r="R85" t="str">
        <f t="shared" si="47"/>
        <v>Yes</v>
      </c>
    </row>
    <row r="86" spans="1:18" x14ac:dyDescent="0.3">
      <c r="A86" s="15">
        <v>1</v>
      </c>
      <c r="B86" s="18">
        <v>6</v>
      </c>
      <c r="C86">
        <v>0</v>
      </c>
      <c r="E86">
        <v>100</v>
      </c>
      <c r="F86">
        <v>101</v>
      </c>
      <c r="G86">
        <v>102</v>
      </c>
      <c r="H86">
        <v>103</v>
      </c>
      <c r="I86">
        <v>0</v>
      </c>
      <c r="J86">
        <v>1</v>
      </c>
      <c r="K86">
        <v>0</v>
      </c>
      <c r="L86">
        <f t="shared" si="42"/>
        <v>101.5</v>
      </c>
      <c r="M86">
        <f t="shared" si="43"/>
        <v>0</v>
      </c>
      <c r="N86" s="6">
        <f t="shared" si="44"/>
        <v>0</v>
      </c>
      <c r="P86">
        <f t="shared" si="45"/>
        <v>1</v>
      </c>
      <c r="Q86" t="str">
        <f t="shared" si="46"/>
        <v>Yes</v>
      </c>
      <c r="R86" t="str">
        <f t="shared" si="47"/>
        <v>Yes</v>
      </c>
    </row>
    <row r="87" spans="1:18" x14ac:dyDescent="0.3">
      <c r="A87" s="3">
        <v>2</v>
      </c>
      <c r="B87" s="15">
        <v>1</v>
      </c>
      <c r="C87">
        <v>73</v>
      </c>
      <c r="E87">
        <v>125.65</v>
      </c>
      <c r="F87">
        <v>135.30000000000001</v>
      </c>
      <c r="G87">
        <v>145.30000000000001</v>
      </c>
      <c r="H87">
        <v>155.24</v>
      </c>
      <c r="I87">
        <v>0.53</v>
      </c>
      <c r="J87">
        <v>0.37</v>
      </c>
      <c r="K87">
        <v>0.23</v>
      </c>
      <c r="L87">
        <f t="shared" si="42"/>
        <v>140.38445819651423</v>
      </c>
      <c r="M87">
        <f t="shared" si="43"/>
        <v>0.52</v>
      </c>
      <c r="N87" s="6">
        <f t="shared" si="44"/>
        <v>72.999918262187407</v>
      </c>
      <c r="P87">
        <f t="shared" si="45"/>
        <v>0.47070000000000006</v>
      </c>
      <c r="Q87" t="str">
        <f t="shared" si="46"/>
        <v>Yes</v>
      </c>
      <c r="R87" t="str">
        <f t="shared" si="47"/>
        <v>Yes</v>
      </c>
    </row>
    <row r="88" spans="1:18" x14ac:dyDescent="0.3">
      <c r="A88" s="3">
        <v>2</v>
      </c>
      <c r="B88" s="3">
        <v>2</v>
      </c>
      <c r="C88">
        <v>0</v>
      </c>
      <c r="E88">
        <v>100</v>
      </c>
      <c r="F88">
        <v>101</v>
      </c>
      <c r="G88">
        <v>102</v>
      </c>
      <c r="H88">
        <v>103</v>
      </c>
      <c r="I88">
        <v>0</v>
      </c>
      <c r="J88">
        <v>1</v>
      </c>
      <c r="K88">
        <v>0</v>
      </c>
      <c r="L88">
        <f t="shared" si="42"/>
        <v>101.5</v>
      </c>
      <c r="M88">
        <f t="shared" si="43"/>
        <v>0</v>
      </c>
      <c r="N88" s="6">
        <f t="shared" si="44"/>
        <v>0</v>
      </c>
      <c r="P88">
        <f t="shared" si="45"/>
        <v>1</v>
      </c>
      <c r="Q88" t="str">
        <f t="shared" si="46"/>
        <v>Yes</v>
      </c>
      <c r="R88" t="str">
        <f t="shared" si="47"/>
        <v>Yes</v>
      </c>
    </row>
    <row r="89" spans="1:18" x14ac:dyDescent="0.3">
      <c r="A89" s="3">
        <v>2</v>
      </c>
      <c r="B89" s="16">
        <v>3</v>
      </c>
      <c r="C89">
        <v>64</v>
      </c>
      <c r="E89">
        <v>112.12</v>
      </c>
      <c r="F89">
        <v>113.12</v>
      </c>
      <c r="G89">
        <v>114.1</v>
      </c>
      <c r="H89">
        <v>115.1</v>
      </c>
      <c r="I89">
        <v>0.46</v>
      </c>
      <c r="J89">
        <v>0.11</v>
      </c>
      <c r="K89">
        <v>0.55000000000000004</v>
      </c>
      <c r="L89">
        <f t="shared" si="42"/>
        <v>113.60999999999993</v>
      </c>
      <c r="M89">
        <f t="shared" si="43"/>
        <v>0.56333333333333335</v>
      </c>
      <c r="N89" s="6">
        <f t="shared" si="44"/>
        <v>64.000299999999967</v>
      </c>
      <c r="P89">
        <f t="shared" si="45"/>
        <v>0.5262</v>
      </c>
      <c r="Q89" t="str">
        <f t="shared" si="46"/>
        <v>Yes</v>
      </c>
      <c r="R89" t="str">
        <f t="shared" si="47"/>
        <v>Yes</v>
      </c>
    </row>
    <row r="90" spans="1:18" x14ac:dyDescent="0.3">
      <c r="A90" s="3">
        <v>2</v>
      </c>
      <c r="B90" s="17">
        <v>4</v>
      </c>
      <c r="C90">
        <v>76</v>
      </c>
      <c r="E90">
        <v>145.69</v>
      </c>
      <c r="F90">
        <v>146.52000000000001</v>
      </c>
      <c r="G90">
        <v>147.65</v>
      </c>
      <c r="H90">
        <v>148.52000000000001</v>
      </c>
      <c r="I90">
        <v>0.59</v>
      </c>
      <c r="J90">
        <v>0.38</v>
      </c>
      <c r="K90">
        <v>0.28000000000000003</v>
      </c>
      <c r="L90">
        <f t="shared" si="42"/>
        <v>147.09643097643195</v>
      </c>
      <c r="M90">
        <f t="shared" si="43"/>
        <v>0.51666666666666661</v>
      </c>
      <c r="N90" s="6">
        <f t="shared" si="44"/>
        <v>75.999822671156494</v>
      </c>
      <c r="P90">
        <f t="shared" si="45"/>
        <v>0.57089999999999996</v>
      </c>
      <c r="Q90" t="str">
        <f t="shared" si="46"/>
        <v>Yes</v>
      </c>
      <c r="R90" t="str">
        <f t="shared" si="47"/>
        <v>Yes</v>
      </c>
    </row>
    <row r="91" spans="1:18" x14ac:dyDescent="0.3">
      <c r="A91" s="3">
        <v>2</v>
      </c>
      <c r="B91" s="5">
        <v>5</v>
      </c>
      <c r="C91">
        <v>0</v>
      </c>
      <c r="E91">
        <v>100</v>
      </c>
      <c r="F91">
        <v>101</v>
      </c>
      <c r="G91">
        <v>102</v>
      </c>
      <c r="H91">
        <v>103</v>
      </c>
      <c r="I91">
        <v>0</v>
      </c>
      <c r="J91">
        <v>1</v>
      </c>
      <c r="K91">
        <v>0</v>
      </c>
      <c r="L91">
        <f t="shared" si="42"/>
        <v>101.5</v>
      </c>
      <c r="M91">
        <f t="shared" si="43"/>
        <v>0</v>
      </c>
      <c r="N91" s="6">
        <f t="shared" si="44"/>
        <v>0</v>
      </c>
      <c r="P91">
        <f t="shared" si="45"/>
        <v>1</v>
      </c>
      <c r="Q91" t="str">
        <f t="shared" si="46"/>
        <v>Yes</v>
      </c>
      <c r="R91" t="str">
        <f t="shared" si="47"/>
        <v>Yes</v>
      </c>
    </row>
    <row r="92" spans="1:18" x14ac:dyDescent="0.3">
      <c r="A92" s="3">
        <v>2</v>
      </c>
      <c r="B92" s="18">
        <v>6</v>
      </c>
      <c r="C92">
        <v>0</v>
      </c>
      <c r="E92">
        <v>100</v>
      </c>
      <c r="F92">
        <v>101</v>
      </c>
      <c r="G92">
        <v>102</v>
      </c>
      <c r="H92">
        <v>103</v>
      </c>
      <c r="I92">
        <v>0</v>
      </c>
      <c r="J92">
        <v>1</v>
      </c>
      <c r="K92">
        <v>0</v>
      </c>
      <c r="L92">
        <f t="shared" si="42"/>
        <v>101.5</v>
      </c>
      <c r="M92">
        <f t="shared" si="43"/>
        <v>0</v>
      </c>
      <c r="N92" s="6">
        <f t="shared" si="44"/>
        <v>0</v>
      </c>
      <c r="P92">
        <f t="shared" si="45"/>
        <v>1</v>
      </c>
      <c r="Q92" t="str">
        <f t="shared" si="46"/>
        <v>Yes</v>
      </c>
      <c r="R92" t="str">
        <f t="shared" si="47"/>
        <v>Yes</v>
      </c>
    </row>
    <row r="93" spans="1:18" x14ac:dyDescent="0.3">
      <c r="A93" s="16">
        <v>3</v>
      </c>
      <c r="B93" s="15">
        <v>1</v>
      </c>
      <c r="C93">
        <v>88</v>
      </c>
      <c r="E93">
        <v>128.6</v>
      </c>
      <c r="F93">
        <v>129.52000000000001</v>
      </c>
      <c r="G93">
        <v>130.51</v>
      </c>
      <c r="H93">
        <v>131.55000000000001</v>
      </c>
      <c r="I93">
        <v>0.83</v>
      </c>
      <c r="J93">
        <v>0.24</v>
      </c>
      <c r="K93">
        <v>0.32</v>
      </c>
      <c r="L93">
        <f t="shared" si="42"/>
        <v>130.04997461928934</v>
      </c>
      <c r="M93">
        <f t="shared" si="43"/>
        <v>0.67666666666666664</v>
      </c>
      <c r="N93" s="6">
        <f t="shared" si="44"/>
        <v>88.000482825719118</v>
      </c>
      <c r="P93">
        <f t="shared" si="45"/>
        <v>0.84889999999999999</v>
      </c>
      <c r="Q93" t="str">
        <f t="shared" si="46"/>
        <v>Yes</v>
      </c>
      <c r="R93" t="str">
        <f t="shared" si="47"/>
        <v>Yes</v>
      </c>
    </row>
    <row r="94" spans="1:18" x14ac:dyDescent="0.3">
      <c r="A94" s="16">
        <v>3</v>
      </c>
      <c r="B94" s="3">
        <v>2</v>
      </c>
      <c r="C94">
        <v>0</v>
      </c>
      <c r="E94">
        <v>100</v>
      </c>
      <c r="F94">
        <v>101</v>
      </c>
      <c r="G94">
        <v>102</v>
      </c>
      <c r="H94">
        <v>103</v>
      </c>
      <c r="I94">
        <v>0</v>
      </c>
      <c r="J94">
        <v>1</v>
      </c>
      <c r="K94">
        <v>0</v>
      </c>
      <c r="L94">
        <f t="shared" si="42"/>
        <v>101.5</v>
      </c>
      <c r="M94">
        <f t="shared" si="43"/>
        <v>0</v>
      </c>
      <c r="N94" s="6">
        <f t="shared" si="44"/>
        <v>0</v>
      </c>
      <c r="P94">
        <f t="shared" si="45"/>
        <v>1</v>
      </c>
      <c r="Q94" t="str">
        <f t="shared" si="46"/>
        <v>Yes</v>
      </c>
      <c r="R94" t="str">
        <f t="shared" si="47"/>
        <v>Yes</v>
      </c>
    </row>
    <row r="95" spans="1:18" x14ac:dyDescent="0.3">
      <c r="A95" s="16">
        <v>3</v>
      </c>
      <c r="B95" s="16">
        <v>3</v>
      </c>
      <c r="C95">
        <v>83</v>
      </c>
      <c r="E95">
        <v>156.1</v>
      </c>
      <c r="F95">
        <v>157.1</v>
      </c>
      <c r="G95">
        <v>158.1</v>
      </c>
      <c r="H95">
        <v>159.08000000000001</v>
      </c>
      <c r="I95">
        <v>0.47</v>
      </c>
      <c r="J95">
        <v>0.39</v>
      </c>
      <c r="K95">
        <v>0.11</v>
      </c>
      <c r="L95">
        <f t="shared" si="42"/>
        <v>157.59417085427063</v>
      </c>
      <c r="M95">
        <f t="shared" si="43"/>
        <v>0.52666666666666673</v>
      </c>
      <c r="N95" s="6">
        <f t="shared" si="44"/>
        <v>82.999596649915873</v>
      </c>
      <c r="P95">
        <f t="shared" si="45"/>
        <v>0.3851</v>
      </c>
      <c r="Q95" t="str">
        <f t="shared" si="46"/>
        <v>Yes</v>
      </c>
      <c r="R95" t="str">
        <f t="shared" si="47"/>
        <v>Yes</v>
      </c>
    </row>
    <row r="96" spans="1:18" x14ac:dyDescent="0.3">
      <c r="A96" s="16">
        <v>3</v>
      </c>
      <c r="B96" s="17">
        <v>4</v>
      </c>
      <c r="C96">
        <v>87</v>
      </c>
      <c r="E96">
        <v>145.82</v>
      </c>
      <c r="F96">
        <v>146.80000000000001</v>
      </c>
      <c r="G96">
        <v>148.11000000000001</v>
      </c>
      <c r="H96">
        <v>149.1</v>
      </c>
      <c r="I96">
        <v>0.54</v>
      </c>
      <c r="J96">
        <v>0.22</v>
      </c>
      <c r="K96">
        <v>0.33</v>
      </c>
      <c r="L96">
        <f t="shared" si="42"/>
        <v>147.45785766158235</v>
      </c>
      <c r="M96">
        <f t="shared" si="43"/>
        <v>0.59</v>
      </c>
      <c r="N96" s="6">
        <f t="shared" si="44"/>
        <v>87.000136020333585</v>
      </c>
      <c r="P96">
        <f t="shared" si="45"/>
        <v>0.44890000000000002</v>
      </c>
      <c r="Q96" t="str">
        <f t="shared" si="46"/>
        <v>Yes</v>
      </c>
      <c r="R96" t="str">
        <f t="shared" si="47"/>
        <v>Yes</v>
      </c>
    </row>
    <row r="97" spans="1:18" x14ac:dyDescent="0.3">
      <c r="A97" s="16">
        <v>3</v>
      </c>
      <c r="B97" s="5">
        <v>5</v>
      </c>
      <c r="C97">
        <v>0</v>
      </c>
      <c r="E97">
        <v>100</v>
      </c>
      <c r="F97">
        <v>101</v>
      </c>
      <c r="G97">
        <v>102</v>
      </c>
      <c r="H97">
        <v>103</v>
      </c>
      <c r="I97">
        <v>0</v>
      </c>
      <c r="J97">
        <v>1</v>
      </c>
      <c r="K97">
        <v>0</v>
      </c>
      <c r="L97">
        <f t="shared" si="42"/>
        <v>101.5</v>
      </c>
      <c r="M97">
        <f t="shared" si="43"/>
        <v>0</v>
      </c>
      <c r="N97" s="6">
        <f t="shared" si="44"/>
        <v>0</v>
      </c>
      <c r="P97">
        <f t="shared" si="45"/>
        <v>1</v>
      </c>
      <c r="Q97" t="str">
        <f t="shared" si="46"/>
        <v>Yes</v>
      </c>
      <c r="R97" t="str">
        <f t="shared" si="47"/>
        <v>Yes</v>
      </c>
    </row>
    <row r="98" spans="1:18" x14ac:dyDescent="0.3">
      <c r="A98" s="16">
        <v>3</v>
      </c>
      <c r="B98" s="18">
        <v>6</v>
      </c>
      <c r="C98">
        <v>0</v>
      </c>
      <c r="E98">
        <v>100</v>
      </c>
      <c r="F98">
        <v>101</v>
      </c>
      <c r="G98">
        <v>102</v>
      </c>
      <c r="H98">
        <v>103</v>
      </c>
      <c r="I98">
        <v>0</v>
      </c>
      <c r="J98">
        <v>1</v>
      </c>
      <c r="K98">
        <v>0</v>
      </c>
      <c r="L98">
        <f t="shared" si="42"/>
        <v>101.5</v>
      </c>
      <c r="M98">
        <f t="shared" si="43"/>
        <v>0</v>
      </c>
      <c r="N98" s="6">
        <f t="shared" si="44"/>
        <v>0</v>
      </c>
      <c r="P98">
        <f t="shared" si="45"/>
        <v>1</v>
      </c>
      <c r="Q98" t="str">
        <f t="shared" si="46"/>
        <v>Yes</v>
      </c>
      <c r="R98" t="str">
        <f t="shared" si="47"/>
        <v>Yes</v>
      </c>
    </row>
    <row r="102" spans="1:18" x14ac:dyDescent="0.3">
      <c r="A102" t="s">
        <v>137</v>
      </c>
    </row>
    <row r="103" spans="1:18" x14ac:dyDescent="0.3">
      <c r="A103" s="10" t="s">
        <v>131</v>
      </c>
    </row>
    <row r="104" spans="1:18" x14ac:dyDescent="0.3">
      <c r="A104" s="11" t="s">
        <v>132</v>
      </c>
    </row>
    <row r="105" spans="1:18" x14ac:dyDescent="0.3">
      <c r="A105" s="11" t="s">
        <v>133</v>
      </c>
    </row>
    <row r="107" spans="1:18" x14ac:dyDescent="0.3">
      <c r="A107" t="s">
        <v>55</v>
      </c>
      <c r="B107" t="s">
        <v>10</v>
      </c>
      <c r="C107" t="s">
        <v>138</v>
      </c>
      <c r="E107" s="2" t="s">
        <v>4</v>
      </c>
      <c r="F107" s="2" t="s">
        <v>5</v>
      </c>
      <c r="G107" s="2" t="s">
        <v>6</v>
      </c>
      <c r="H107" s="2" t="s">
        <v>7</v>
      </c>
      <c r="I107" s="3" t="s">
        <v>8</v>
      </c>
      <c r="J107" s="3" t="s">
        <v>9</v>
      </c>
      <c r="K107" s="3" t="s">
        <v>10</v>
      </c>
      <c r="L107" s="4" t="s">
        <v>13</v>
      </c>
      <c r="M107" s="4" t="s">
        <v>12</v>
      </c>
      <c r="N107" s="5" t="s">
        <v>11</v>
      </c>
      <c r="P107" t="s">
        <v>14</v>
      </c>
      <c r="Q107" t="s">
        <v>30</v>
      </c>
      <c r="R107" t="s">
        <v>31</v>
      </c>
    </row>
    <row r="108" spans="1:18" x14ac:dyDescent="0.3">
      <c r="A108" s="15">
        <v>1</v>
      </c>
      <c r="B108" s="15">
        <v>1</v>
      </c>
      <c r="C108">
        <v>80</v>
      </c>
      <c r="E108">
        <v>130.35</v>
      </c>
      <c r="F108">
        <v>132.35</v>
      </c>
      <c r="G108">
        <v>134.33000000000001</v>
      </c>
      <c r="H108">
        <v>136.31</v>
      </c>
      <c r="I108">
        <v>0.46</v>
      </c>
      <c r="J108">
        <v>0.16</v>
      </c>
      <c r="K108">
        <v>0.34</v>
      </c>
      <c r="L108">
        <f>((G108^2)+(G108*H108)+(H108^2)-(E108^2)-(E108*F108)-(F108^2))/(3*(H108+G108-E108-F108))</f>
        <v>133.33416456759085</v>
      </c>
      <c r="M108">
        <f>(I108-(2*J108)-K108+2)/3</f>
        <v>0.6</v>
      </c>
      <c r="N108" s="6">
        <f>L108*M108</f>
        <v>80.000498740554505</v>
      </c>
      <c r="P108">
        <f>I108^2+J108^2+K108^2</f>
        <v>0.35280000000000006</v>
      </c>
      <c r="Q108" t="str">
        <f>IF(AND(P108&gt;=0,P108&lt;=1),"Yes","No")</f>
        <v>Yes</v>
      </c>
      <c r="R108" t="str">
        <f>IF(ROUND(N108,2)=C108,"Yes","No")</f>
        <v>Yes</v>
      </c>
    </row>
    <row r="109" spans="1:18" x14ac:dyDescent="0.3">
      <c r="A109" s="15">
        <v>1</v>
      </c>
      <c r="B109" s="3">
        <v>2</v>
      </c>
      <c r="C109">
        <v>0</v>
      </c>
      <c r="E109">
        <v>100</v>
      </c>
      <c r="F109">
        <v>101</v>
      </c>
      <c r="G109">
        <v>102</v>
      </c>
      <c r="H109">
        <v>103</v>
      </c>
      <c r="I109">
        <v>0</v>
      </c>
      <c r="J109">
        <v>1</v>
      </c>
      <c r="K109">
        <v>0</v>
      </c>
      <c r="L109">
        <f t="shared" ref="L109:L125" si="48">((G109^2)+(G109*H109)+(H109^2)-(E109^2)-(E109*F109)-(F109^2))/(3*(H109+G109-E109-F109))</f>
        <v>101.5</v>
      </c>
      <c r="M109">
        <f t="shared" ref="M109:M125" si="49">(I109-(2*J109)-K109+2)/3</f>
        <v>0</v>
      </c>
      <c r="N109" s="6">
        <f t="shared" ref="N109:N125" si="50">L109*M109</f>
        <v>0</v>
      </c>
      <c r="P109">
        <f t="shared" ref="P109:P125" si="51">I109^2+J109^2+K109^2</f>
        <v>1</v>
      </c>
      <c r="Q109" t="str">
        <f t="shared" ref="Q109:Q125" si="52">IF(AND(P109&gt;=0,P109&lt;=1),"Yes","No")</f>
        <v>Yes</v>
      </c>
      <c r="R109" t="str">
        <f t="shared" ref="R109:R125" si="53">IF(ROUND(N109,2)=C109,"Yes","No")</f>
        <v>Yes</v>
      </c>
    </row>
    <row r="110" spans="1:18" x14ac:dyDescent="0.3">
      <c r="A110" s="15">
        <v>1</v>
      </c>
      <c r="B110" s="16">
        <v>3</v>
      </c>
      <c r="C110">
        <v>100</v>
      </c>
      <c r="E110">
        <v>156.5</v>
      </c>
      <c r="F110">
        <v>157.5</v>
      </c>
      <c r="G110">
        <v>158.30000000000001</v>
      </c>
      <c r="H110">
        <v>159.28</v>
      </c>
      <c r="I110">
        <v>0.67</v>
      </c>
      <c r="J110">
        <v>0.21</v>
      </c>
      <c r="K110">
        <v>0.35</v>
      </c>
      <c r="L110">
        <f t="shared" si="48"/>
        <v>157.89407821228838</v>
      </c>
      <c r="M110">
        <f t="shared" si="49"/>
        <v>0.63333333333333341</v>
      </c>
      <c r="N110" s="6">
        <f t="shared" si="50"/>
        <v>99.999582867782649</v>
      </c>
      <c r="P110">
        <f t="shared" si="51"/>
        <v>0.61550000000000005</v>
      </c>
      <c r="Q110" t="str">
        <f t="shared" si="52"/>
        <v>Yes</v>
      </c>
      <c r="R110" t="str">
        <f t="shared" si="53"/>
        <v>Yes</v>
      </c>
    </row>
    <row r="111" spans="1:18" x14ac:dyDescent="0.3">
      <c r="A111" s="15">
        <v>1</v>
      </c>
      <c r="B111" s="17">
        <v>4</v>
      </c>
      <c r="C111">
        <v>85</v>
      </c>
      <c r="E111">
        <v>121.72</v>
      </c>
      <c r="F111">
        <v>122.7</v>
      </c>
      <c r="G111">
        <v>123.78</v>
      </c>
      <c r="H111">
        <v>124.58</v>
      </c>
      <c r="I111">
        <v>0.77</v>
      </c>
      <c r="J111">
        <v>0.23</v>
      </c>
      <c r="K111">
        <v>0.24</v>
      </c>
      <c r="L111">
        <f t="shared" si="48"/>
        <v>123.18822335025379</v>
      </c>
      <c r="M111">
        <f t="shared" si="49"/>
        <v>0.69</v>
      </c>
      <c r="N111" s="6">
        <f t="shared" si="50"/>
        <v>84.999874111675112</v>
      </c>
      <c r="P111">
        <f t="shared" si="51"/>
        <v>0.70339999999999991</v>
      </c>
      <c r="Q111" t="str">
        <f t="shared" si="52"/>
        <v>Yes</v>
      </c>
      <c r="R111" t="str">
        <f t="shared" si="53"/>
        <v>Yes</v>
      </c>
    </row>
    <row r="112" spans="1:18" x14ac:dyDescent="0.3">
      <c r="A112" s="15">
        <v>1</v>
      </c>
      <c r="B112" s="5">
        <v>5</v>
      </c>
      <c r="C112">
        <v>0</v>
      </c>
      <c r="E112">
        <v>100</v>
      </c>
      <c r="F112">
        <v>101</v>
      </c>
      <c r="G112">
        <v>102</v>
      </c>
      <c r="H112">
        <v>103</v>
      </c>
      <c r="I112">
        <v>0</v>
      </c>
      <c r="J112">
        <v>1</v>
      </c>
      <c r="K112">
        <v>0</v>
      </c>
      <c r="L112">
        <f t="shared" si="48"/>
        <v>101.5</v>
      </c>
      <c r="M112">
        <f t="shared" si="49"/>
        <v>0</v>
      </c>
      <c r="N112" s="6">
        <f t="shared" si="50"/>
        <v>0</v>
      </c>
      <c r="P112">
        <f t="shared" si="51"/>
        <v>1</v>
      </c>
      <c r="Q112" t="str">
        <f t="shared" si="52"/>
        <v>Yes</v>
      </c>
      <c r="R112" t="str">
        <f t="shared" si="53"/>
        <v>Yes</v>
      </c>
    </row>
    <row r="113" spans="1:18" x14ac:dyDescent="0.3">
      <c r="A113" s="15">
        <v>1</v>
      </c>
      <c r="B113" s="18">
        <v>6</v>
      </c>
      <c r="C113">
        <v>0</v>
      </c>
      <c r="E113">
        <v>100</v>
      </c>
      <c r="F113">
        <v>101</v>
      </c>
      <c r="G113">
        <v>102</v>
      </c>
      <c r="H113">
        <v>103</v>
      </c>
      <c r="I113">
        <v>0</v>
      </c>
      <c r="J113">
        <v>1</v>
      </c>
      <c r="K113">
        <v>0</v>
      </c>
      <c r="L113">
        <f t="shared" si="48"/>
        <v>101.5</v>
      </c>
      <c r="M113">
        <f t="shared" si="49"/>
        <v>0</v>
      </c>
      <c r="N113" s="6">
        <f t="shared" si="50"/>
        <v>0</v>
      </c>
      <c r="P113">
        <f t="shared" si="51"/>
        <v>1</v>
      </c>
      <c r="Q113" t="str">
        <f t="shared" si="52"/>
        <v>Yes</v>
      </c>
      <c r="R113" t="str">
        <f t="shared" si="53"/>
        <v>Yes</v>
      </c>
    </row>
    <row r="114" spans="1:18" x14ac:dyDescent="0.3">
      <c r="A114" s="3">
        <v>2</v>
      </c>
      <c r="B114" s="15">
        <v>1</v>
      </c>
      <c r="C114">
        <v>100</v>
      </c>
      <c r="E114">
        <v>167.03</v>
      </c>
      <c r="F114">
        <v>168.09</v>
      </c>
      <c r="G114">
        <v>169.03</v>
      </c>
      <c r="H114">
        <v>170.02</v>
      </c>
      <c r="I114">
        <v>0.78</v>
      </c>
      <c r="J114">
        <v>0.39</v>
      </c>
      <c r="K114">
        <v>0.22</v>
      </c>
      <c r="L114">
        <f t="shared" si="48"/>
        <v>168.53945716709143</v>
      </c>
      <c r="M114">
        <f t="shared" si="49"/>
        <v>0.59333333333333338</v>
      </c>
      <c r="N114" s="6">
        <f t="shared" si="50"/>
        <v>100.00007791914092</v>
      </c>
      <c r="P114">
        <f t="shared" si="51"/>
        <v>0.80890000000000006</v>
      </c>
      <c r="Q114" t="str">
        <f t="shared" si="52"/>
        <v>Yes</v>
      </c>
      <c r="R114" t="str">
        <f t="shared" si="53"/>
        <v>Yes</v>
      </c>
    </row>
    <row r="115" spans="1:18" x14ac:dyDescent="0.3">
      <c r="A115" s="3">
        <v>2</v>
      </c>
      <c r="B115" s="3">
        <v>2</v>
      </c>
      <c r="C115">
        <v>0</v>
      </c>
      <c r="E115">
        <v>100</v>
      </c>
      <c r="F115">
        <v>101</v>
      </c>
      <c r="G115">
        <v>102</v>
      </c>
      <c r="H115">
        <v>103</v>
      </c>
      <c r="I115">
        <v>0</v>
      </c>
      <c r="J115">
        <v>1</v>
      </c>
      <c r="K115">
        <v>0</v>
      </c>
      <c r="L115">
        <f t="shared" si="48"/>
        <v>101.5</v>
      </c>
      <c r="M115">
        <f t="shared" si="49"/>
        <v>0</v>
      </c>
      <c r="N115" s="6">
        <f t="shared" si="50"/>
        <v>0</v>
      </c>
      <c r="P115">
        <f t="shared" si="51"/>
        <v>1</v>
      </c>
      <c r="Q115" t="str">
        <f t="shared" si="52"/>
        <v>Yes</v>
      </c>
      <c r="R115" t="str">
        <f t="shared" si="53"/>
        <v>Yes</v>
      </c>
    </row>
    <row r="116" spans="1:18" x14ac:dyDescent="0.3">
      <c r="A116" s="3">
        <v>2</v>
      </c>
      <c r="B116" s="16">
        <v>3</v>
      </c>
      <c r="C116">
        <v>90</v>
      </c>
      <c r="E116">
        <v>145.38</v>
      </c>
      <c r="F116">
        <v>146.22</v>
      </c>
      <c r="G116">
        <v>147.19999999999999</v>
      </c>
      <c r="H116">
        <v>148.13999999999999</v>
      </c>
      <c r="I116">
        <v>0.85</v>
      </c>
      <c r="J116">
        <v>0.36</v>
      </c>
      <c r="K116">
        <v>0.28999999999999998</v>
      </c>
      <c r="L116">
        <f t="shared" si="48"/>
        <v>146.73896613190763</v>
      </c>
      <c r="M116">
        <f t="shared" si="49"/>
        <v>0.6133333333333334</v>
      </c>
      <c r="N116" s="6">
        <f t="shared" si="50"/>
        <v>89.999899227570026</v>
      </c>
      <c r="P116">
        <f t="shared" si="51"/>
        <v>0.93619999999999981</v>
      </c>
      <c r="Q116" t="str">
        <f t="shared" si="52"/>
        <v>Yes</v>
      </c>
      <c r="R116" t="str">
        <f t="shared" si="53"/>
        <v>Yes</v>
      </c>
    </row>
    <row r="117" spans="1:18" x14ac:dyDescent="0.3">
      <c r="A117" s="3">
        <v>2</v>
      </c>
      <c r="B117" s="17">
        <v>4</v>
      </c>
      <c r="C117">
        <v>80</v>
      </c>
      <c r="E117">
        <v>112.28</v>
      </c>
      <c r="F117">
        <v>113.28</v>
      </c>
      <c r="G117">
        <v>114.22</v>
      </c>
      <c r="H117">
        <v>115.2</v>
      </c>
      <c r="I117">
        <v>0.63</v>
      </c>
      <c r="J117">
        <v>0.21</v>
      </c>
      <c r="K117">
        <v>0.1</v>
      </c>
      <c r="L117">
        <f t="shared" si="48"/>
        <v>113.74414507771947</v>
      </c>
      <c r="M117">
        <f t="shared" si="49"/>
        <v>0.70333333333333325</v>
      </c>
      <c r="N117" s="6">
        <f t="shared" si="50"/>
        <v>80.000048704662689</v>
      </c>
      <c r="P117">
        <f t="shared" si="51"/>
        <v>0.45100000000000001</v>
      </c>
      <c r="Q117" t="str">
        <f t="shared" si="52"/>
        <v>Yes</v>
      </c>
      <c r="R117" t="str">
        <f t="shared" si="53"/>
        <v>Yes</v>
      </c>
    </row>
    <row r="118" spans="1:18" x14ac:dyDescent="0.3">
      <c r="A118" s="3">
        <v>2</v>
      </c>
      <c r="B118" s="5">
        <v>5</v>
      </c>
      <c r="C118">
        <v>0</v>
      </c>
      <c r="E118">
        <v>100</v>
      </c>
      <c r="F118">
        <v>101</v>
      </c>
      <c r="G118">
        <v>102</v>
      </c>
      <c r="H118">
        <v>103</v>
      </c>
      <c r="I118">
        <v>0</v>
      </c>
      <c r="J118">
        <v>1</v>
      </c>
      <c r="K118">
        <v>0</v>
      </c>
      <c r="L118">
        <f t="shared" si="48"/>
        <v>101.5</v>
      </c>
      <c r="M118">
        <f t="shared" si="49"/>
        <v>0</v>
      </c>
      <c r="N118" s="6">
        <f t="shared" si="50"/>
        <v>0</v>
      </c>
      <c r="P118">
        <f t="shared" si="51"/>
        <v>1</v>
      </c>
      <c r="Q118" t="str">
        <f t="shared" si="52"/>
        <v>Yes</v>
      </c>
      <c r="R118" t="str">
        <f t="shared" si="53"/>
        <v>Yes</v>
      </c>
    </row>
    <row r="119" spans="1:18" x14ac:dyDescent="0.3">
      <c r="A119" s="3">
        <v>2</v>
      </c>
      <c r="B119" s="18">
        <v>6</v>
      </c>
      <c r="C119">
        <v>0</v>
      </c>
      <c r="E119">
        <v>100</v>
      </c>
      <c r="F119">
        <v>101</v>
      </c>
      <c r="G119">
        <v>102</v>
      </c>
      <c r="H119">
        <v>103</v>
      </c>
      <c r="I119">
        <v>0</v>
      </c>
      <c r="J119">
        <v>1</v>
      </c>
      <c r="K119">
        <v>0</v>
      </c>
      <c r="L119">
        <f t="shared" si="48"/>
        <v>101.5</v>
      </c>
      <c r="M119">
        <f t="shared" si="49"/>
        <v>0</v>
      </c>
      <c r="N119" s="6">
        <f t="shared" si="50"/>
        <v>0</v>
      </c>
      <c r="P119">
        <f t="shared" si="51"/>
        <v>1</v>
      </c>
      <c r="Q119" t="str">
        <f t="shared" si="52"/>
        <v>Yes</v>
      </c>
      <c r="R119" t="str">
        <f t="shared" si="53"/>
        <v>Yes</v>
      </c>
    </row>
    <row r="120" spans="1:18" x14ac:dyDescent="0.3">
      <c r="A120" s="16">
        <v>3</v>
      </c>
      <c r="B120" s="15">
        <v>1</v>
      </c>
      <c r="C120">
        <v>90</v>
      </c>
      <c r="E120">
        <v>144.58000000000001</v>
      </c>
      <c r="F120">
        <v>145.35</v>
      </c>
      <c r="G120">
        <v>146.41999999999999</v>
      </c>
      <c r="H120">
        <v>147.4</v>
      </c>
      <c r="I120">
        <v>0.82</v>
      </c>
      <c r="J120">
        <v>0.26</v>
      </c>
      <c r="K120">
        <v>0.45</v>
      </c>
      <c r="L120">
        <f t="shared" si="48"/>
        <v>145.94537275064215</v>
      </c>
      <c r="M120">
        <f t="shared" si="49"/>
        <v>0.61666666666666659</v>
      </c>
      <c r="N120" s="6">
        <f t="shared" si="50"/>
        <v>89.999646529562654</v>
      </c>
      <c r="P120">
        <f t="shared" si="51"/>
        <v>0.94249999999999989</v>
      </c>
      <c r="Q120" t="str">
        <f t="shared" si="52"/>
        <v>Yes</v>
      </c>
      <c r="R120" t="str">
        <f t="shared" si="53"/>
        <v>Yes</v>
      </c>
    </row>
    <row r="121" spans="1:18" x14ac:dyDescent="0.3">
      <c r="A121" s="16">
        <v>3</v>
      </c>
      <c r="B121" s="3">
        <v>2</v>
      </c>
      <c r="C121">
        <v>0</v>
      </c>
      <c r="E121">
        <v>100</v>
      </c>
      <c r="F121">
        <v>101</v>
      </c>
      <c r="G121">
        <v>102</v>
      </c>
      <c r="H121">
        <v>103</v>
      </c>
      <c r="I121">
        <v>0</v>
      </c>
      <c r="J121">
        <v>1</v>
      </c>
      <c r="K121">
        <v>0</v>
      </c>
      <c r="L121">
        <f t="shared" si="48"/>
        <v>101.5</v>
      </c>
      <c r="M121">
        <f t="shared" si="49"/>
        <v>0</v>
      </c>
      <c r="N121" s="6">
        <f t="shared" si="50"/>
        <v>0</v>
      </c>
      <c r="P121">
        <f t="shared" si="51"/>
        <v>1</v>
      </c>
      <c r="Q121" t="str">
        <f t="shared" si="52"/>
        <v>Yes</v>
      </c>
      <c r="R121" t="str">
        <f t="shared" si="53"/>
        <v>Yes</v>
      </c>
    </row>
    <row r="122" spans="1:18" x14ac:dyDescent="0.3">
      <c r="A122" s="16">
        <v>3</v>
      </c>
      <c r="B122" s="16">
        <v>3</v>
      </c>
      <c r="C122">
        <v>80</v>
      </c>
      <c r="E122">
        <v>134.1</v>
      </c>
      <c r="F122">
        <v>135.11000000000001</v>
      </c>
      <c r="G122">
        <v>136.11000000000001</v>
      </c>
      <c r="H122">
        <v>137.06</v>
      </c>
      <c r="I122">
        <v>0.77</v>
      </c>
      <c r="J122">
        <v>0.41</v>
      </c>
      <c r="K122">
        <v>0.18</v>
      </c>
      <c r="L122">
        <f t="shared" si="48"/>
        <v>135.59252525252546</v>
      </c>
      <c r="M122">
        <f t="shared" si="49"/>
        <v>0.59</v>
      </c>
      <c r="N122" s="6">
        <f t="shared" si="50"/>
        <v>79.999589898990024</v>
      </c>
      <c r="P122">
        <f t="shared" si="51"/>
        <v>0.79339999999999988</v>
      </c>
      <c r="Q122" t="str">
        <f t="shared" si="52"/>
        <v>Yes</v>
      </c>
      <c r="R122" t="str">
        <f t="shared" si="53"/>
        <v>Yes</v>
      </c>
    </row>
    <row r="123" spans="1:18" x14ac:dyDescent="0.3">
      <c r="A123" s="16">
        <v>3</v>
      </c>
      <c r="B123" s="17">
        <v>4</v>
      </c>
      <c r="C123">
        <v>100</v>
      </c>
      <c r="E123">
        <v>157.30000000000001</v>
      </c>
      <c r="F123">
        <v>158.16</v>
      </c>
      <c r="G123">
        <v>159.22</v>
      </c>
      <c r="H123">
        <v>160.22</v>
      </c>
      <c r="I123">
        <v>0.78</v>
      </c>
      <c r="J123">
        <v>0.28000000000000003</v>
      </c>
      <c r="K123">
        <v>0.33</v>
      </c>
      <c r="L123">
        <f t="shared" si="48"/>
        <v>158.73045226130674</v>
      </c>
      <c r="M123">
        <f t="shared" si="49"/>
        <v>0.63</v>
      </c>
      <c r="N123" s="6">
        <f t="shared" si="50"/>
        <v>100.00018492462324</v>
      </c>
      <c r="P123">
        <f t="shared" si="51"/>
        <v>0.79570000000000007</v>
      </c>
      <c r="Q123" t="str">
        <f t="shared" si="52"/>
        <v>Yes</v>
      </c>
      <c r="R123" t="str">
        <f t="shared" si="53"/>
        <v>Yes</v>
      </c>
    </row>
    <row r="124" spans="1:18" x14ac:dyDescent="0.3">
      <c r="A124" s="16">
        <v>3</v>
      </c>
      <c r="B124" s="5">
        <v>5</v>
      </c>
      <c r="C124">
        <v>0</v>
      </c>
      <c r="E124">
        <v>100</v>
      </c>
      <c r="F124">
        <v>101</v>
      </c>
      <c r="G124">
        <v>102</v>
      </c>
      <c r="H124">
        <v>103</v>
      </c>
      <c r="I124">
        <v>0</v>
      </c>
      <c r="J124">
        <v>1</v>
      </c>
      <c r="K124">
        <v>0</v>
      </c>
      <c r="L124">
        <f t="shared" si="48"/>
        <v>101.5</v>
      </c>
      <c r="M124">
        <f t="shared" si="49"/>
        <v>0</v>
      </c>
      <c r="N124" s="6">
        <f t="shared" si="50"/>
        <v>0</v>
      </c>
      <c r="P124">
        <f t="shared" si="51"/>
        <v>1</v>
      </c>
      <c r="Q124" t="str">
        <f t="shared" si="52"/>
        <v>Yes</v>
      </c>
      <c r="R124" t="str">
        <f t="shared" si="53"/>
        <v>Yes</v>
      </c>
    </row>
    <row r="125" spans="1:18" x14ac:dyDescent="0.3">
      <c r="A125" s="16">
        <v>3</v>
      </c>
      <c r="B125" s="18">
        <v>6</v>
      </c>
      <c r="C125">
        <v>0</v>
      </c>
      <c r="E125">
        <v>100</v>
      </c>
      <c r="F125">
        <v>101</v>
      </c>
      <c r="G125">
        <v>102</v>
      </c>
      <c r="H125">
        <v>103</v>
      </c>
      <c r="I125">
        <v>0</v>
      </c>
      <c r="J125">
        <v>1</v>
      </c>
      <c r="K125">
        <v>0</v>
      </c>
      <c r="L125">
        <f t="shared" si="48"/>
        <v>101.5</v>
      </c>
      <c r="M125">
        <f t="shared" si="49"/>
        <v>0</v>
      </c>
      <c r="N125" s="6">
        <f t="shared" si="50"/>
        <v>0</v>
      </c>
      <c r="P125">
        <f t="shared" si="51"/>
        <v>1</v>
      </c>
      <c r="Q125" t="str">
        <f t="shared" si="52"/>
        <v>Yes</v>
      </c>
      <c r="R125" t="str">
        <f t="shared" si="53"/>
        <v>Yes</v>
      </c>
    </row>
    <row r="129" spans="1:18" x14ac:dyDescent="0.3">
      <c r="A129" t="s">
        <v>139</v>
      </c>
    </row>
    <row r="130" spans="1:18" x14ac:dyDescent="0.3">
      <c r="A130" s="10" t="s">
        <v>134</v>
      </c>
    </row>
    <row r="131" spans="1:18" x14ac:dyDescent="0.3">
      <c r="A131" s="11" t="s">
        <v>135</v>
      </c>
    </row>
    <row r="132" spans="1:18" x14ac:dyDescent="0.3">
      <c r="A132" s="11" t="s">
        <v>136</v>
      </c>
    </row>
    <row r="134" spans="1:18" x14ac:dyDescent="0.3">
      <c r="A134" t="s">
        <v>67</v>
      </c>
      <c r="B134" t="s">
        <v>10</v>
      </c>
      <c r="C134" t="s">
        <v>140</v>
      </c>
      <c r="E134" s="2" t="s">
        <v>4</v>
      </c>
      <c r="F134" s="2" t="s">
        <v>5</v>
      </c>
      <c r="G134" s="2" t="s">
        <v>6</v>
      </c>
      <c r="H134" s="2" t="s">
        <v>7</v>
      </c>
      <c r="I134" s="3" t="s">
        <v>8</v>
      </c>
      <c r="J134" s="3" t="s">
        <v>9</v>
      </c>
      <c r="K134" s="3" t="s">
        <v>10</v>
      </c>
      <c r="L134" s="4" t="s">
        <v>13</v>
      </c>
      <c r="M134" s="4" t="s">
        <v>12</v>
      </c>
      <c r="N134" s="5" t="s">
        <v>11</v>
      </c>
      <c r="P134" t="s">
        <v>14</v>
      </c>
      <c r="Q134" t="s">
        <v>30</v>
      </c>
      <c r="R134" t="s">
        <v>31</v>
      </c>
    </row>
    <row r="135" spans="1:18" x14ac:dyDescent="0.3">
      <c r="A135" s="15">
        <v>1</v>
      </c>
      <c r="B135" s="15">
        <v>1</v>
      </c>
      <c r="C135">
        <v>40</v>
      </c>
      <c r="E135">
        <v>101.2</v>
      </c>
      <c r="F135">
        <v>102.02</v>
      </c>
      <c r="G135">
        <v>103.01</v>
      </c>
      <c r="H135">
        <v>104</v>
      </c>
      <c r="I135">
        <v>0.34</v>
      </c>
      <c r="J135">
        <v>0.25</v>
      </c>
      <c r="K135">
        <v>0.67</v>
      </c>
      <c r="L135">
        <f>((G135^2)+(G135*H135)+(H135^2)-(E135^2)-(E135*F135)-(F135^2))/(3*(H135+G135-E135-F135))</f>
        <v>102.56426561125818</v>
      </c>
      <c r="M135">
        <f>(I135-(2*J135)-K135+2)/3</f>
        <v>0.38999999999999996</v>
      </c>
      <c r="N135" s="6">
        <f>L135*M135</f>
        <v>40.000063588390688</v>
      </c>
      <c r="P135">
        <f>I135^2+J135^2+K135^2</f>
        <v>0.62700000000000011</v>
      </c>
      <c r="Q135" t="str">
        <f>IF(AND(P135&gt;=0,P135&lt;=1),"Yes","No")</f>
        <v>Yes</v>
      </c>
      <c r="R135" t="str">
        <f>IF(ROUND(N135,2)=C135,"Yes","No")</f>
        <v>Yes</v>
      </c>
    </row>
    <row r="136" spans="1:18" x14ac:dyDescent="0.3">
      <c r="A136" s="15">
        <v>1</v>
      </c>
      <c r="B136" s="3">
        <v>2</v>
      </c>
      <c r="C136">
        <v>100</v>
      </c>
      <c r="E136">
        <v>98.5</v>
      </c>
      <c r="F136">
        <v>99.5</v>
      </c>
      <c r="G136">
        <v>100.5</v>
      </c>
      <c r="H136">
        <v>101.5</v>
      </c>
      <c r="I136">
        <v>1</v>
      </c>
      <c r="J136">
        <v>0</v>
      </c>
      <c r="K136">
        <v>0</v>
      </c>
      <c r="L136">
        <f t="shared" ref="L136:L152" si="54">((G136^2)+(G136*H136)+(H136^2)-(E136^2)-(E136*F136)-(F136^2))/(3*(H136+G136-E136-F136))</f>
        <v>100</v>
      </c>
      <c r="M136">
        <f t="shared" ref="M136:M152" si="55">(I136-(2*J136)-K136+2)/3</f>
        <v>1</v>
      </c>
      <c r="N136" s="6">
        <f t="shared" ref="N136:N152" si="56">L136*M136</f>
        <v>100</v>
      </c>
      <c r="P136">
        <f t="shared" ref="P136:P152" si="57">I136^2+J136^2+K136^2</f>
        <v>1</v>
      </c>
      <c r="Q136" t="str">
        <f t="shared" ref="Q136:Q152" si="58">IF(AND(P136&gt;=0,P136&lt;=1),"Yes","No")</f>
        <v>Yes</v>
      </c>
      <c r="R136" t="str">
        <f t="shared" ref="R136:R152" si="59">IF(ROUND(N136,2)=C136,"Yes","No")</f>
        <v>Yes</v>
      </c>
    </row>
    <row r="137" spans="1:18" x14ac:dyDescent="0.3">
      <c r="A137" s="15">
        <v>1</v>
      </c>
      <c r="B137" s="16">
        <v>3</v>
      </c>
      <c r="C137">
        <v>33</v>
      </c>
      <c r="E137">
        <v>120.64</v>
      </c>
      <c r="F137">
        <v>121.9</v>
      </c>
      <c r="G137">
        <v>122.7</v>
      </c>
      <c r="H137">
        <v>123.7</v>
      </c>
      <c r="I137">
        <v>0.21</v>
      </c>
      <c r="J137">
        <v>0.42</v>
      </c>
      <c r="K137">
        <v>0.56000000000000005</v>
      </c>
      <c r="L137">
        <f t="shared" si="54"/>
        <v>122.2223143350606</v>
      </c>
      <c r="M137">
        <f t="shared" si="55"/>
        <v>0.27</v>
      </c>
      <c r="N137" s="6">
        <f t="shared" si="56"/>
        <v>33.000024870466362</v>
      </c>
      <c r="P137">
        <f t="shared" si="57"/>
        <v>0.53410000000000002</v>
      </c>
      <c r="Q137" t="str">
        <f t="shared" si="58"/>
        <v>Yes</v>
      </c>
      <c r="R137" t="str">
        <f t="shared" si="59"/>
        <v>Yes</v>
      </c>
    </row>
    <row r="138" spans="1:18" x14ac:dyDescent="0.3">
      <c r="A138" s="15">
        <v>1</v>
      </c>
      <c r="B138" s="17">
        <v>4</v>
      </c>
      <c r="C138">
        <v>35</v>
      </c>
      <c r="E138">
        <v>134.9</v>
      </c>
      <c r="F138">
        <v>135.9</v>
      </c>
      <c r="G138">
        <v>136.82</v>
      </c>
      <c r="H138">
        <v>137.83000000000001</v>
      </c>
      <c r="I138">
        <v>0.15</v>
      </c>
      <c r="J138">
        <v>0.36</v>
      </c>
      <c r="K138">
        <v>0.66</v>
      </c>
      <c r="L138">
        <f t="shared" si="54"/>
        <v>136.36293506493635</v>
      </c>
      <c r="M138">
        <f t="shared" si="55"/>
        <v>0.25666666666666665</v>
      </c>
      <c r="N138" s="6">
        <f t="shared" si="56"/>
        <v>34.999820000000327</v>
      </c>
      <c r="P138">
        <f t="shared" si="57"/>
        <v>0.5877</v>
      </c>
      <c r="Q138" t="str">
        <f t="shared" si="58"/>
        <v>Yes</v>
      </c>
      <c r="R138" t="str">
        <f t="shared" si="59"/>
        <v>Yes</v>
      </c>
    </row>
    <row r="139" spans="1:18" x14ac:dyDescent="0.3">
      <c r="A139" s="15">
        <v>1</v>
      </c>
      <c r="B139" s="5">
        <v>5</v>
      </c>
      <c r="C139">
        <v>100</v>
      </c>
      <c r="E139">
        <v>98.5</v>
      </c>
      <c r="F139">
        <v>99.5</v>
      </c>
      <c r="G139">
        <v>100.5</v>
      </c>
      <c r="H139">
        <v>101.5</v>
      </c>
      <c r="I139">
        <v>1</v>
      </c>
      <c r="J139">
        <v>0</v>
      </c>
      <c r="K139">
        <v>0</v>
      </c>
      <c r="L139">
        <f t="shared" si="54"/>
        <v>100</v>
      </c>
      <c r="M139">
        <f t="shared" si="55"/>
        <v>1</v>
      </c>
      <c r="N139" s="6">
        <f t="shared" si="56"/>
        <v>100</v>
      </c>
      <c r="P139">
        <f t="shared" si="57"/>
        <v>1</v>
      </c>
      <c r="Q139" t="str">
        <f t="shared" si="58"/>
        <v>Yes</v>
      </c>
      <c r="R139" t="str">
        <f t="shared" si="59"/>
        <v>Yes</v>
      </c>
    </row>
    <row r="140" spans="1:18" x14ac:dyDescent="0.3">
      <c r="A140" s="15">
        <v>1</v>
      </c>
      <c r="B140" s="18">
        <v>6</v>
      </c>
      <c r="C140">
        <v>100</v>
      </c>
      <c r="E140">
        <v>98.5</v>
      </c>
      <c r="F140">
        <v>99.5</v>
      </c>
      <c r="G140">
        <v>100.5</v>
      </c>
      <c r="H140">
        <v>101.5</v>
      </c>
      <c r="I140">
        <v>1</v>
      </c>
      <c r="J140">
        <v>0</v>
      </c>
      <c r="K140">
        <v>0</v>
      </c>
      <c r="L140">
        <f t="shared" si="54"/>
        <v>100</v>
      </c>
      <c r="M140">
        <f t="shared" si="55"/>
        <v>1</v>
      </c>
      <c r="N140" s="6">
        <f t="shared" si="56"/>
        <v>100</v>
      </c>
      <c r="P140">
        <f t="shared" si="57"/>
        <v>1</v>
      </c>
      <c r="Q140" t="str">
        <f t="shared" si="58"/>
        <v>Yes</v>
      </c>
      <c r="R140" t="str">
        <f t="shared" si="59"/>
        <v>Yes</v>
      </c>
    </row>
    <row r="141" spans="1:18" x14ac:dyDescent="0.3">
      <c r="A141" s="3">
        <v>2</v>
      </c>
      <c r="B141" s="15">
        <v>1</v>
      </c>
      <c r="C141">
        <v>35</v>
      </c>
      <c r="E141">
        <v>120.5</v>
      </c>
      <c r="F141">
        <v>121.7</v>
      </c>
      <c r="G141">
        <v>122.7</v>
      </c>
      <c r="H141">
        <v>123.53</v>
      </c>
      <c r="I141">
        <v>0.25</v>
      </c>
      <c r="J141">
        <v>0.41</v>
      </c>
      <c r="K141">
        <v>0.56999999999999995</v>
      </c>
      <c r="L141">
        <f t="shared" si="54"/>
        <v>122.09196856906513</v>
      </c>
      <c r="M141">
        <f t="shared" si="55"/>
        <v>0.28666666666666668</v>
      </c>
      <c r="N141" s="6">
        <f t="shared" si="56"/>
        <v>34.999697656465337</v>
      </c>
      <c r="P141">
        <f t="shared" si="57"/>
        <v>0.55549999999999988</v>
      </c>
      <c r="Q141" t="str">
        <f t="shared" si="58"/>
        <v>Yes</v>
      </c>
      <c r="R141" t="str">
        <f t="shared" si="59"/>
        <v>Yes</v>
      </c>
    </row>
    <row r="142" spans="1:18" x14ac:dyDescent="0.3">
      <c r="A142" s="3">
        <v>2</v>
      </c>
      <c r="B142" s="3">
        <v>2</v>
      </c>
      <c r="C142">
        <v>100</v>
      </c>
      <c r="E142">
        <v>98.5</v>
      </c>
      <c r="F142">
        <v>99.5</v>
      </c>
      <c r="G142">
        <v>100.5</v>
      </c>
      <c r="H142">
        <v>101.5</v>
      </c>
      <c r="I142">
        <v>1</v>
      </c>
      <c r="J142">
        <v>0</v>
      </c>
      <c r="K142">
        <v>0</v>
      </c>
      <c r="L142">
        <f t="shared" si="54"/>
        <v>100</v>
      </c>
      <c r="M142">
        <f t="shared" si="55"/>
        <v>1</v>
      </c>
      <c r="N142" s="6">
        <f t="shared" si="56"/>
        <v>100</v>
      </c>
      <c r="P142">
        <f t="shared" si="57"/>
        <v>1</v>
      </c>
      <c r="Q142" t="str">
        <f t="shared" si="58"/>
        <v>Yes</v>
      </c>
      <c r="R142" t="str">
        <f t="shared" si="59"/>
        <v>Yes</v>
      </c>
    </row>
    <row r="143" spans="1:18" x14ac:dyDescent="0.3">
      <c r="A143" s="3">
        <v>2</v>
      </c>
      <c r="B143" s="16">
        <v>3</v>
      </c>
      <c r="C143">
        <v>50</v>
      </c>
      <c r="E143">
        <v>161.54</v>
      </c>
      <c r="F143">
        <v>162.51</v>
      </c>
      <c r="G143">
        <v>163.5</v>
      </c>
      <c r="H143">
        <v>164.6</v>
      </c>
      <c r="I143">
        <v>0.55000000000000004</v>
      </c>
      <c r="J143">
        <v>0.66</v>
      </c>
      <c r="K143">
        <v>0.31</v>
      </c>
      <c r="L143">
        <f t="shared" si="54"/>
        <v>163.04303703703519</v>
      </c>
      <c r="M143">
        <f t="shared" si="55"/>
        <v>0.30666666666666664</v>
      </c>
      <c r="N143" s="6">
        <f t="shared" si="56"/>
        <v>49.999864691357452</v>
      </c>
      <c r="P143">
        <f t="shared" si="57"/>
        <v>0.83420000000000005</v>
      </c>
      <c r="Q143" t="str">
        <f t="shared" si="58"/>
        <v>Yes</v>
      </c>
      <c r="R143" t="str">
        <f t="shared" si="59"/>
        <v>Yes</v>
      </c>
    </row>
    <row r="144" spans="1:18" x14ac:dyDescent="0.3">
      <c r="A144" s="3">
        <v>2</v>
      </c>
      <c r="B144" s="17">
        <v>4</v>
      </c>
      <c r="C144">
        <v>32</v>
      </c>
      <c r="E144">
        <v>146.25</v>
      </c>
      <c r="F144">
        <v>147.21</v>
      </c>
      <c r="G144">
        <v>148.21</v>
      </c>
      <c r="H144">
        <v>149.11000000000001</v>
      </c>
      <c r="I144">
        <v>0.26</v>
      </c>
      <c r="J144">
        <v>0.52</v>
      </c>
      <c r="K144">
        <v>0.56999999999999995</v>
      </c>
      <c r="L144">
        <f t="shared" si="54"/>
        <v>147.69259067357393</v>
      </c>
      <c r="M144">
        <f t="shared" si="55"/>
        <v>0.21666666666666665</v>
      </c>
      <c r="N144" s="6">
        <f t="shared" si="56"/>
        <v>32.000061312607684</v>
      </c>
      <c r="P144">
        <f t="shared" si="57"/>
        <v>0.66290000000000004</v>
      </c>
      <c r="Q144" t="str">
        <f t="shared" si="58"/>
        <v>Yes</v>
      </c>
      <c r="R144" t="str">
        <f t="shared" si="59"/>
        <v>Yes</v>
      </c>
    </row>
    <row r="145" spans="1:18" x14ac:dyDescent="0.3">
      <c r="A145" s="3">
        <v>2</v>
      </c>
      <c r="B145" s="5">
        <v>5</v>
      </c>
      <c r="C145">
        <v>100</v>
      </c>
      <c r="E145">
        <v>98.5</v>
      </c>
      <c r="F145">
        <v>99.5</v>
      </c>
      <c r="G145">
        <v>100.5</v>
      </c>
      <c r="H145">
        <v>101.5</v>
      </c>
      <c r="I145">
        <v>1</v>
      </c>
      <c r="J145">
        <v>0</v>
      </c>
      <c r="K145">
        <v>0</v>
      </c>
      <c r="L145">
        <f t="shared" si="54"/>
        <v>100</v>
      </c>
      <c r="M145">
        <f t="shared" si="55"/>
        <v>1</v>
      </c>
      <c r="N145" s="6">
        <f t="shared" si="56"/>
        <v>100</v>
      </c>
      <c r="P145">
        <f t="shared" si="57"/>
        <v>1</v>
      </c>
      <c r="Q145" t="str">
        <f t="shared" si="58"/>
        <v>Yes</v>
      </c>
      <c r="R145" t="str">
        <f t="shared" si="59"/>
        <v>Yes</v>
      </c>
    </row>
    <row r="146" spans="1:18" x14ac:dyDescent="0.3">
      <c r="A146" s="3">
        <v>2</v>
      </c>
      <c r="B146" s="18">
        <v>6</v>
      </c>
      <c r="C146">
        <v>100</v>
      </c>
      <c r="E146">
        <v>98.5</v>
      </c>
      <c r="F146">
        <v>99.5</v>
      </c>
      <c r="G146">
        <v>100.5</v>
      </c>
      <c r="H146">
        <v>101.5</v>
      </c>
      <c r="I146">
        <v>1</v>
      </c>
      <c r="J146">
        <v>0</v>
      </c>
      <c r="K146">
        <v>0</v>
      </c>
      <c r="L146">
        <f t="shared" si="54"/>
        <v>100</v>
      </c>
      <c r="M146">
        <f t="shared" si="55"/>
        <v>1</v>
      </c>
      <c r="N146" s="6">
        <f t="shared" si="56"/>
        <v>100</v>
      </c>
      <c r="P146">
        <f t="shared" si="57"/>
        <v>1</v>
      </c>
      <c r="Q146" t="str">
        <f t="shared" si="58"/>
        <v>Yes</v>
      </c>
      <c r="R146" t="str">
        <f t="shared" si="59"/>
        <v>Yes</v>
      </c>
    </row>
    <row r="147" spans="1:18" x14ac:dyDescent="0.3">
      <c r="A147" s="16">
        <v>3</v>
      </c>
      <c r="B147" s="15">
        <v>1</v>
      </c>
      <c r="C147">
        <v>34</v>
      </c>
      <c r="E147">
        <v>126.7</v>
      </c>
      <c r="F147">
        <v>136.62</v>
      </c>
      <c r="G147">
        <v>146.62</v>
      </c>
      <c r="H147">
        <v>156.69999999999999</v>
      </c>
      <c r="I147">
        <v>0.18</v>
      </c>
      <c r="J147">
        <v>0.56000000000000005</v>
      </c>
      <c r="K147">
        <v>0.34</v>
      </c>
      <c r="L147">
        <f t="shared" si="54"/>
        <v>141.6666666666666</v>
      </c>
      <c r="M147">
        <f t="shared" si="55"/>
        <v>0.23999999999999991</v>
      </c>
      <c r="N147" s="6">
        <f t="shared" si="56"/>
        <v>33.999999999999972</v>
      </c>
      <c r="P147">
        <f t="shared" si="57"/>
        <v>0.46160000000000007</v>
      </c>
      <c r="Q147" t="str">
        <f t="shared" si="58"/>
        <v>Yes</v>
      </c>
      <c r="R147" t="str">
        <f t="shared" si="59"/>
        <v>Yes</v>
      </c>
    </row>
    <row r="148" spans="1:18" x14ac:dyDescent="0.3">
      <c r="A148" s="16">
        <v>3</v>
      </c>
      <c r="B148" s="3">
        <v>2</v>
      </c>
      <c r="C148">
        <v>100</v>
      </c>
      <c r="E148">
        <v>98.5</v>
      </c>
      <c r="F148">
        <v>99.5</v>
      </c>
      <c r="G148">
        <v>100.5</v>
      </c>
      <c r="H148">
        <v>101.5</v>
      </c>
      <c r="I148">
        <v>1</v>
      </c>
      <c r="J148">
        <v>0</v>
      </c>
      <c r="K148">
        <v>0</v>
      </c>
      <c r="L148">
        <f t="shared" si="54"/>
        <v>100</v>
      </c>
      <c r="M148">
        <f t="shared" si="55"/>
        <v>1</v>
      </c>
      <c r="N148" s="6">
        <f t="shared" si="56"/>
        <v>100</v>
      </c>
      <c r="P148">
        <f t="shared" si="57"/>
        <v>1</v>
      </c>
      <c r="Q148" t="str">
        <f t="shared" si="58"/>
        <v>Yes</v>
      </c>
      <c r="R148" t="str">
        <f t="shared" si="59"/>
        <v>Yes</v>
      </c>
    </row>
    <row r="149" spans="1:18" x14ac:dyDescent="0.3">
      <c r="A149" s="16">
        <v>3</v>
      </c>
      <c r="B149" s="16">
        <v>3</v>
      </c>
      <c r="C149">
        <v>35</v>
      </c>
      <c r="E149">
        <v>134.9</v>
      </c>
      <c r="F149">
        <v>135.9</v>
      </c>
      <c r="G149">
        <v>136.82</v>
      </c>
      <c r="H149">
        <v>137.83000000000001</v>
      </c>
      <c r="I149">
        <v>0.15</v>
      </c>
      <c r="J149">
        <v>0.36</v>
      </c>
      <c r="K149">
        <v>0.66</v>
      </c>
      <c r="L149">
        <f t="shared" si="54"/>
        <v>136.36293506493635</v>
      </c>
      <c r="M149">
        <f t="shared" si="55"/>
        <v>0.25666666666666665</v>
      </c>
      <c r="N149" s="6">
        <f t="shared" si="56"/>
        <v>34.999820000000327</v>
      </c>
      <c r="P149">
        <f t="shared" si="57"/>
        <v>0.5877</v>
      </c>
      <c r="Q149" t="str">
        <f t="shared" si="58"/>
        <v>Yes</v>
      </c>
      <c r="R149" t="str">
        <f t="shared" si="59"/>
        <v>Yes</v>
      </c>
    </row>
    <row r="150" spans="1:18" x14ac:dyDescent="0.3">
      <c r="A150" s="16">
        <v>3</v>
      </c>
      <c r="B150" s="17">
        <v>4</v>
      </c>
      <c r="C150">
        <v>43</v>
      </c>
      <c r="E150">
        <v>100.9</v>
      </c>
      <c r="F150">
        <v>101.81</v>
      </c>
      <c r="G150">
        <v>102.9</v>
      </c>
      <c r="H150">
        <v>103.9</v>
      </c>
      <c r="I150">
        <v>0.37</v>
      </c>
      <c r="J150">
        <v>0.24</v>
      </c>
      <c r="K150">
        <v>0.63</v>
      </c>
      <c r="L150">
        <f t="shared" si="54"/>
        <v>102.38100244498746</v>
      </c>
      <c r="M150">
        <f t="shared" si="55"/>
        <v>0.42</v>
      </c>
      <c r="N150" s="6">
        <f t="shared" si="56"/>
        <v>43.000021026894728</v>
      </c>
      <c r="P150">
        <f t="shared" si="57"/>
        <v>0.59140000000000004</v>
      </c>
      <c r="Q150" t="str">
        <f t="shared" si="58"/>
        <v>Yes</v>
      </c>
      <c r="R150" t="str">
        <f t="shared" si="59"/>
        <v>Yes</v>
      </c>
    </row>
    <row r="151" spans="1:18" x14ac:dyDescent="0.3">
      <c r="A151" s="16">
        <v>3</v>
      </c>
      <c r="B151" s="5">
        <v>5</v>
      </c>
      <c r="C151">
        <v>100</v>
      </c>
      <c r="E151">
        <v>98.5</v>
      </c>
      <c r="F151">
        <v>99.5</v>
      </c>
      <c r="G151">
        <v>100.5</v>
      </c>
      <c r="H151">
        <v>101.5</v>
      </c>
      <c r="I151">
        <v>1</v>
      </c>
      <c r="J151">
        <v>0</v>
      </c>
      <c r="K151">
        <v>0</v>
      </c>
      <c r="L151">
        <f t="shared" si="54"/>
        <v>100</v>
      </c>
      <c r="M151">
        <f t="shared" si="55"/>
        <v>1</v>
      </c>
      <c r="N151" s="6">
        <f t="shared" si="56"/>
        <v>100</v>
      </c>
      <c r="P151">
        <f t="shared" si="57"/>
        <v>1</v>
      </c>
      <c r="Q151" t="str">
        <f t="shared" si="58"/>
        <v>Yes</v>
      </c>
      <c r="R151" t="str">
        <f t="shared" si="59"/>
        <v>Yes</v>
      </c>
    </row>
    <row r="152" spans="1:18" x14ac:dyDescent="0.3">
      <c r="A152" s="16">
        <v>3</v>
      </c>
      <c r="B152" s="18">
        <v>6</v>
      </c>
      <c r="C152">
        <v>100</v>
      </c>
      <c r="E152">
        <v>98.5</v>
      </c>
      <c r="F152">
        <v>99.5</v>
      </c>
      <c r="G152">
        <v>100.5</v>
      </c>
      <c r="H152">
        <v>101.5</v>
      </c>
      <c r="I152">
        <v>1</v>
      </c>
      <c r="J152">
        <v>0</v>
      </c>
      <c r="K152">
        <v>0</v>
      </c>
      <c r="L152">
        <f t="shared" si="54"/>
        <v>100</v>
      </c>
      <c r="M152">
        <f t="shared" si="55"/>
        <v>1</v>
      </c>
      <c r="N152" s="6">
        <f t="shared" si="56"/>
        <v>100</v>
      </c>
      <c r="P152">
        <f t="shared" si="57"/>
        <v>1</v>
      </c>
      <c r="Q152" t="str">
        <f t="shared" si="58"/>
        <v>Yes</v>
      </c>
      <c r="R152" t="str">
        <f t="shared" si="59"/>
        <v>Yes</v>
      </c>
    </row>
    <row r="156" spans="1:18" x14ac:dyDescent="0.3">
      <c r="A156" t="s">
        <v>148</v>
      </c>
    </row>
    <row r="157" spans="1:18" x14ac:dyDescent="0.3">
      <c r="A157" s="10" t="s">
        <v>146</v>
      </c>
    </row>
    <row r="158" spans="1:18" x14ac:dyDescent="0.3">
      <c r="A158" s="11" t="s">
        <v>147</v>
      </c>
    </row>
    <row r="160" spans="1:18" x14ac:dyDescent="0.3">
      <c r="A160" t="s">
        <v>72</v>
      </c>
      <c r="B160" t="s">
        <v>10</v>
      </c>
      <c r="C160" t="s">
        <v>149</v>
      </c>
      <c r="E160" s="2" t="s">
        <v>4</v>
      </c>
      <c r="F160" s="2" t="s">
        <v>5</v>
      </c>
      <c r="G160" s="2" t="s">
        <v>6</v>
      </c>
      <c r="H160" s="2" t="s">
        <v>7</v>
      </c>
      <c r="I160" s="3" t="s">
        <v>8</v>
      </c>
      <c r="J160" s="3" t="s">
        <v>9</v>
      </c>
      <c r="K160" s="3" t="s">
        <v>10</v>
      </c>
      <c r="L160" s="4" t="s">
        <v>13</v>
      </c>
      <c r="M160" s="4" t="s">
        <v>12</v>
      </c>
      <c r="N160" s="5" t="s">
        <v>11</v>
      </c>
      <c r="P160" t="s">
        <v>14</v>
      </c>
      <c r="Q160" t="s">
        <v>30</v>
      </c>
      <c r="R160" t="s">
        <v>31</v>
      </c>
    </row>
    <row r="161" spans="1:18" x14ac:dyDescent="0.3">
      <c r="A161" s="15">
        <v>1</v>
      </c>
      <c r="B161" s="15">
        <v>1</v>
      </c>
      <c r="C161">
        <v>100</v>
      </c>
      <c r="E161">
        <v>170.95</v>
      </c>
      <c r="F161">
        <v>171.9</v>
      </c>
      <c r="G161">
        <v>172.9</v>
      </c>
      <c r="H161">
        <v>173.9</v>
      </c>
      <c r="I161">
        <v>0.75</v>
      </c>
      <c r="J161">
        <v>0.38</v>
      </c>
      <c r="K161">
        <v>0.25</v>
      </c>
      <c r="L161">
        <f>((G161^2)+(G161*H161)+(H161^2)-(E161^2)-(E161*F161)-(F161^2))/(3*(H161+G161-E161-F161))</f>
        <v>172.41455696202544</v>
      </c>
      <c r="M161">
        <f>(I161-(2*J161)-K161+2)/3</f>
        <v>0.57999999999999996</v>
      </c>
      <c r="N161" s="6">
        <f>L161*M161</f>
        <v>100.00044303797475</v>
      </c>
      <c r="P161">
        <f>I161^2+J161^2+K161^2</f>
        <v>0.76939999999999997</v>
      </c>
      <c r="Q161" t="str">
        <f>IF(AND(P161&gt;=0,P161&lt;=1),"Yes","No")</f>
        <v>Yes</v>
      </c>
      <c r="R161" t="str">
        <f>IF(ROUND(N161,2)=C161,"Yes","No")</f>
        <v>Yes</v>
      </c>
    </row>
    <row r="162" spans="1:18" x14ac:dyDescent="0.3">
      <c r="A162" s="15">
        <v>1</v>
      </c>
      <c r="B162" s="3">
        <v>2</v>
      </c>
      <c r="C162">
        <v>0</v>
      </c>
      <c r="E162">
        <v>100</v>
      </c>
      <c r="F162">
        <v>101</v>
      </c>
      <c r="G162">
        <v>102</v>
      </c>
      <c r="H162">
        <v>103</v>
      </c>
      <c r="I162">
        <v>0</v>
      </c>
      <c r="J162">
        <v>1</v>
      </c>
      <c r="K162">
        <v>0</v>
      </c>
      <c r="L162">
        <f t="shared" ref="L162:L172" si="60">((G162^2)+(G162*H162)+(H162^2)-(E162^2)-(E162*F162)-(F162^2))/(3*(H162+G162-E162-F162))</f>
        <v>101.5</v>
      </c>
      <c r="M162">
        <f t="shared" ref="M162:M172" si="61">(I162-(2*J162)-K162+2)/3</f>
        <v>0</v>
      </c>
      <c r="N162" s="6">
        <f t="shared" ref="N162:N172" si="62">L162*M162</f>
        <v>0</v>
      </c>
      <c r="P162">
        <f t="shared" ref="P162:P172" si="63">I162^2+J162^2+K162^2</f>
        <v>1</v>
      </c>
      <c r="Q162" t="str">
        <f t="shared" ref="Q162:Q172" si="64">IF(AND(P162&gt;=0,P162&lt;=1),"Yes","No")</f>
        <v>Yes</v>
      </c>
      <c r="R162" t="str">
        <f t="shared" ref="R162:R172" si="65">IF(ROUND(N162,2)=C162,"Yes","No")</f>
        <v>Yes</v>
      </c>
    </row>
    <row r="163" spans="1:18" x14ac:dyDescent="0.3">
      <c r="A163" s="15">
        <v>1</v>
      </c>
      <c r="B163" s="16">
        <v>3</v>
      </c>
      <c r="C163">
        <v>100</v>
      </c>
      <c r="E163">
        <v>147.13</v>
      </c>
      <c r="F163">
        <v>157.19999999999999</v>
      </c>
      <c r="G163">
        <v>167.12</v>
      </c>
      <c r="H163">
        <v>177.2</v>
      </c>
      <c r="I163">
        <v>0.85</v>
      </c>
      <c r="J163">
        <v>0.28000000000000003</v>
      </c>
      <c r="K163">
        <v>0.44</v>
      </c>
      <c r="L163">
        <f t="shared" si="60"/>
        <v>162.16291989664086</v>
      </c>
      <c r="M163">
        <f t="shared" si="61"/>
        <v>0.61666666666666659</v>
      </c>
      <c r="N163" s="6">
        <f t="shared" si="62"/>
        <v>100.00046726959518</v>
      </c>
      <c r="P163">
        <f t="shared" si="63"/>
        <v>0.99449999999999994</v>
      </c>
      <c r="Q163" t="str">
        <f t="shared" si="64"/>
        <v>Yes</v>
      </c>
      <c r="R163" t="str">
        <f t="shared" si="65"/>
        <v>Yes</v>
      </c>
    </row>
    <row r="164" spans="1:18" x14ac:dyDescent="0.3">
      <c r="A164" s="15">
        <v>1</v>
      </c>
      <c r="B164" s="17">
        <v>4</v>
      </c>
      <c r="C164">
        <v>110</v>
      </c>
      <c r="E164">
        <v>156.41999999999999</v>
      </c>
      <c r="F164">
        <v>157.38</v>
      </c>
      <c r="G164">
        <v>158.41999999999999</v>
      </c>
      <c r="H164">
        <v>159.36000000000001</v>
      </c>
      <c r="I164">
        <v>0.78</v>
      </c>
      <c r="J164">
        <v>0.21</v>
      </c>
      <c r="K164">
        <v>0.27</v>
      </c>
      <c r="L164">
        <f t="shared" ref="L164:L166" si="66">((G164^2)+(G164*H164)+(H164^2)-(E164^2)-(E164*F164)-(F164^2))/(3*(H164+G164-E164-F164))</f>
        <v>157.89420435510922</v>
      </c>
      <c r="M164">
        <f t="shared" ref="M164:M166" si="67">(I164-(2*J164)-K164+2)/3</f>
        <v>0.69666666666666666</v>
      </c>
      <c r="N164" s="6">
        <f t="shared" ref="N164:N166" si="68">L164*M164</f>
        <v>109.99962903405942</v>
      </c>
      <c r="P164">
        <f t="shared" si="63"/>
        <v>0.72540000000000004</v>
      </c>
      <c r="Q164" t="str">
        <f t="shared" si="64"/>
        <v>Yes</v>
      </c>
      <c r="R164" t="str">
        <f t="shared" si="65"/>
        <v>Yes</v>
      </c>
    </row>
    <row r="165" spans="1:18" x14ac:dyDescent="0.3">
      <c r="A165" s="15">
        <v>1</v>
      </c>
      <c r="B165" s="5">
        <v>5</v>
      </c>
      <c r="C165">
        <v>0</v>
      </c>
      <c r="E165">
        <v>100</v>
      </c>
      <c r="F165">
        <v>101</v>
      </c>
      <c r="G165">
        <v>102</v>
      </c>
      <c r="H165">
        <v>103</v>
      </c>
      <c r="I165">
        <v>0</v>
      </c>
      <c r="J165">
        <v>1</v>
      </c>
      <c r="K165">
        <v>0</v>
      </c>
      <c r="L165">
        <f t="shared" si="66"/>
        <v>101.5</v>
      </c>
      <c r="M165">
        <f t="shared" si="67"/>
        <v>0</v>
      </c>
      <c r="N165" s="6">
        <f t="shared" si="68"/>
        <v>0</v>
      </c>
      <c r="P165">
        <f t="shared" si="63"/>
        <v>1</v>
      </c>
      <c r="Q165" t="str">
        <f t="shared" si="64"/>
        <v>Yes</v>
      </c>
      <c r="R165" t="str">
        <f t="shared" si="65"/>
        <v>Yes</v>
      </c>
    </row>
    <row r="166" spans="1:18" x14ac:dyDescent="0.3">
      <c r="A166" s="15">
        <v>1</v>
      </c>
      <c r="B166" s="18">
        <v>6</v>
      </c>
      <c r="C166">
        <v>0</v>
      </c>
      <c r="E166">
        <v>100</v>
      </c>
      <c r="F166">
        <v>101</v>
      </c>
      <c r="G166">
        <v>102</v>
      </c>
      <c r="H166">
        <v>103</v>
      </c>
      <c r="I166">
        <v>0</v>
      </c>
      <c r="J166">
        <v>1</v>
      </c>
      <c r="K166">
        <v>0</v>
      </c>
      <c r="L166">
        <f t="shared" si="66"/>
        <v>101.5</v>
      </c>
      <c r="M166">
        <f t="shared" si="67"/>
        <v>0</v>
      </c>
      <c r="N166" s="6">
        <f t="shared" si="68"/>
        <v>0</v>
      </c>
      <c r="P166">
        <f t="shared" si="63"/>
        <v>1</v>
      </c>
      <c r="Q166" t="str">
        <f t="shared" si="64"/>
        <v>Yes</v>
      </c>
      <c r="R166" t="str">
        <f t="shared" si="65"/>
        <v>Yes</v>
      </c>
    </row>
    <row r="167" spans="1:18" x14ac:dyDescent="0.3">
      <c r="A167" s="3">
        <v>2</v>
      </c>
      <c r="B167" s="15">
        <v>1</v>
      </c>
      <c r="C167">
        <v>100</v>
      </c>
      <c r="E167">
        <v>156.5</v>
      </c>
      <c r="F167">
        <v>157.5</v>
      </c>
      <c r="G167">
        <v>158.30000000000001</v>
      </c>
      <c r="H167">
        <v>159.28</v>
      </c>
      <c r="I167">
        <v>0.67</v>
      </c>
      <c r="J167">
        <v>0.21</v>
      </c>
      <c r="K167">
        <v>0.35</v>
      </c>
      <c r="L167">
        <f t="shared" si="60"/>
        <v>157.89407821228838</v>
      </c>
      <c r="M167">
        <f t="shared" si="61"/>
        <v>0.63333333333333341</v>
      </c>
      <c r="N167" s="6">
        <f t="shared" si="62"/>
        <v>99.999582867782649</v>
      </c>
      <c r="P167">
        <f t="shared" si="63"/>
        <v>0.61550000000000005</v>
      </c>
      <c r="Q167" t="str">
        <f t="shared" si="64"/>
        <v>Yes</v>
      </c>
      <c r="R167" t="str">
        <f t="shared" si="65"/>
        <v>Yes</v>
      </c>
    </row>
    <row r="168" spans="1:18" x14ac:dyDescent="0.3">
      <c r="A168" s="3">
        <v>2</v>
      </c>
      <c r="B168" s="3">
        <v>2</v>
      </c>
      <c r="C168">
        <v>0</v>
      </c>
      <c r="E168">
        <v>100</v>
      </c>
      <c r="F168">
        <v>101</v>
      </c>
      <c r="G168">
        <v>102</v>
      </c>
      <c r="H168">
        <v>103</v>
      </c>
      <c r="I168">
        <v>0</v>
      </c>
      <c r="J168">
        <v>1</v>
      </c>
      <c r="K168">
        <v>0</v>
      </c>
      <c r="L168">
        <f t="shared" si="60"/>
        <v>101.5</v>
      </c>
      <c r="M168">
        <f t="shared" si="61"/>
        <v>0</v>
      </c>
      <c r="N168" s="6">
        <f t="shared" si="62"/>
        <v>0</v>
      </c>
      <c r="P168">
        <f t="shared" si="63"/>
        <v>1</v>
      </c>
      <c r="Q168" t="str">
        <f t="shared" si="64"/>
        <v>Yes</v>
      </c>
      <c r="R168" t="str">
        <f t="shared" si="65"/>
        <v>Yes</v>
      </c>
    </row>
    <row r="169" spans="1:18" x14ac:dyDescent="0.3">
      <c r="A169" s="3">
        <v>2</v>
      </c>
      <c r="B169" s="16">
        <v>3</v>
      </c>
      <c r="C169">
        <v>104</v>
      </c>
      <c r="E169">
        <v>145.77000000000001</v>
      </c>
      <c r="F169">
        <v>147.65</v>
      </c>
      <c r="G169">
        <v>149.69999999999999</v>
      </c>
      <c r="H169">
        <v>151.22</v>
      </c>
      <c r="I169">
        <v>0.86</v>
      </c>
      <c r="J169">
        <v>0.28999999999999998</v>
      </c>
      <c r="K169">
        <v>0.18</v>
      </c>
      <c r="L169">
        <f t="shared" si="60"/>
        <v>148.57140000000024</v>
      </c>
      <c r="M169">
        <f t="shared" si="61"/>
        <v>0.70000000000000007</v>
      </c>
      <c r="N169" s="6">
        <f t="shared" si="62"/>
        <v>103.99998000000018</v>
      </c>
      <c r="P169">
        <f t="shared" si="63"/>
        <v>0.85609999999999986</v>
      </c>
      <c r="Q169" t="str">
        <f t="shared" si="64"/>
        <v>Yes</v>
      </c>
      <c r="R169" t="str">
        <f t="shared" si="65"/>
        <v>Yes</v>
      </c>
    </row>
    <row r="170" spans="1:18" x14ac:dyDescent="0.3">
      <c r="A170" s="3">
        <v>2</v>
      </c>
      <c r="B170" s="17">
        <v>4</v>
      </c>
      <c r="C170">
        <v>105</v>
      </c>
      <c r="E170">
        <v>166</v>
      </c>
      <c r="F170">
        <v>167.1</v>
      </c>
      <c r="G170">
        <v>168</v>
      </c>
      <c r="H170">
        <v>169.11</v>
      </c>
      <c r="I170">
        <v>0.71</v>
      </c>
      <c r="J170">
        <v>0.25</v>
      </c>
      <c r="K170">
        <v>0.33</v>
      </c>
      <c r="L170">
        <f t="shared" si="60"/>
        <v>167.55295926849564</v>
      </c>
      <c r="M170">
        <f t="shared" si="61"/>
        <v>0.62666666666666659</v>
      </c>
      <c r="N170" s="6">
        <f t="shared" si="62"/>
        <v>104.99985447492392</v>
      </c>
      <c r="P170">
        <f t="shared" si="63"/>
        <v>0.67549999999999999</v>
      </c>
      <c r="Q170" t="str">
        <f t="shared" si="64"/>
        <v>Yes</v>
      </c>
      <c r="R170" t="str">
        <f t="shared" si="65"/>
        <v>Yes</v>
      </c>
    </row>
    <row r="171" spans="1:18" x14ac:dyDescent="0.3">
      <c r="A171" s="3">
        <v>2</v>
      </c>
      <c r="B171" s="5">
        <v>5</v>
      </c>
      <c r="C171">
        <v>0</v>
      </c>
      <c r="E171">
        <v>100</v>
      </c>
      <c r="F171">
        <v>101</v>
      </c>
      <c r="G171">
        <v>102</v>
      </c>
      <c r="H171">
        <v>103</v>
      </c>
      <c r="I171">
        <v>0</v>
      </c>
      <c r="J171">
        <v>1</v>
      </c>
      <c r="K171">
        <v>0</v>
      </c>
      <c r="L171">
        <f t="shared" si="60"/>
        <v>101.5</v>
      </c>
      <c r="M171">
        <f t="shared" si="61"/>
        <v>0</v>
      </c>
      <c r="N171" s="6">
        <f t="shared" si="62"/>
        <v>0</v>
      </c>
      <c r="P171">
        <f t="shared" si="63"/>
        <v>1</v>
      </c>
      <c r="Q171" t="str">
        <f t="shared" si="64"/>
        <v>Yes</v>
      </c>
      <c r="R171" t="str">
        <f t="shared" si="65"/>
        <v>Yes</v>
      </c>
    </row>
    <row r="172" spans="1:18" x14ac:dyDescent="0.3">
      <c r="A172" s="3">
        <v>2</v>
      </c>
      <c r="B172" s="18">
        <v>6</v>
      </c>
      <c r="C172">
        <v>0</v>
      </c>
      <c r="E172">
        <v>100</v>
      </c>
      <c r="F172">
        <v>101</v>
      </c>
      <c r="G172">
        <v>102</v>
      </c>
      <c r="H172">
        <v>103</v>
      </c>
      <c r="I172">
        <v>0</v>
      </c>
      <c r="J172">
        <v>1</v>
      </c>
      <c r="K172">
        <v>0</v>
      </c>
      <c r="L172">
        <f t="shared" si="60"/>
        <v>101.5</v>
      </c>
      <c r="M172">
        <f t="shared" si="61"/>
        <v>0</v>
      </c>
      <c r="N172" s="6">
        <f t="shared" si="62"/>
        <v>0</v>
      </c>
      <c r="P172">
        <f t="shared" si="63"/>
        <v>1</v>
      </c>
      <c r="Q172" t="str">
        <f t="shared" si="64"/>
        <v>Yes</v>
      </c>
      <c r="R172" t="str">
        <f t="shared" si="65"/>
        <v>Yes</v>
      </c>
    </row>
    <row r="173" spans="1:18" x14ac:dyDescent="0.3">
      <c r="N173" s="6"/>
    </row>
    <row r="174" spans="1:18" x14ac:dyDescent="0.3">
      <c r="N174" s="6"/>
    </row>
    <row r="176" spans="1:18" x14ac:dyDescent="0.3">
      <c r="A176" t="s">
        <v>150</v>
      </c>
    </row>
    <row r="177" spans="1:18" x14ac:dyDescent="0.3">
      <c r="A177" s="10" t="s">
        <v>141</v>
      </c>
    </row>
    <row r="178" spans="1:18" x14ac:dyDescent="0.3">
      <c r="A178" s="11" t="s">
        <v>142</v>
      </c>
    </row>
    <row r="179" spans="1:18" x14ac:dyDescent="0.3">
      <c r="A179" s="11" t="s">
        <v>143</v>
      </c>
    </row>
    <row r="181" spans="1:18" x14ac:dyDescent="0.3">
      <c r="A181" t="s">
        <v>28</v>
      </c>
      <c r="B181" t="s">
        <v>10</v>
      </c>
      <c r="C181" t="s">
        <v>151</v>
      </c>
      <c r="E181" s="2" t="s">
        <v>4</v>
      </c>
      <c r="F181" s="2" t="s">
        <v>5</v>
      </c>
      <c r="G181" s="2" t="s">
        <v>6</v>
      </c>
      <c r="H181" s="2" t="s">
        <v>7</v>
      </c>
      <c r="I181" s="3" t="s">
        <v>8</v>
      </c>
      <c r="J181" s="3" t="s">
        <v>9</v>
      </c>
      <c r="K181" s="3" t="s">
        <v>10</v>
      </c>
      <c r="L181" s="4" t="s">
        <v>13</v>
      </c>
      <c r="M181" s="4" t="s">
        <v>12</v>
      </c>
      <c r="N181" s="5" t="s">
        <v>11</v>
      </c>
      <c r="P181" t="s">
        <v>14</v>
      </c>
      <c r="Q181" t="s">
        <v>30</v>
      </c>
      <c r="R181" t="s">
        <v>31</v>
      </c>
    </row>
    <row r="182" spans="1:18" x14ac:dyDescent="0.3">
      <c r="A182" s="15">
        <v>1</v>
      </c>
      <c r="B182" s="15">
        <v>1</v>
      </c>
      <c r="C182">
        <v>69</v>
      </c>
      <c r="E182">
        <v>149.69999999999999</v>
      </c>
      <c r="F182">
        <v>150.56</v>
      </c>
      <c r="G182">
        <v>151.55000000000001</v>
      </c>
      <c r="H182">
        <v>152.55000000000001</v>
      </c>
      <c r="I182">
        <v>0.38</v>
      </c>
      <c r="J182">
        <v>0.42</v>
      </c>
      <c r="K182">
        <v>0.17</v>
      </c>
      <c r="L182">
        <f>((G182^2)+(G182*H182)+(H182^2)-(E182^2)-(E182*F182)-(F182^2))/(3*(H182+G182-E182-F182))</f>
        <v>151.09565104166686</v>
      </c>
      <c r="M182">
        <f>(I182-(2*J182)-K182+2)/3</f>
        <v>0.45666666666666672</v>
      </c>
      <c r="N182" s="6">
        <f>L182*M182</f>
        <v>69.000347309027873</v>
      </c>
      <c r="P182">
        <f>I182^2+J182^2+K182^2</f>
        <v>0.34969999999999996</v>
      </c>
      <c r="Q182" t="str">
        <f>IF(AND(P182&gt;=0,P182&lt;=1),"Yes","No")</f>
        <v>Yes</v>
      </c>
      <c r="R182" t="str">
        <f>IF(ROUND(N182,2)=C182,"Yes","No")</f>
        <v>Yes</v>
      </c>
    </row>
    <row r="183" spans="1:18" x14ac:dyDescent="0.3">
      <c r="A183" s="15">
        <v>1</v>
      </c>
      <c r="B183" s="3">
        <v>2</v>
      </c>
      <c r="C183">
        <v>0</v>
      </c>
      <c r="E183">
        <v>100</v>
      </c>
      <c r="F183">
        <v>101</v>
      </c>
      <c r="G183">
        <v>102</v>
      </c>
      <c r="H183">
        <v>103</v>
      </c>
      <c r="I183">
        <v>0</v>
      </c>
      <c r="J183">
        <v>1</v>
      </c>
      <c r="K183">
        <v>0</v>
      </c>
      <c r="L183">
        <f t="shared" ref="L183:L199" si="69">((G183^2)+(G183*H183)+(H183^2)-(E183^2)-(E183*F183)-(F183^2))/(3*(H183+G183-E183-F183))</f>
        <v>101.5</v>
      </c>
      <c r="M183">
        <f t="shared" ref="M183:M199" si="70">(I183-(2*J183)-K183+2)/3</f>
        <v>0</v>
      </c>
      <c r="N183" s="6">
        <f t="shared" ref="N183:N199" si="71">L183*M183</f>
        <v>0</v>
      </c>
      <c r="P183">
        <f t="shared" ref="P183:P199" si="72">I183^2+J183^2+K183^2</f>
        <v>1</v>
      </c>
      <c r="Q183" t="str">
        <f t="shared" ref="Q183:Q199" si="73">IF(AND(P183&gt;=0,P183&lt;=1),"Yes","No")</f>
        <v>Yes</v>
      </c>
      <c r="R183" t="str">
        <f t="shared" ref="R183:R199" si="74">IF(ROUND(N183,2)=C183,"Yes","No")</f>
        <v>Yes</v>
      </c>
    </row>
    <row r="184" spans="1:18" x14ac:dyDescent="0.3">
      <c r="A184" s="15">
        <v>1</v>
      </c>
      <c r="B184" s="16">
        <v>3</v>
      </c>
      <c r="C184">
        <v>68</v>
      </c>
      <c r="E184">
        <v>124.58</v>
      </c>
      <c r="F184">
        <v>125.66</v>
      </c>
      <c r="G184">
        <v>126.3</v>
      </c>
      <c r="H184">
        <v>127.2</v>
      </c>
      <c r="I184">
        <v>0.65</v>
      </c>
      <c r="J184">
        <v>0.28999999999999998</v>
      </c>
      <c r="K184">
        <v>0.45</v>
      </c>
      <c r="L184">
        <f t="shared" si="69"/>
        <v>125.92588957055148</v>
      </c>
      <c r="M184">
        <f t="shared" si="70"/>
        <v>0.54</v>
      </c>
      <c r="N184" s="6">
        <f t="shared" si="71"/>
        <v>67.999980368097795</v>
      </c>
      <c r="P184">
        <f t="shared" si="72"/>
        <v>0.70910000000000006</v>
      </c>
      <c r="Q184" t="str">
        <f t="shared" si="73"/>
        <v>Yes</v>
      </c>
      <c r="R184" t="str">
        <f t="shared" si="74"/>
        <v>Yes</v>
      </c>
    </row>
    <row r="185" spans="1:18" x14ac:dyDescent="0.3">
      <c r="A185" s="15">
        <v>1</v>
      </c>
      <c r="B185" s="17">
        <v>4</v>
      </c>
      <c r="C185">
        <v>69</v>
      </c>
      <c r="E185">
        <v>168.3</v>
      </c>
      <c r="F185">
        <v>169.3</v>
      </c>
      <c r="G185">
        <v>170.11</v>
      </c>
      <c r="H185">
        <v>171</v>
      </c>
      <c r="I185">
        <v>0.44</v>
      </c>
      <c r="J185">
        <v>0.45</v>
      </c>
      <c r="K185">
        <v>0.32</v>
      </c>
      <c r="L185">
        <f t="shared" si="69"/>
        <v>169.67256410256516</v>
      </c>
      <c r="M185">
        <f t="shared" si="70"/>
        <v>0.40666666666666668</v>
      </c>
      <c r="N185" s="6">
        <f t="shared" si="71"/>
        <v>69.000176068376504</v>
      </c>
      <c r="P185">
        <f t="shared" si="72"/>
        <v>0.4985</v>
      </c>
      <c r="Q185" t="str">
        <f t="shared" si="73"/>
        <v>Yes</v>
      </c>
      <c r="R185" t="str">
        <f t="shared" si="74"/>
        <v>Yes</v>
      </c>
    </row>
    <row r="186" spans="1:18" x14ac:dyDescent="0.3">
      <c r="A186" s="15">
        <v>1</v>
      </c>
      <c r="B186" s="5">
        <v>5</v>
      </c>
      <c r="C186">
        <v>0</v>
      </c>
      <c r="E186">
        <v>100</v>
      </c>
      <c r="F186">
        <v>101</v>
      </c>
      <c r="G186">
        <v>102</v>
      </c>
      <c r="H186">
        <v>103</v>
      </c>
      <c r="I186">
        <v>0</v>
      </c>
      <c r="J186">
        <v>1</v>
      </c>
      <c r="K186">
        <v>0</v>
      </c>
      <c r="L186">
        <f t="shared" si="69"/>
        <v>101.5</v>
      </c>
      <c r="M186">
        <f t="shared" si="70"/>
        <v>0</v>
      </c>
      <c r="N186" s="6">
        <f t="shared" si="71"/>
        <v>0</v>
      </c>
      <c r="P186">
        <f t="shared" si="72"/>
        <v>1</v>
      </c>
      <c r="Q186" t="str">
        <f t="shared" si="73"/>
        <v>Yes</v>
      </c>
      <c r="R186" t="str">
        <f t="shared" si="74"/>
        <v>Yes</v>
      </c>
    </row>
    <row r="187" spans="1:18" x14ac:dyDescent="0.3">
      <c r="A187" s="15">
        <v>1</v>
      </c>
      <c r="B187" s="18">
        <v>6</v>
      </c>
      <c r="C187">
        <v>0</v>
      </c>
      <c r="E187">
        <v>100</v>
      </c>
      <c r="F187">
        <v>101</v>
      </c>
      <c r="G187">
        <v>102</v>
      </c>
      <c r="H187">
        <v>103</v>
      </c>
      <c r="I187">
        <v>0</v>
      </c>
      <c r="J187">
        <v>1</v>
      </c>
      <c r="K187">
        <v>0</v>
      </c>
      <c r="L187">
        <f t="shared" si="69"/>
        <v>101.5</v>
      </c>
      <c r="M187">
        <f t="shared" si="70"/>
        <v>0</v>
      </c>
      <c r="N187" s="6">
        <f t="shared" si="71"/>
        <v>0</v>
      </c>
      <c r="P187">
        <f t="shared" si="72"/>
        <v>1</v>
      </c>
      <c r="Q187" t="str">
        <f t="shared" si="73"/>
        <v>Yes</v>
      </c>
      <c r="R187" t="str">
        <f t="shared" si="74"/>
        <v>Yes</v>
      </c>
    </row>
    <row r="188" spans="1:18" x14ac:dyDescent="0.3">
      <c r="A188" s="3">
        <v>2</v>
      </c>
      <c r="B188" s="15">
        <v>1</v>
      </c>
      <c r="C188">
        <v>67</v>
      </c>
      <c r="E188">
        <v>156.68</v>
      </c>
      <c r="F188">
        <v>158.6</v>
      </c>
      <c r="G188">
        <v>160.4</v>
      </c>
      <c r="H188">
        <v>162.4</v>
      </c>
      <c r="I188">
        <v>0.23</v>
      </c>
      <c r="J188">
        <v>0.38</v>
      </c>
      <c r="K188">
        <v>0.21</v>
      </c>
      <c r="L188">
        <f t="shared" si="69"/>
        <v>159.52347517730465</v>
      </c>
      <c r="M188">
        <f t="shared" si="70"/>
        <v>0.42</v>
      </c>
      <c r="N188" s="6">
        <f t="shared" si="71"/>
        <v>66.999859574467948</v>
      </c>
      <c r="P188">
        <f t="shared" si="72"/>
        <v>0.2414</v>
      </c>
      <c r="Q188" t="str">
        <f t="shared" si="73"/>
        <v>Yes</v>
      </c>
      <c r="R188" t="str">
        <f t="shared" si="74"/>
        <v>Yes</v>
      </c>
    </row>
    <row r="189" spans="1:18" x14ac:dyDescent="0.3">
      <c r="A189" s="3">
        <v>2</v>
      </c>
      <c r="B189" s="3">
        <v>2</v>
      </c>
      <c r="C189">
        <v>0</v>
      </c>
      <c r="E189">
        <v>100</v>
      </c>
      <c r="F189">
        <v>101</v>
      </c>
      <c r="G189">
        <v>102</v>
      </c>
      <c r="H189">
        <v>103</v>
      </c>
      <c r="I189">
        <v>0</v>
      </c>
      <c r="J189">
        <v>1</v>
      </c>
      <c r="K189">
        <v>0</v>
      </c>
      <c r="L189">
        <f t="shared" si="69"/>
        <v>101.5</v>
      </c>
      <c r="M189">
        <f t="shared" si="70"/>
        <v>0</v>
      </c>
      <c r="N189" s="6">
        <f t="shared" si="71"/>
        <v>0</v>
      </c>
      <c r="P189">
        <f t="shared" si="72"/>
        <v>1</v>
      </c>
      <c r="Q189" t="str">
        <f t="shared" si="73"/>
        <v>Yes</v>
      </c>
      <c r="R189" t="str">
        <f t="shared" si="74"/>
        <v>Yes</v>
      </c>
    </row>
    <row r="190" spans="1:18" x14ac:dyDescent="0.3">
      <c r="A190" s="3">
        <v>2</v>
      </c>
      <c r="B190" s="16">
        <v>3</v>
      </c>
      <c r="C190">
        <v>64</v>
      </c>
      <c r="E190">
        <v>137.75</v>
      </c>
      <c r="F190">
        <v>138.6</v>
      </c>
      <c r="G190">
        <v>139.68</v>
      </c>
      <c r="H190">
        <v>140.5</v>
      </c>
      <c r="I190">
        <v>0.27</v>
      </c>
      <c r="J190">
        <v>0.28000000000000003</v>
      </c>
      <c r="K190">
        <v>0.33</v>
      </c>
      <c r="L190">
        <f t="shared" si="69"/>
        <v>139.13140992167132</v>
      </c>
      <c r="M190">
        <f t="shared" si="70"/>
        <v>0.45999999999999996</v>
      </c>
      <c r="N190" s="6">
        <f t="shared" si="71"/>
        <v>64.000448563968803</v>
      </c>
      <c r="P190">
        <f t="shared" si="72"/>
        <v>0.26020000000000004</v>
      </c>
      <c r="Q190" t="str">
        <f t="shared" si="73"/>
        <v>Yes</v>
      </c>
      <c r="R190" t="str">
        <f t="shared" si="74"/>
        <v>Yes</v>
      </c>
    </row>
    <row r="191" spans="1:18" x14ac:dyDescent="0.3">
      <c r="A191" s="3">
        <v>2</v>
      </c>
      <c r="B191" s="17">
        <v>4</v>
      </c>
      <c r="C191">
        <v>74</v>
      </c>
      <c r="E191">
        <v>128.4</v>
      </c>
      <c r="F191">
        <v>129.38</v>
      </c>
      <c r="G191">
        <v>130.31</v>
      </c>
      <c r="H191">
        <v>131.22</v>
      </c>
      <c r="I191">
        <v>0.8</v>
      </c>
      <c r="J191">
        <v>0.4</v>
      </c>
      <c r="K191">
        <v>0.28999999999999998</v>
      </c>
      <c r="L191">
        <f t="shared" si="69"/>
        <v>129.82456000000144</v>
      </c>
      <c r="M191">
        <f t="shared" si="70"/>
        <v>0.56999999999999995</v>
      </c>
      <c r="N191" s="6">
        <f t="shared" si="71"/>
        <v>73.999999200000815</v>
      </c>
      <c r="P191">
        <f t="shared" si="72"/>
        <v>0.88410000000000011</v>
      </c>
      <c r="Q191" t="str">
        <f t="shared" si="73"/>
        <v>Yes</v>
      </c>
      <c r="R191" t="str">
        <f t="shared" si="74"/>
        <v>Yes</v>
      </c>
    </row>
    <row r="192" spans="1:18" x14ac:dyDescent="0.3">
      <c r="A192" s="3">
        <v>2</v>
      </c>
      <c r="B192" s="5">
        <v>5</v>
      </c>
      <c r="C192">
        <v>0</v>
      </c>
      <c r="E192">
        <v>100</v>
      </c>
      <c r="F192">
        <v>101</v>
      </c>
      <c r="G192">
        <v>102</v>
      </c>
      <c r="H192">
        <v>103</v>
      </c>
      <c r="I192">
        <v>0</v>
      </c>
      <c r="J192">
        <v>1</v>
      </c>
      <c r="K192">
        <v>0</v>
      </c>
      <c r="L192">
        <f t="shared" si="69"/>
        <v>101.5</v>
      </c>
      <c r="M192">
        <f t="shared" si="70"/>
        <v>0</v>
      </c>
      <c r="N192" s="6">
        <f t="shared" si="71"/>
        <v>0</v>
      </c>
      <c r="P192">
        <f t="shared" si="72"/>
        <v>1</v>
      </c>
      <c r="Q192" t="str">
        <f t="shared" si="73"/>
        <v>Yes</v>
      </c>
      <c r="R192" t="str">
        <f t="shared" si="74"/>
        <v>Yes</v>
      </c>
    </row>
    <row r="193" spans="1:18" x14ac:dyDescent="0.3">
      <c r="A193" s="3">
        <v>2</v>
      </c>
      <c r="B193" s="18">
        <v>6</v>
      </c>
      <c r="C193">
        <v>0</v>
      </c>
      <c r="E193">
        <v>100</v>
      </c>
      <c r="F193">
        <v>101</v>
      </c>
      <c r="G193">
        <v>102</v>
      </c>
      <c r="H193">
        <v>103</v>
      </c>
      <c r="I193">
        <v>0</v>
      </c>
      <c r="J193">
        <v>1</v>
      </c>
      <c r="K193">
        <v>0</v>
      </c>
      <c r="L193">
        <f t="shared" si="69"/>
        <v>101.5</v>
      </c>
      <c r="M193">
        <f t="shared" si="70"/>
        <v>0</v>
      </c>
      <c r="N193" s="6">
        <f t="shared" si="71"/>
        <v>0</v>
      </c>
      <c r="P193">
        <f t="shared" si="72"/>
        <v>1</v>
      </c>
      <c r="Q193" t="str">
        <f t="shared" si="73"/>
        <v>Yes</v>
      </c>
      <c r="R193" t="str">
        <f t="shared" si="74"/>
        <v>Yes</v>
      </c>
    </row>
    <row r="194" spans="1:18" x14ac:dyDescent="0.3">
      <c r="A194" s="16">
        <v>3</v>
      </c>
      <c r="B194" s="15">
        <v>1</v>
      </c>
      <c r="C194">
        <v>72</v>
      </c>
      <c r="E194">
        <v>117.2</v>
      </c>
      <c r="F194">
        <v>118.16</v>
      </c>
      <c r="G194">
        <v>119.15</v>
      </c>
      <c r="H194">
        <v>120.2</v>
      </c>
      <c r="I194">
        <v>0.6</v>
      </c>
      <c r="J194">
        <v>0.21</v>
      </c>
      <c r="K194">
        <v>0.36</v>
      </c>
      <c r="L194">
        <f t="shared" si="69"/>
        <v>118.68127819548853</v>
      </c>
      <c r="M194">
        <f t="shared" si="70"/>
        <v>0.60666666666666669</v>
      </c>
      <c r="N194" s="6">
        <f t="shared" si="71"/>
        <v>71.99997543859638</v>
      </c>
      <c r="P194">
        <f t="shared" si="72"/>
        <v>0.53369999999999995</v>
      </c>
      <c r="Q194" t="str">
        <f t="shared" si="73"/>
        <v>Yes</v>
      </c>
      <c r="R194" t="str">
        <f t="shared" si="74"/>
        <v>Yes</v>
      </c>
    </row>
    <row r="195" spans="1:18" x14ac:dyDescent="0.3">
      <c r="A195" s="16">
        <v>3</v>
      </c>
      <c r="B195" s="3">
        <v>2</v>
      </c>
      <c r="C195">
        <v>0</v>
      </c>
      <c r="E195">
        <v>100</v>
      </c>
      <c r="F195">
        <v>101</v>
      </c>
      <c r="G195">
        <v>102</v>
      </c>
      <c r="H195">
        <v>103</v>
      </c>
      <c r="I195">
        <v>0</v>
      </c>
      <c r="J195">
        <v>1</v>
      </c>
      <c r="K195">
        <v>0</v>
      </c>
      <c r="L195">
        <f t="shared" si="69"/>
        <v>101.5</v>
      </c>
      <c r="M195">
        <f t="shared" si="70"/>
        <v>0</v>
      </c>
      <c r="N195" s="6">
        <f t="shared" si="71"/>
        <v>0</v>
      </c>
      <c r="P195">
        <f t="shared" si="72"/>
        <v>1</v>
      </c>
      <c r="Q195" t="str">
        <f t="shared" si="73"/>
        <v>Yes</v>
      </c>
      <c r="R195" t="str">
        <f t="shared" si="74"/>
        <v>Yes</v>
      </c>
    </row>
    <row r="196" spans="1:18" x14ac:dyDescent="0.3">
      <c r="A196" s="16">
        <v>3</v>
      </c>
      <c r="B196" s="16">
        <v>3</v>
      </c>
      <c r="C196">
        <v>73</v>
      </c>
      <c r="E196">
        <v>114.48</v>
      </c>
      <c r="F196">
        <v>115.45</v>
      </c>
      <c r="G196">
        <v>116.36</v>
      </c>
      <c r="H196">
        <v>117.22</v>
      </c>
      <c r="I196">
        <v>0.81</v>
      </c>
      <c r="J196">
        <v>0.35</v>
      </c>
      <c r="K196">
        <v>0.22</v>
      </c>
      <c r="L196">
        <f t="shared" si="69"/>
        <v>115.87290410958931</v>
      </c>
      <c r="M196">
        <f t="shared" si="70"/>
        <v>0.63</v>
      </c>
      <c r="N196" s="6">
        <f t="shared" si="71"/>
        <v>72.999929589041272</v>
      </c>
      <c r="P196">
        <f t="shared" si="72"/>
        <v>0.82700000000000007</v>
      </c>
      <c r="Q196" t="str">
        <f t="shared" si="73"/>
        <v>Yes</v>
      </c>
      <c r="R196" t="str">
        <f t="shared" si="74"/>
        <v>Yes</v>
      </c>
    </row>
    <row r="197" spans="1:18" x14ac:dyDescent="0.3">
      <c r="A197" s="16">
        <v>3</v>
      </c>
      <c r="B197" s="17">
        <v>4</v>
      </c>
      <c r="C197">
        <v>86</v>
      </c>
      <c r="E197">
        <v>141.05000000000001</v>
      </c>
      <c r="F197">
        <v>142.04</v>
      </c>
      <c r="G197">
        <v>143.02000000000001</v>
      </c>
      <c r="H197">
        <v>144.05000000000001</v>
      </c>
      <c r="I197">
        <v>0.52</v>
      </c>
      <c r="J197">
        <v>0.28000000000000003</v>
      </c>
      <c r="K197">
        <v>0.15</v>
      </c>
      <c r="L197">
        <f t="shared" si="69"/>
        <v>142.54169179229419</v>
      </c>
      <c r="M197">
        <f t="shared" si="70"/>
        <v>0.60333333333333339</v>
      </c>
      <c r="N197" s="6">
        <f t="shared" si="71"/>
        <v>86.000154048017507</v>
      </c>
      <c r="P197">
        <f t="shared" si="72"/>
        <v>0.37130000000000007</v>
      </c>
      <c r="Q197" t="str">
        <f t="shared" si="73"/>
        <v>Yes</v>
      </c>
      <c r="R197" t="str">
        <f t="shared" si="74"/>
        <v>Yes</v>
      </c>
    </row>
    <row r="198" spans="1:18" x14ac:dyDescent="0.3">
      <c r="A198" s="16">
        <v>3</v>
      </c>
      <c r="B198" s="5">
        <v>5</v>
      </c>
      <c r="C198">
        <v>0</v>
      </c>
      <c r="E198">
        <v>100</v>
      </c>
      <c r="F198">
        <v>101</v>
      </c>
      <c r="G198">
        <v>102</v>
      </c>
      <c r="H198">
        <v>103</v>
      </c>
      <c r="I198">
        <v>0</v>
      </c>
      <c r="J198">
        <v>1</v>
      </c>
      <c r="K198">
        <v>0</v>
      </c>
      <c r="L198">
        <f t="shared" si="69"/>
        <v>101.5</v>
      </c>
      <c r="M198">
        <f t="shared" si="70"/>
        <v>0</v>
      </c>
      <c r="N198" s="6">
        <f t="shared" si="71"/>
        <v>0</v>
      </c>
      <c r="P198">
        <f t="shared" si="72"/>
        <v>1</v>
      </c>
      <c r="Q198" t="str">
        <f t="shared" si="73"/>
        <v>Yes</v>
      </c>
      <c r="R198" t="str">
        <f t="shared" si="74"/>
        <v>Yes</v>
      </c>
    </row>
    <row r="199" spans="1:18" x14ac:dyDescent="0.3">
      <c r="A199" s="16">
        <v>3</v>
      </c>
      <c r="B199" s="18">
        <v>6</v>
      </c>
      <c r="C199">
        <v>0</v>
      </c>
      <c r="E199">
        <v>100</v>
      </c>
      <c r="F199">
        <v>101</v>
      </c>
      <c r="G199">
        <v>102</v>
      </c>
      <c r="H199">
        <v>103</v>
      </c>
      <c r="I199">
        <v>0</v>
      </c>
      <c r="J199">
        <v>1</v>
      </c>
      <c r="K199">
        <v>0</v>
      </c>
      <c r="L199">
        <f t="shared" si="69"/>
        <v>101.5</v>
      </c>
      <c r="M199">
        <f t="shared" si="70"/>
        <v>0</v>
      </c>
      <c r="N199" s="6">
        <f t="shared" si="71"/>
        <v>0</v>
      </c>
      <c r="P199">
        <f t="shared" si="72"/>
        <v>1</v>
      </c>
      <c r="Q199" t="str">
        <f t="shared" si="73"/>
        <v>Yes</v>
      </c>
      <c r="R199" t="str">
        <f t="shared" si="74"/>
        <v>Yes</v>
      </c>
    </row>
    <row r="200" spans="1:18" x14ac:dyDescent="0.3">
      <c r="N200" s="6"/>
    </row>
    <row r="201" spans="1:18" x14ac:dyDescent="0.3">
      <c r="N201" s="6"/>
    </row>
    <row r="203" spans="1:18" x14ac:dyDescent="0.3">
      <c r="A203" t="s">
        <v>152</v>
      </c>
    </row>
    <row r="204" spans="1:18" x14ac:dyDescent="0.3">
      <c r="A204" s="10" t="s">
        <v>144</v>
      </c>
    </row>
    <row r="205" spans="1:18" x14ac:dyDescent="0.3">
      <c r="A205" s="11" t="s">
        <v>145</v>
      </c>
    </row>
    <row r="207" spans="1:18" x14ac:dyDescent="0.3">
      <c r="A207" t="s">
        <v>71</v>
      </c>
      <c r="B207" t="s">
        <v>10</v>
      </c>
      <c r="C207" t="s">
        <v>153</v>
      </c>
      <c r="E207" s="2" t="s">
        <v>4</v>
      </c>
      <c r="F207" s="2" t="s">
        <v>5</v>
      </c>
      <c r="G207" s="2" t="s">
        <v>6</v>
      </c>
      <c r="H207" s="2" t="s">
        <v>7</v>
      </c>
      <c r="I207" s="3" t="s">
        <v>8</v>
      </c>
      <c r="J207" s="3" t="s">
        <v>9</v>
      </c>
      <c r="K207" s="3" t="s">
        <v>10</v>
      </c>
      <c r="L207" s="4" t="s">
        <v>13</v>
      </c>
      <c r="M207" s="4" t="s">
        <v>12</v>
      </c>
      <c r="N207" s="5" t="s">
        <v>11</v>
      </c>
      <c r="P207" t="s">
        <v>14</v>
      </c>
      <c r="Q207" t="s">
        <v>30</v>
      </c>
      <c r="R207" t="s">
        <v>31</v>
      </c>
    </row>
    <row r="208" spans="1:18" x14ac:dyDescent="0.3">
      <c r="A208" s="15">
        <v>1</v>
      </c>
      <c r="B208" s="15">
        <v>1</v>
      </c>
      <c r="C208">
        <v>89</v>
      </c>
      <c r="E208">
        <v>181.57</v>
      </c>
      <c r="F208">
        <v>182.4</v>
      </c>
      <c r="G208">
        <v>183.3</v>
      </c>
      <c r="H208">
        <v>184.22</v>
      </c>
      <c r="I208">
        <v>0.65</v>
      </c>
      <c r="J208">
        <v>0.43</v>
      </c>
      <c r="K208">
        <v>0.33</v>
      </c>
      <c r="L208">
        <f>((G208^2)+(G208*H208)+(H208^2)-(E208^2)-(E208*F208)-(F208^2))/(3*(H208+G208-E208-F208))</f>
        <v>182.87619718310046</v>
      </c>
      <c r="M208">
        <f>(I208-(2*J208)-K208+2)/3</f>
        <v>0.48666666666666664</v>
      </c>
      <c r="N208" s="6">
        <f>L208*M208</f>
        <v>88.999749295775544</v>
      </c>
      <c r="P208">
        <f>I208^2+J208^2+K208^2</f>
        <v>0.71630000000000005</v>
      </c>
      <c r="Q208" t="str">
        <f>IF(AND(P208&gt;=0,P208&lt;=1),"Yes","No")</f>
        <v>Yes</v>
      </c>
      <c r="R208" t="str">
        <f>IF(ROUND(N208,2)=C208,"Yes","No")</f>
        <v>Yes</v>
      </c>
    </row>
    <row r="209" spans="1:18" x14ac:dyDescent="0.3">
      <c r="A209" s="15">
        <v>1</v>
      </c>
      <c r="B209" s="3">
        <v>2</v>
      </c>
      <c r="C209">
        <v>0</v>
      </c>
      <c r="E209">
        <v>100</v>
      </c>
      <c r="F209">
        <v>101</v>
      </c>
      <c r="G209">
        <v>102</v>
      </c>
      <c r="H209">
        <v>103</v>
      </c>
      <c r="I209">
        <v>0</v>
      </c>
      <c r="J209">
        <v>1</v>
      </c>
      <c r="K209">
        <v>0</v>
      </c>
      <c r="L209">
        <f t="shared" ref="L209:L219" si="75">((G209^2)+(G209*H209)+(H209^2)-(E209^2)-(E209*F209)-(F209^2))/(3*(H209+G209-E209-F209))</f>
        <v>101.5</v>
      </c>
      <c r="M209">
        <f t="shared" ref="M209:M219" si="76">(I209-(2*J209)-K209+2)/3</f>
        <v>0</v>
      </c>
      <c r="N209" s="6">
        <f t="shared" ref="N209:N219" si="77">L209*M209</f>
        <v>0</v>
      </c>
      <c r="P209">
        <f t="shared" ref="P209:P219" si="78">I209^2+J209^2+K209^2</f>
        <v>1</v>
      </c>
      <c r="Q209" t="str">
        <f t="shared" ref="Q209:Q219" si="79">IF(AND(P209&gt;=0,P209&lt;=1),"Yes","No")</f>
        <v>Yes</v>
      </c>
      <c r="R209" t="str">
        <f t="shared" ref="R209:R219" si="80">IF(ROUND(N209,2)=C209,"Yes","No")</f>
        <v>Yes</v>
      </c>
    </row>
    <row r="210" spans="1:18" x14ac:dyDescent="0.3">
      <c r="A210" s="15">
        <v>1</v>
      </c>
      <c r="B210" s="16">
        <v>3</v>
      </c>
      <c r="C210">
        <v>105</v>
      </c>
      <c r="E210">
        <v>156</v>
      </c>
      <c r="F210">
        <v>157</v>
      </c>
      <c r="G210">
        <v>158</v>
      </c>
      <c r="H210">
        <v>159</v>
      </c>
      <c r="I210">
        <v>0.8</v>
      </c>
      <c r="J210">
        <v>0.21</v>
      </c>
      <c r="K210">
        <v>0.38</v>
      </c>
      <c r="L210">
        <f t="shared" si="75"/>
        <v>157.5</v>
      </c>
      <c r="M210">
        <f t="shared" si="76"/>
        <v>0.66666666666666663</v>
      </c>
      <c r="N210" s="6">
        <f t="shared" si="77"/>
        <v>105</v>
      </c>
      <c r="P210">
        <f t="shared" si="78"/>
        <v>0.82850000000000013</v>
      </c>
      <c r="Q210" t="str">
        <f t="shared" si="79"/>
        <v>Yes</v>
      </c>
      <c r="R210" t="str">
        <f t="shared" si="80"/>
        <v>Yes</v>
      </c>
    </row>
    <row r="211" spans="1:18" x14ac:dyDescent="0.3">
      <c r="A211" s="15">
        <v>1</v>
      </c>
      <c r="B211" s="17">
        <v>4</v>
      </c>
      <c r="C211">
        <v>89</v>
      </c>
      <c r="E211">
        <v>167.51</v>
      </c>
      <c r="F211">
        <v>168.46</v>
      </c>
      <c r="G211">
        <v>169.52</v>
      </c>
      <c r="H211">
        <v>170.46</v>
      </c>
      <c r="I211">
        <v>0.78</v>
      </c>
      <c r="J211">
        <v>0.35</v>
      </c>
      <c r="K211">
        <v>0.5</v>
      </c>
      <c r="L211">
        <f t="shared" si="75"/>
        <v>168.98710723192087</v>
      </c>
      <c r="M211">
        <f t="shared" si="76"/>
        <v>0.52666666666666673</v>
      </c>
      <c r="N211" s="6">
        <f t="shared" si="77"/>
        <v>88.999876475478331</v>
      </c>
      <c r="P211">
        <f t="shared" si="78"/>
        <v>0.98089999999999999</v>
      </c>
      <c r="Q211" t="str">
        <f t="shared" si="79"/>
        <v>Yes</v>
      </c>
      <c r="R211" t="str">
        <f t="shared" si="80"/>
        <v>Yes</v>
      </c>
    </row>
    <row r="212" spans="1:18" x14ac:dyDescent="0.3">
      <c r="A212" s="15">
        <v>1</v>
      </c>
      <c r="B212" s="5">
        <v>5</v>
      </c>
      <c r="C212">
        <v>0</v>
      </c>
      <c r="E212">
        <v>100</v>
      </c>
      <c r="F212">
        <v>101</v>
      </c>
      <c r="G212">
        <v>102</v>
      </c>
      <c r="H212">
        <v>103</v>
      </c>
      <c r="I212">
        <v>0</v>
      </c>
      <c r="J212">
        <v>1</v>
      </c>
      <c r="K212">
        <v>0</v>
      </c>
      <c r="L212">
        <f t="shared" si="75"/>
        <v>101.5</v>
      </c>
      <c r="M212">
        <f t="shared" si="76"/>
        <v>0</v>
      </c>
      <c r="N212" s="6">
        <f t="shared" si="77"/>
        <v>0</v>
      </c>
      <c r="P212">
        <f t="shared" si="78"/>
        <v>1</v>
      </c>
      <c r="Q212" t="str">
        <f t="shared" si="79"/>
        <v>Yes</v>
      </c>
      <c r="R212" t="str">
        <f t="shared" si="80"/>
        <v>Yes</v>
      </c>
    </row>
    <row r="213" spans="1:18" x14ac:dyDescent="0.3">
      <c r="A213" s="15">
        <v>1</v>
      </c>
      <c r="B213" s="18">
        <v>6</v>
      </c>
      <c r="C213">
        <v>0</v>
      </c>
      <c r="E213">
        <v>100</v>
      </c>
      <c r="F213">
        <v>101</v>
      </c>
      <c r="G213">
        <v>102</v>
      </c>
      <c r="H213">
        <v>103</v>
      </c>
      <c r="I213">
        <v>0</v>
      </c>
      <c r="J213">
        <v>1</v>
      </c>
      <c r="K213">
        <v>0</v>
      </c>
      <c r="L213">
        <f t="shared" si="75"/>
        <v>101.5</v>
      </c>
      <c r="M213">
        <f t="shared" si="76"/>
        <v>0</v>
      </c>
      <c r="N213" s="6">
        <f t="shared" si="77"/>
        <v>0</v>
      </c>
      <c r="P213">
        <f t="shared" si="78"/>
        <v>1</v>
      </c>
      <c r="Q213" t="str">
        <f t="shared" si="79"/>
        <v>Yes</v>
      </c>
      <c r="R213" t="str">
        <f t="shared" si="80"/>
        <v>Yes</v>
      </c>
    </row>
    <row r="214" spans="1:18" x14ac:dyDescent="0.3">
      <c r="A214" s="3">
        <v>2</v>
      </c>
      <c r="B214" s="15">
        <v>1</v>
      </c>
      <c r="C214">
        <v>77</v>
      </c>
      <c r="E214">
        <v>123.32</v>
      </c>
      <c r="F214">
        <v>124.34</v>
      </c>
      <c r="G214">
        <v>125.4</v>
      </c>
      <c r="H214">
        <v>126.4</v>
      </c>
      <c r="I214">
        <v>0.67</v>
      </c>
      <c r="J214">
        <v>0.25</v>
      </c>
      <c r="K214">
        <v>0.32</v>
      </c>
      <c r="L214">
        <f t="shared" si="75"/>
        <v>124.86418679549074</v>
      </c>
      <c r="M214">
        <f t="shared" si="76"/>
        <v>0.6166666666666667</v>
      </c>
      <c r="N214" s="6">
        <f t="shared" si="77"/>
        <v>76.999581857219297</v>
      </c>
      <c r="P214">
        <f t="shared" si="78"/>
        <v>0.61380000000000012</v>
      </c>
      <c r="Q214" t="str">
        <f t="shared" si="79"/>
        <v>Yes</v>
      </c>
      <c r="R214" t="str">
        <f t="shared" si="80"/>
        <v>Yes</v>
      </c>
    </row>
    <row r="215" spans="1:18" x14ac:dyDescent="0.3">
      <c r="A215" s="3">
        <v>2</v>
      </c>
      <c r="B215" s="3">
        <v>2</v>
      </c>
      <c r="C215">
        <v>0</v>
      </c>
      <c r="E215">
        <v>100</v>
      </c>
      <c r="F215">
        <v>101</v>
      </c>
      <c r="G215">
        <v>102</v>
      </c>
      <c r="H215">
        <v>103</v>
      </c>
      <c r="I215">
        <v>0</v>
      </c>
      <c r="J215">
        <v>1</v>
      </c>
      <c r="K215">
        <v>0</v>
      </c>
      <c r="L215">
        <f t="shared" si="75"/>
        <v>101.5</v>
      </c>
      <c r="M215">
        <f t="shared" si="76"/>
        <v>0</v>
      </c>
      <c r="N215" s="6">
        <f t="shared" si="77"/>
        <v>0</v>
      </c>
      <c r="P215">
        <f t="shared" si="78"/>
        <v>1</v>
      </c>
      <c r="Q215" t="str">
        <f t="shared" si="79"/>
        <v>Yes</v>
      </c>
      <c r="R215" t="str">
        <f t="shared" si="80"/>
        <v>Yes</v>
      </c>
    </row>
    <row r="216" spans="1:18" x14ac:dyDescent="0.3">
      <c r="A216" s="3">
        <v>2</v>
      </c>
      <c r="B216" s="16">
        <v>3</v>
      </c>
      <c r="C216">
        <v>99</v>
      </c>
      <c r="E216">
        <v>177.5</v>
      </c>
      <c r="F216">
        <v>178.35</v>
      </c>
      <c r="G216">
        <v>179.5</v>
      </c>
      <c r="H216">
        <v>180.32</v>
      </c>
      <c r="I216">
        <v>0.76</v>
      </c>
      <c r="J216">
        <v>0.39</v>
      </c>
      <c r="K216">
        <v>0.32</v>
      </c>
      <c r="L216">
        <f t="shared" si="75"/>
        <v>178.91644836272101</v>
      </c>
      <c r="M216">
        <f t="shared" si="76"/>
        <v>0.55333333333333334</v>
      </c>
      <c r="N216" s="6">
        <f t="shared" si="77"/>
        <v>99.00043476070563</v>
      </c>
      <c r="P216">
        <f t="shared" si="78"/>
        <v>0.83210000000000006</v>
      </c>
      <c r="Q216" t="str">
        <f t="shared" si="79"/>
        <v>Yes</v>
      </c>
      <c r="R216" t="str">
        <f t="shared" si="80"/>
        <v>Yes</v>
      </c>
    </row>
    <row r="217" spans="1:18" x14ac:dyDescent="0.3">
      <c r="A217" s="3">
        <v>2</v>
      </c>
      <c r="B217" s="17">
        <v>4</v>
      </c>
      <c r="C217">
        <v>102</v>
      </c>
      <c r="E217">
        <v>141.12</v>
      </c>
      <c r="F217">
        <v>151.12</v>
      </c>
      <c r="G217">
        <v>161.12</v>
      </c>
      <c r="H217">
        <v>171.13</v>
      </c>
      <c r="I217">
        <v>0.67</v>
      </c>
      <c r="J217">
        <v>0.31</v>
      </c>
      <c r="K217">
        <v>0.09</v>
      </c>
      <c r="L217">
        <f t="shared" si="75"/>
        <v>156.12291677080736</v>
      </c>
      <c r="M217">
        <f t="shared" si="76"/>
        <v>0.65333333333333332</v>
      </c>
      <c r="N217" s="6">
        <f t="shared" si="77"/>
        <v>102.00030562359414</v>
      </c>
      <c r="P217">
        <f t="shared" si="78"/>
        <v>0.55310000000000004</v>
      </c>
      <c r="Q217" t="str">
        <f t="shared" si="79"/>
        <v>Yes</v>
      </c>
      <c r="R217" t="str">
        <f t="shared" si="80"/>
        <v>Yes</v>
      </c>
    </row>
    <row r="218" spans="1:18" x14ac:dyDescent="0.3">
      <c r="A218" s="3">
        <v>2</v>
      </c>
      <c r="B218" s="5">
        <v>5</v>
      </c>
      <c r="C218">
        <v>0</v>
      </c>
      <c r="E218">
        <v>100</v>
      </c>
      <c r="F218">
        <v>101</v>
      </c>
      <c r="G218">
        <v>102</v>
      </c>
      <c r="H218">
        <v>103</v>
      </c>
      <c r="I218">
        <v>0</v>
      </c>
      <c r="J218">
        <v>1</v>
      </c>
      <c r="K218">
        <v>0</v>
      </c>
      <c r="L218">
        <f t="shared" si="75"/>
        <v>101.5</v>
      </c>
      <c r="M218">
        <f t="shared" si="76"/>
        <v>0</v>
      </c>
      <c r="N218" s="6">
        <f t="shared" si="77"/>
        <v>0</v>
      </c>
      <c r="P218">
        <f t="shared" si="78"/>
        <v>1</v>
      </c>
      <c r="Q218" t="str">
        <f t="shared" si="79"/>
        <v>Yes</v>
      </c>
      <c r="R218" t="str">
        <f t="shared" si="80"/>
        <v>Yes</v>
      </c>
    </row>
    <row r="219" spans="1:18" x14ac:dyDescent="0.3">
      <c r="A219" s="3">
        <v>2</v>
      </c>
      <c r="B219" s="18">
        <v>6</v>
      </c>
      <c r="C219">
        <v>0</v>
      </c>
      <c r="E219">
        <v>100</v>
      </c>
      <c r="F219">
        <v>101</v>
      </c>
      <c r="G219">
        <v>102</v>
      </c>
      <c r="H219">
        <v>103</v>
      </c>
      <c r="I219">
        <v>0</v>
      </c>
      <c r="J219">
        <v>1</v>
      </c>
      <c r="K219">
        <v>0</v>
      </c>
      <c r="L219">
        <f t="shared" si="75"/>
        <v>101.5</v>
      </c>
      <c r="M219">
        <f t="shared" si="76"/>
        <v>0</v>
      </c>
      <c r="N219" s="6">
        <f t="shared" si="77"/>
        <v>0</v>
      </c>
      <c r="P219">
        <f t="shared" si="78"/>
        <v>1</v>
      </c>
      <c r="Q219" t="str">
        <f t="shared" si="79"/>
        <v>Yes</v>
      </c>
      <c r="R219" t="str">
        <f t="shared" si="80"/>
        <v>Yes</v>
      </c>
    </row>
    <row r="223" spans="1:18" x14ac:dyDescent="0.3">
      <c r="A223" t="s">
        <v>154</v>
      </c>
    </row>
    <row r="224" spans="1:18" x14ac:dyDescent="0.3">
      <c r="A224" s="10" t="s">
        <v>155</v>
      </c>
    </row>
    <row r="226" spans="1:16" x14ac:dyDescent="0.3">
      <c r="A226" t="s">
        <v>156</v>
      </c>
      <c r="C226" s="2" t="s">
        <v>4</v>
      </c>
      <c r="D226" s="2" t="s">
        <v>5</v>
      </c>
      <c r="E226" s="2" t="s">
        <v>6</v>
      </c>
      <c r="F226" s="2" t="s">
        <v>7</v>
      </c>
      <c r="G226" s="3" t="s">
        <v>8</v>
      </c>
      <c r="H226" s="3" t="s">
        <v>9</v>
      </c>
      <c r="I226" s="3" t="s">
        <v>10</v>
      </c>
      <c r="J226" s="4" t="s">
        <v>13</v>
      </c>
      <c r="K226" s="4" t="s">
        <v>12</v>
      </c>
      <c r="L226" s="5" t="s">
        <v>11</v>
      </c>
      <c r="N226" t="s">
        <v>14</v>
      </c>
      <c r="O226" t="s">
        <v>30</v>
      </c>
      <c r="P226" t="s">
        <v>31</v>
      </c>
    </row>
    <row r="227" spans="1:16" x14ac:dyDescent="0.3">
      <c r="A227">
        <v>500</v>
      </c>
      <c r="C227">
        <v>554.19000000000005</v>
      </c>
      <c r="D227">
        <v>654.36</v>
      </c>
      <c r="E227">
        <v>754.19</v>
      </c>
      <c r="F227">
        <v>854.19</v>
      </c>
      <c r="G227">
        <v>0.77</v>
      </c>
      <c r="H227">
        <v>0.23</v>
      </c>
      <c r="I227">
        <v>0.18</v>
      </c>
      <c r="J227">
        <f>((E227^2)+(E227*F227)+(F227^2)-(C227^2)-(C227*D227)-(D227^2))/(3*(F227+E227-C227-D227))</f>
        <v>704.22540763157656</v>
      </c>
      <c r="K227">
        <f>(G227-(2*H227)-I227+2)/3</f>
        <v>0.71</v>
      </c>
      <c r="L227" s="6">
        <f>J227*K227</f>
        <v>500.00003941841931</v>
      </c>
      <c r="N227">
        <f>G227^2+H227^2+I227^2</f>
        <v>0.67819999999999991</v>
      </c>
      <c r="O227" t="str">
        <f>IF(AND(N227&gt;=0,N227&lt;=1),"Yes","No")</f>
        <v>Yes</v>
      </c>
      <c r="P227" t="str">
        <f>IF(ROUND(L227,2)=A227,"Yes","No")</f>
        <v>Yes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B707-5686-4CDE-9BCE-39AA0DFD4B78}">
  <dimension ref="A1:AC721"/>
  <sheetViews>
    <sheetView topLeftCell="D175" zoomScaleNormal="100" workbookViewId="0">
      <selection activeCell="AG196" sqref="AG196"/>
    </sheetView>
  </sheetViews>
  <sheetFormatPr defaultRowHeight="14.4" x14ac:dyDescent="0.3"/>
  <cols>
    <col min="4" max="4" width="10.109375" customWidth="1"/>
  </cols>
  <sheetData>
    <row r="1" spans="1:27" x14ac:dyDescent="0.3">
      <c r="E1" s="61" t="s">
        <v>174</v>
      </c>
      <c r="F1" s="61"/>
      <c r="T1" s="63" t="s">
        <v>177</v>
      </c>
      <c r="U1" s="63"/>
      <c r="V1" s="63"/>
      <c r="W1" s="63"/>
      <c r="X1" s="63"/>
      <c r="Y1" s="63"/>
      <c r="Z1" s="63"/>
      <c r="AA1" s="63"/>
    </row>
    <row r="2" spans="1:27" x14ac:dyDescent="0.3">
      <c r="B2" t="s">
        <v>172</v>
      </c>
      <c r="C2" t="s">
        <v>173</v>
      </c>
      <c r="E2" t="s">
        <v>160</v>
      </c>
      <c r="F2" t="s">
        <v>161</v>
      </c>
    </row>
    <row r="3" spans="1:27" x14ac:dyDescent="0.3">
      <c r="A3" t="s">
        <v>158</v>
      </c>
      <c r="B3">
        <v>815497.45</v>
      </c>
      <c r="C3">
        <v>821882.7</v>
      </c>
      <c r="E3">
        <v>815497.45</v>
      </c>
      <c r="F3">
        <v>818710.3</v>
      </c>
    </row>
    <row r="4" spans="1:27" x14ac:dyDescent="0.3">
      <c r="A4" t="s">
        <v>171</v>
      </c>
      <c r="B4">
        <v>4841.118381581</v>
      </c>
      <c r="C4">
        <v>4754.1997030590001</v>
      </c>
      <c r="E4">
        <v>4840.7044030870002</v>
      </c>
      <c r="F4">
        <v>4741.7772567669999</v>
      </c>
      <c r="T4" s="13" t="s">
        <v>85</v>
      </c>
      <c r="U4" s="13"/>
      <c r="V4" s="13"/>
    </row>
    <row r="5" spans="1:27" x14ac:dyDescent="0.3">
      <c r="T5" s="10" t="s">
        <v>74</v>
      </c>
    </row>
    <row r="6" spans="1:27" x14ac:dyDescent="0.3">
      <c r="A6" t="s">
        <v>175</v>
      </c>
      <c r="B6" t="s">
        <v>188</v>
      </c>
    </row>
    <row r="7" spans="1:27" x14ac:dyDescent="0.3">
      <c r="A7" t="s">
        <v>176</v>
      </c>
      <c r="B7" t="s">
        <v>189</v>
      </c>
      <c r="T7" t="s">
        <v>40</v>
      </c>
      <c r="U7" t="s">
        <v>83</v>
      </c>
      <c r="W7" s="20">
        <v>0.01</v>
      </c>
      <c r="X7" s="20">
        <v>0.02</v>
      </c>
      <c r="Y7" s="20">
        <v>0.03</v>
      </c>
      <c r="Z7" s="20">
        <v>0.04</v>
      </c>
      <c r="AA7" s="20">
        <v>0.05</v>
      </c>
    </row>
    <row r="8" spans="1:27" x14ac:dyDescent="0.3">
      <c r="T8">
        <v>1</v>
      </c>
      <c r="U8">
        <v>2.2999999999999998</v>
      </c>
      <c r="W8">
        <f>U8+(U8*1%)</f>
        <v>2.323</v>
      </c>
      <c r="X8">
        <f>U8+(U8*2%)</f>
        <v>2.3459999999999996</v>
      </c>
      <c r="Y8">
        <f>U8+(U8*3%)</f>
        <v>2.3689999999999998</v>
      </c>
      <c r="Z8">
        <f>U8+(U8*4%)</f>
        <v>2.3919999999999999</v>
      </c>
      <c r="AA8">
        <f>U8+(U8*5%)</f>
        <v>2.415</v>
      </c>
    </row>
    <row r="9" spans="1:27" x14ac:dyDescent="0.3">
      <c r="A9" s="62" t="s">
        <v>157</v>
      </c>
      <c r="B9" s="62"/>
      <c r="C9" s="62"/>
      <c r="D9" s="62"/>
      <c r="E9" s="62"/>
      <c r="F9" s="62"/>
      <c r="G9" s="62"/>
      <c r="H9" s="62"/>
      <c r="T9" s="1">
        <v>2</v>
      </c>
      <c r="U9">
        <v>2.4</v>
      </c>
      <c r="W9">
        <f t="shared" ref="W9" si="0">U9+(U9*1%)</f>
        <v>2.4239999999999999</v>
      </c>
      <c r="X9">
        <f t="shared" ref="X9" si="1">U9+(U9*2%)</f>
        <v>2.448</v>
      </c>
      <c r="Y9">
        <f t="shared" ref="Y9" si="2">U9+(U9*3%)</f>
        <v>2.472</v>
      </c>
      <c r="Z9">
        <f t="shared" ref="Z9" si="3">U9+(U9*4%)</f>
        <v>2.496</v>
      </c>
      <c r="AA9">
        <f t="shared" ref="AA9" si="4">U9+(U9*5%)</f>
        <v>2.52</v>
      </c>
    </row>
    <row r="10" spans="1:27" x14ac:dyDescent="0.3">
      <c r="T10">
        <v>3</v>
      </c>
      <c r="U10">
        <v>1.3</v>
      </c>
      <c r="W10">
        <f t="shared" ref="W10" si="5">U10+(U10*1%)</f>
        <v>1.3129999999999999</v>
      </c>
      <c r="X10">
        <f t="shared" ref="X10" si="6">U10+(U10*2%)</f>
        <v>1.3260000000000001</v>
      </c>
      <c r="Y10">
        <f t="shared" ref="Y10" si="7">U10+(U10*3%)</f>
        <v>1.339</v>
      </c>
      <c r="Z10">
        <f t="shared" ref="Z10" si="8">U10+(U10*4%)</f>
        <v>1.3520000000000001</v>
      </c>
      <c r="AA10">
        <f t="shared" ref="AA10" si="9">U10+(U10*5%)</f>
        <v>1.365</v>
      </c>
    </row>
    <row r="11" spans="1:27" x14ac:dyDescent="0.3">
      <c r="A11" s="61" t="s">
        <v>1</v>
      </c>
      <c r="B11" s="61"/>
      <c r="C11" s="61"/>
      <c r="D11" s="61"/>
      <c r="E11" s="61"/>
      <c r="F11" s="61"/>
      <c r="G11" s="61"/>
      <c r="H11" s="61"/>
    </row>
    <row r="12" spans="1:27" x14ac:dyDescent="0.3">
      <c r="A12" s="1" t="s">
        <v>0</v>
      </c>
      <c r="T12" t="s">
        <v>190</v>
      </c>
      <c r="U12" t="s">
        <v>160</v>
      </c>
      <c r="W12" s="16">
        <f>(W13-U13)/U13*100</f>
        <v>6.189096213123986E-2</v>
      </c>
      <c r="X12" s="16">
        <f>(X13-U13)/U13*100</f>
        <v>0.12378192426247972</v>
      </c>
      <c r="Y12" s="16">
        <f>(Y13-U13)/U13*100</f>
        <v>0.1856728864143869</v>
      </c>
      <c r="Z12" s="16">
        <f>(Z13-U13)/U13*100</f>
        <v>0.24756384854562677</v>
      </c>
      <c r="AA12" s="16">
        <f>(AA13-U13)/U13*100</f>
        <v>0.30945481069753394</v>
      </c>
    </row>
    <row r="13" spans="1:27" x14ac:dyDescent="0.3">
      <c r="T13" t="s">
        <v>178</v>
      </c>
      <c r="U13">
        <v>4840.7044030870002</v>
      </c>
      <c r="W13" s="21">
        <v>4843.700361616</v>
      </c>
      <c r="X13" s="21">
        <v>4846.6963201449998</v>
      </c>
      <c r="Y13" s="21">
        <v>4849.6922786750001</v>
      </c>
      <c r="Z13" s="25">
        <v>4852.688237204</v>
      </c>
      <c r="AA13" s="21">
        <v>4855.6841957340002</v>
      </c>
    </row>
    <row r="14" spans="1:27" x14ac:dyDescent="0.3">
      <c r="A14" t="s">
        <v>2</v>
      </c>
      <c r="B14" t="s">
        <v>3</v>
      </c>
      <c r="D14" s="20">
        <v>0.01</v>
      </c>
      <c r="E14" s="20">
        <v>0.02</v>
      </c>
      <c r="F14" s="20">
        <v>0.03</v>
      </c>
      <c r="G14" s="20">
        <v>0.04</v>
      </c>
      <c r="H14" s="20">
        <v>0.05</v>
      </c>
      <c r="W14" s="16">
        <f>(W15-U15)/U15*100</f>
        <v>0</v>
      </c>
      <c r="X14" s="16">
        <f>(X15-U15)/U15*100</f>
        <v>0</v>
      </c>
      <c r="Y14" s="16">
        <f>(Y15-U15)/U15*100</f>
        <v>0</v>
      </c>
      <c r="Z14" s="16">
        <f>(Z15-U15)/U15*100</f>
        <v>0</v>
      </c>
      <c r="AA14" s="16">
        <f>(AA15-U15)/U15*100</f>
        <v>0</v>
      </c>
    </row>
    <row r="15" spans="1:27" x14ac:dyDescent="0.3">
      <c r="A15">
        <v>1</v>
      </c>
      <c r="B15">
        <v>545</v>
      </c>
      <c r="D15">
        <f>B15+(B15*1%)</f>
        <v>550.45000000000005</v>
      </c>
      <c r="E15">
        <f>B15+(B15*2%)</f>
        <v>555.9</v>
      </c>
      <c r="F15">
        <f>B15+(B15*3%)</f>
        <v>561.35</v>
      </c>
      <c r="G15">
        <f>B15+(B15*4%)</f>
        <v>566.79999999999995</v>
      </c>
      <c r="H15">
        <f>B15+(B15*5%)</f>
        <v>572.25</v>
      </c>
      <c r="T15" t="s">
        <v>158</v>
      </c>
      <c r="U15">
        <v>815497.45</v>
      </c>
      <c r="W15" s="21">
        <v>815497.45</v>
      </c>
      <c r="X15" s="21">
        <v>815497.45</v>
      </c>
      <c r="Y15" s="21">
        <v>815497.45</v>
      </c>
      <c r="Z15" s="21">
        <v>815497.45</v>
      </c>
      <c r="AA15" s="21">
        <v>815497.45</v>
      </c>
    </row>
    <row r="16" spans="1:27" x14ac:dyDescent="0.3">
      <c r="A16">
        <v>2</v>
      </c>
      <c r="B16">
        <v>423</v>
      </c>
      <c r="D16">
        <f t="shared" ref="D16:D18" si="10">B16+(B16*1%)</f>
        <v>427.23</v>
      </c>
      <c r="E16">
        <f t="shared" ref="E16:E18" si="11">B16+(B16*2%)</f>
        <v>431.46</v>
      </c>
      <c r="F16">
        <f t="shared" ref="F16:F18" si="12">B16+(B16*3%)</f>
        <v>435.69</v>
      </c>
      <c r="G16">
        <f t="shared" ref="G16:G18" si="13">B16+(B16*4%)</f>
        <v>439.92</v>
      </c>
      <c r="H16">
        <f t="shared" ref="H16:H18" si="14">B16+(B16*5%)</f>
        <v>444.15</v>
      </c>
    </row>
    <row r="17" spans="1:28" x14ac:dyDescent="0.3">
      <c r="A17">
        <v>3</v>
      </c>
      <c r="B17">
        <v>587</v>
      </c>
      <c r="D17">
        <f t="shared" si="10"/>
        <v>592.87</v>
      </c>
      <c r="E17">
        <f t="shared" si="11"/>
        <v>598.74</v>
      </c>
      <c r="F17">
        <f t="shared" si="12"/>
        <v>604.61</v>
      </c>
      <c r="G17">
        <f t="shared" si="13"/>
        <v>610.48</v>
      </c>
      <c r="H17">
        <f t="shared" si="14"/>
        <v>616.35</v>
      </c>
    </row>
    <row r="18" spans="1:28" x14ac:dyDescent="0.3">
      <c r="A18">
        <v>4</v>
      </c>
      <c r="B18">
        <v>387</v>
      </c>
      <c r="D18">
        <f t="shared" si="10"/>
        <v>390.87</v>
      </c>
      <c r="E18">
        <f t="shared" si="11"/>
        <v>394.74</v>
      </c>
      <c r="F18">
        <f t="shared" si="12"/>
        <v>398.61</v>
      </c>
      <c r="G18">
        <f t="shared" si="13"/>
        <v>402.48</v>
      </c>
      <c r="H18">
        <f t="shared" si="14"/>
        <v>406.35</v>
      </c>
      <c r="U18" t="s">
        <v>161</v>
      </c>
      <c r="W18" s="16">
        <f>(W19-U19)/U19*100</f>
        <v>5.1846982362814563E-2</v>
      </c>
      <c r="X18" s="16">
        <f>(X19-U19)/U19*100</f>
        <v>0.10304322447931762</v>
      </c>
      <c r="Y18" s="16">
        <f>(Y19-U19)/U19*100</f>
        <v>0.15052982138318408</v>
      </c>
      <c r="Z18" s="16">
        <f>(Z19-U19)/U19*100</f>
        <v>0.20310794454244346</v>
      </c>
      <c r="AA18" s="16">
        <f>(AA19-U19)/U19*100</f>
        <v>0.25430418665894655</v>
      </c>
    </row>
    <row r="19" spans="1:28" x14ac:dyDescent="0.3">
      <c r="T19" t="s">
        <v>178</v>
      </c>
      <c r="U19">
        <v>4741.7772567669999</v>
      </c>
      <c r="W19" s="21">
        <v>4744.2357251849999</v>
      </c>
      <c r="X19" s="21">
        <v>4746.6633369499996</v>
      </c>
      <c r="Y19" s="21">
        <v>4748.9150456019997</v>
      </c>
      <c r="Z19" s="21">
        <v>4751.4081830880004</v>
      </c>
      <c r="AA19" s="21">
        <v>4753.8357948530002</v>
      </c>
    </row>
    <row r="20" spans="1:28" x14ac:dyDescent="0.3">
      <c r="A20" t="s">
        <v>215</v>
      </c>
      <c r="B20" t="s">
        <v>160</v>
      </c>
      <c r="D20" s="16">
        <f>(D21-B21)/B21*100</f>
        <v>2.3813685744868865E-3</v>
      </c>
      <c r="E20" s="16">
        <f>(E21-B21)/B21*100</f>
        <v>4.7627371489737729E-3</v>
      </c>
      <c r="F20" s="16">
        <f>(F21-B21)/B21*100</f>
        <v>7.1441057234463839E-3</v>
      </c>
      <c r="G20" s="16">
        <f>(G21-B21)/B21*100</f>
        <v>9.5254742979332709E-3</v>
      </c>
      <c r="H20" s="16">
        <f>(H21-B21)/B21*100</f>
        <v>1.1906842872420158E-2</v>
      </c>
      <c r="W20" s="16">
        <f>(W21-U21)/U21*100</f>
        <v>-2.8825825203485445E-3</v>
      </c>
      <c r="X20" s="16">
        <f>(X21-U21)/U21*100</f>
        <v>-2.8825825203485445E-3</v>
      </c>
      <c r="Y20" s="16">
        <f>(Y21-U21)/U21*100</f>
        <v>7.0843129736246758E-4</v>
      </c>
      <c r="Z20" s="16">
        <f>(Z21-U21)/U21*100</f>
        <v>-1.3557909311869083E-3</v>
      </c>
      <c r="AA20" s="16">
        <f>(AA21-U21)/U21*100</f>
        <v>-1.3557909311869083E-3</v>
      </c>
    </row>
    <row r="21" spans="1:28" x14ac:dyDescent="0.3">
      <c r="A21" t="s">
        <v>158</v>
      </c>
      <c r="B21">
        <v>815497.45</v>
      </c>
      <c r="D21" s="21">
        <v>815516.87</v>
      </c>
      <c r="E21" s="21">
        <v>815536.29</v>
      </c>
      <c r="F21" s="21">
        <v>815555.71</v>
      </c>
      <c r="G21" s="21">
        <v>815575.13</v>
      </c>
      <c r="H21" s="21">
        <v>815594.55</v>
      </c>
      <c r="T21" t="s">
        <v>158</v>
      </c>
      <c r="U21">
        <v>818710.3</v>
      </c>
      <c r="W21" s="21">
        <v>818686.7</v>
      </c>
      <c r="X21" s="21">
        <v>818686.7</v>
      </c>
      <c r="Y21" s="21">
        <v>818716.1</v>
      </c>
      <c r="Z21" s="21">
        <v>818699.2</v>
      </c>
      <c r="AA21" s="21">
        <v>818699.2</v>
      </c>
    </row>
    <row r="22" spans="1:28" x14ac:dyDescent="0.3">
      <c r="A22" t="s">
        <v>159</v>
      </c>
      <c r="B22">
        <v>4840.7044030870002</v>
      </c>
      <c r="D22" s="21">
        <v>4840.7044030870002</v>
      </c>
      <c r="E22" s="21">
        <v>4840.7044030870002</v>
      </c>
      <c r="F22" s="21">
        <v>4840.7044030870002</v>
      </c>
      <c r="G22" s="21">
        <v>4840.7044030870002</v>
      </c>
      <c r="H22" s="21">
        <v>4840.7044030870002</v>
      </c>
      <c r="T22" s="22"/>
      <c r="U22" s="22"/>
      <c r="V22" s="22"/>
      <c r="W22" s="22"/>
      <c r="X22" s="22"/>
      <c r="Y22" s="22"/>
      <c r="Z22" s="22"/>
      <c r="AA22" s="22"/>
      <c r="AB22" s="22"/>
    </row>
    <row r="24" spans="1:28" x14ac:dyDescent="0.3">
      <c r="T24" t="s">
        <v>86</v>
      </c>
    </row>
    <row r="25" spans="1:28" x14ac:dyDescent="0.3">
      <c r="B25" t="s">
        <v>161</v>
      </c>
      <c r="D25" s="16">
        <f>(D26-B26)/B26*100</f>
        <v>2.3720234129124174E-3</v>
      </c>
      <c r="E25" s="16">
        <f>(E26-B26)/B26*100</f>
        <v>4.7440468258390543E-3</v>
      </c>
      <c r="F25" s="16">
        <f>(F26-B26)/B26*100</f>
        <v>7.1160702387656908E-3</v>
      </c>
      <c r="G25" s="16">
        <f>(G26-B26)/B26*100</f>
        <v>9.4880936516781086E-3</v>
      </c>
      <c r="H25" s="16">
        <f>(H26-B26)/B26*100</f>
        <v>1.1860117064604747E-2</v>
      </c>
      <c r="T25" s="10" t="s">
        <v>75</v>
      </c>
    </row>
    <row r="26" spans="1:28" x14ac:dyDescent="0.3">
      <c r="B26">
        <v>818710.3</v>
      </c>
      <c r="D26" s="21">
        <v>818729.72</v>
      </c>
      <c r="E26" s="21">
        <v>818749.14</v>
      </c>
      <c r="F26" s="21">
        <v>818768.56</v>
      </c>
      <c r="G26" s="21">
        <v>818787.98</v>
      </c>
      <c r="H26" s="21">
        <v>818807.4</v>
      </c>
      <c r="T26" s="11" t="s">
        <v>76</v>
      </c>
    </row>
    <row r="27" spans="1:28" x14ac:dyDescent="0.3">
      <c r="B27">
        <v>4741.7772567669999</v>
      </c>
      <c r="D27" s="21">
        <v>4741.7772567669999</v>
      </c>
      <c r="E27" s="21">
        <v>4741.7772567669999</v>
      </c>
      <c r="F27" s="21">
        <v>4741.7772567669999</v>
      </c>
      <c r="G27" s="21">
        <v>4741.7772567669999</v>
      </c>
      <c r="H27" s="21">
        <v>4741.7772567669999</v>
      </c>
      <c r="T27" s="11" t="s">
        <v>77</v>
      </c>
    </row>
    <row r="28" spans="1:28" x14ac:dyDescent="0.3">
      <c r="A28" s="22"/>
      <c r="B28" s="22"/>
      <c r="C28" s="22"/>
      <c r="D28" s="22"/>
      <c r="E28" s="22"/>
      <c r="F28" s="22"/>
      <c r="G28" s="22"/>
      <c r="H28" s="22"/>
    </row>
    <row r="29" spans="1:28" x14ac:dyDescent="0.3">
      <c r="T29" t="s">
        <v>55</v>
      </c>
      <c r="U29" t="s">
        <v>10</v>
      </c>
      <c r="V29" t="s">
        <v>84</v>
      </c>
      <c r="X29" s="20">
        <v>0.01</v>
      </c>
      <c r="Y29" s="20">
        <v>0.02</v>
      </c>
      <c r="Z29" s="20">
        <v>0.03</v>
      </c>
      <c r="AA29" s="20">
        <v>0.04</v>
      </c>
      <c r="AB29" s="20">
        <v>0.05</v>
      </c>
    </row>
    <row r="30" spans="1:28" x14ac:dyDescent="0.3">
      <c r="A30" t="s">
        <v>16</v>
      </c>
      <c r="T30">
        <v>1</v>
      </c>
      <c r="U30">
        <v>1</v>
      </c>
      <c r="V30" s="13">
        <v>0.6</v>
      </c>
      <c r="X30">
        <f>V30+(V30*1%)</f>
        <v>0.60599999999999998</v>
      </c>
      <c r="Y30">
        <f>V30+(V30*2%)</f>
        <v>0.61199999999999999</v>
      </c>
      <c r="Z30">
        <f>V30+(V30*3%)</f>
        <v>0.61799999999999999</v>
      </c>
      <c r="AA30">
        <f>V30+(V30*4%)</f>
        <v>0.624</v>
      </c>
      <c r="AB30">
        <f>V30+(V30*5%)</f>
        <v>0.63</v>
      </c>
    </row>
    <row r="31" spans="1:28" x14ac:dyDescent="0.3">
      <c r="A31" s="1" t="s">
        <v>15</v>
      </c>
      <c r="T31">
        <v>1</v>
      </c>
      <c r="U31">
        <v>2</v>
      </c>
      <c r="V31">
        <v>0.7</v>
      </c>
      <c r="X31">
        <f t="shared" ref="X31:X32" si="15">V31+(V31*1%)</f>
        <v>0.70699999999999996</v>
      </c>
      <c r="Y31">
        <f t="shared" ref="Y31:Y32" si="16">V31+(V31*2%)</f>
        <v>0.71399999999999997</v>
      </c>
      <c r="Z31">
        <f t="shared" ref="Z31:Z32" si="17">V31+(V31*3%)</f>
        <v>0.72099999999999997</v>
      </c>
      <c r="AA31">
        <f t="shared" ref="AA31:AA32" si="18">V31+(V31*4%)</f>
        <v>0.72799999999999998</v>
      </c>
      <c r="AB31">
        <f t="shared" ref="AB31:AB32" si="19">V31+(V31*5%)</f>
        <v>0.73499999999999999</v>
      </c>
    </row>
    <row r="32" spans="1:28" x14ac:dyDescent="0.3">
      <c r="T32">
        <v>1</v>
      </c>
      <c r="U32">
        <v>3</v>
      </c>
      <c r="V32">
        <v>0.3</v>
      </c>
      <c r="X32">
        <f t="shared" si="15"/>
        <v>0.30299999999999999</v>
      </c>
      <c r="Y32">
        <f t="shared" si="16"/>
        <v>0.30599999999999999</v>
      </c>
      <c r="Z32">
        <f t="shared" si="17"/>
        <v>0.309</v>
      </c>
      <c r="AA32">
        <f t="shared" si="18"/>
        <v>0.312</v>
      </c>
      <c r="AB32">
        <f t="shared" si="19"/>
        <v>0.315</v>
      </c>
    </row>
    <row r="33" spans="1:28" x14ac:dyDescent="0.3">
      <c r="A33" t="s">
        <v>2</v>
      </c>
      <c r="B33" t="s">
        <v>17</v>
      </c>
      <c r="D33" s="20">
        <v>0.01</v>
      </c>
      <c r="E33" s="20">
        <v>0.02</v>
      </c>
      <c r="F33" s="20">
        <v>0.03</v>
      </c>
      <c r="G33" s="20">
        <v>0.04</v>
      </c>
      <c r="H33" s="20">
        <v>0.05</v>
      </c>
      <c r="T33">
        <v>1</v>
      </c>
      <c r="U33">
        <v>4</v>
      </c>
      <c r="V33">
        <v>0.4</v>
      </c>
      <c r="X33">
        <f t="shared" ref="X33:X47" si="20">V33+(V33*1%)</f>
        <v>0.40400000000000003</v>
      </c>
      <c r="Y33">
        <f t="shared" ref="Y33:Y47" si="21">V33+(V33*2%)</f>
        <v>0.40800000000000003</v>
      </c>
      <c r="Z33">
        <f t="shared" ref="Z33:Z47" si="22">V33+(V33*3%)</f>
        <v>0.41200000000000003</v>
      </c>
      <c r="AA33">
        <f t="shared" ref="AA33:AA47" si="23">V33+(V33*4%)</f>
        <v>0.41600000000000004</v>
      </c>
      <c r="AB33">
        <f t="shared" ref="AB33:AB47" si="24">V33+(V33*5%)</f>
        <v>0.42000000000000004</v>
      </c>
    </row>
    <row r="34" spans="1:28" x14ac:dyDescent="0.3">
      <c r="A34">
        <v>1</v>
      </c>
      <c r="B34">
        <v>45</v>
      </c>
      <c r="D34">
        <f>B34+(B34*1%)</f>
        <v>45.45</v>
      </c>
      <c r="E34">
        <f>B34+(B34*2%)</f>
        <v>45.9</v>
      </c>
      <c r="F34">
        <f>B34+(B34*3%)</f>
        <v>46.35</v>
      </c>
      <c r="G34">
        <f>B34+(B34*4%)</f>
        <v>46.8</v>
      </c>
      <c r="H34">
        <f>B34+(B34*5%)</f>
        <v>47.25</v>
      </c>
      <c r="T34">
        <v>1</v>
      </c>
      <c r="U34">
        <v>5</v>
      </c>
      <c r="V34">
        <v>0.4</v>
      </c>
      <c r="X34">
        <f t="shared" si="20"/>
        <v>0.40400000000000003</v>
      </c>
      <c r="Y34">
        <f t="shared" si="21"/>
        <v>0.40800000000000003</v>
      </c>
      <c r="Z34">
        <f t="shared" si="22"/>
        <v>0.41200000000000003</v>
      </c>
      <c r="AA34">
        <f t="shared" si="23"/>
        <v>0.41600000000000004</v>
      </c>
      <c r="AB34">
        <f t="shared" si="24"/>
        <v>0.42000000000000004</v>
      </c>
    </row>
    <row r="35" spans="1:28" x14ac:dyDescent="0.3">
      <c r="A35">
        <v>2</v>
      </c>
      <c r="B35">
        <v>34</v>
      </c>
      <c r="D35">
        <f t="shared" ref="D35:D37" si="25">B35+(B35*1%)</f>
        <v>34.340000000000003</v>
      </c>
      <c r="E35">
        <f t="shared" ref="E35:E37" si="26">B35+(B35*2%)</f>
        <v>34.68</v>
      </c>
      <c r="F35">
        <f t="shared" ref="F35:F37" si="27">B35+(B35*3%)</f>
        <v>35.020000000000003</v>
      </c>
      <c r="G35">
        <f t="shared" ref="G35:G37" si="28">B35+(B35*4%)</f>
        <v>35.36</v>
      </c>
      <c r="H35">
        <f t="shared" ref="H35:H37" si="29">B35+(B35*5%)</f>
        <v>35.700000000000003</v>
      </c>
      <c r="T35">
        <v>1</v>
      </c>
      <c r="U35">
        <v>6</v>
      </c>
      <c r="V35">
        <v>0.3</v>
      </c>
      <c r="X35">
        <f t="shared" si="20"/>
        <v>0.30299999999999999</v>
      </c>
      <c r="Y35">
        <f t="shared" si="21"/>
        <v>0.30599999999999999</v>
      </c>
      <c r="Z35">
        <f t="shared" si="22"/>
        <v>0.309</v>
      </c>
      <c r="AA35">
        <f t="shared" si="23"/>
        <v>0.312</v>
      </c>
      <c r="AB35">
        <f t="shared" si="24"/>
        <v>0.315</v>
      </c>
    </row>
    <row r="36" spans="1:28" x14ac:dyDescent="0.3">
      <c r="A36">
        <v>3</v>
      </c>
      <c r="B36">
        <v>56</v>
      </c>
      <c r="D36">
        <f t="shared" si="25"/>
        <v>56.56</v>
      </c>
      <c r="E36">
        <f t="shared" si="26"/>
        <v>57.12</v>
      </c>
      <c r="F36">
        <f t="shared" si="27"/>
        <v>57.68</v>
      </c>
      <c r="G36">
        <f t="shared" si="28"/>
        <v>58.24</v>
      </c>
      <c r="H36">
        <f t="shared" si="29"/>
        <v>58.8</v>
      </c>
      <c r="T36">
        <v>2</v>
      </c>
      <c r="U36">
        <v>1</v>
      </c>
      <c r="V36">
        <v>0.5</v>
      </c>
      <c r="X36">
        <f t="shared" si="20"/>
        <v>0.505</v>
      </c>
      <c r="Y36">
        <f t="shared" si="21"/>
        <v>0.51</v>
      </c>
      <c r="Z36">
        <f t="shared" si="22"/>
        <v>0.51500000000000001</v>
      </c>
      <c r="AA36">
        <f t="shared" si="23"/>
        <v>0.52</v>
      </c>
      <c r="AB36">
        <f t="shared" si="24"/>
        <v>0.52500000000000002</v>
      </c>
    </row>
    <row r="37" spans="1:28" x14ac:dyDescent="0.3">
      <c r="A37">
        <v>4</v>
      </c>
      <c r="B37">
        <v>49</v>
      </c>
      <c r="D37">
        <f t="shared" si="25"/>
        <v>49.49</v>
      </c>
      <c r="E37">
        <f t="shared" si="26"/>
        <v>49.98</v>
      </c>
      <c r="F37">
        <f t="shared" si="27"/>
        <v>50.47</v>
      </c>
      <c r="G37">
        <f t="shared" si="28"/>
        <v>50.96</v>
      </c>
      <c r="H37">
        <f t="shared" si="29"/>
        <v>51.45</v>
      </c>
      <c r="T37">
        <v>2</v>
      </c>
      <c r="U37">
        <v>2</v>
      </c>
      <c r="V37">
        <v>0.3</v>
      </c>
      <c r="X37">
        <f t="shared" si="20"/>
        <v>0.30299999999999999</v>
      </c>
      <c r="Y37">
        <f t="shared" si="21"/>
        <v>0.30599999999999999</v>
      </c>
      <c r="Z37">
        <f t="shared" si="22"/>
        <v>0.309</v>
      </c>
      <c r="AA37">
        <f t="shared" si="23"/>
        <v>0.312</v>
      </c>
      <c r="AB37">
        <f t="shared" si="24"/>
        <v>0.315</v>
      </c>
    </row>
    <row r="38" spans="1:28" x14ac:dyDescent="0.3">
      <c r="T38">
        <v>2</v>
      </c>
      <c r="U38">
        <v>3</v>
      </c>
      <c r="V38">
        <v>0.6</v>
      </c>
      <c r="X38">
        <f t="shared" si="20"/>
        <v>0.60599999999999998</v>
      </c>
      <c r="Y38">
        <f t="shared" si="21"/>
        <v>0.61199999999999999</v>
      </c>
      <c r="Z38">
        <f t="shared" si="22"/>
        <v>0.61799999999999999</v>
      </c>
      <c r="AA38">
        <f t="shared" si="23"/>
        <v>0.624</v>
      </c>
      <c r="AB38">
        <f t="shared" si="24"/>
        <v>0.63</v>
      </c>
    </row>
    <row r="39" spans="1:28" x14ac:dyDescent="0.3">
      <c r="A39" t="s">
        <v>216</v>
      </c>
      <c r="B39" t="s">
        <v>160</v>
      </c>
      <c r="D39" s="16">
        <f>(D40-B40)/B40*100</f>
        <v>7.9697367539291658E-2</v>
      </c>
      <c r="E39" s="16">
        <f>(E40-B40)/B40*100</f>
        <v>0.15939473507858332</v>
      </c>
      <c r="F39" s="16">
        <f>(F40-B40)/B40*100</f>
        <v>0.23909210261786074</v>
      </c>
      <c r="G39" s="16">
        <f>(G40-B40)/B40*100</f>
        <v>0.31878947015715237</v>
      </c>
      <c r="H39" s="16">
        <f>(H40-B40)/B40*100</f>
        <v>0.39848683769642973</v>
      </c>
      <c r="T39">
        <v>2</v>
      </c>
      <c r="U39">
        <v>4</v>
      </c>
      <c r="V39">
        <v>0.4</v>
      </c>
      <c r="X39">
        <f t="shared" si="20"/>
        <v>0.40400000000000003</v>
      </c>
      <c r="Y39">
        <f t="shared" si="21"/>
        <v>0.40800000000000003</v>
      </c>
      <c r="Z39">
        <f t="shared" si="22"/>
        <v>0.41200000000000003</v>
      </c>
      <c r="AA39">
        <f t="shared" si="23"/>
        <v>0.41600000000000004</v>
      </c>
      <c r="AB39">
        <f t="shared" si="24"/>
        <v>0.42000000000000004</v>
      </c>
    </row>
    <row r="40" spans="1:28" x14ac:dyDescent="0.3">
      <c r="A40" t="s">
        <v>158</v>
      </c>
      <c r="B40">
        <v>815497.45</v>
      </c>
      <c r="D40" s="21">
        <v>816147.38</v>
      </c>
      <c r="E40" s="21">
        <v>816797.31</v>
      </c>
      <c r="F40" s="21">
        <v>817447.24</v>
      </c>
      <c r="G40" s="21">
        <v>818097.17</v>
      </c>
      <c r="H40" s="21">
        <v>818747.1</v>
      </c>
      <c r="T40">
        <v>2</v>
      </c>
      <c r="U40">
        <v>5</v>
      </c>
      <c r="V40">
        <v>0.6</v>
      </c>
      <c r="X40">
        <f t="shared" si="20"/>
        <v>0.60599999999999998</v>
      </c>
      <c r="Y40">
        <f t="shared" si="21"/>
        <v>0.61199999999999999</v>
      </c>
      <c r="Z40">
        <f t="shared" si="22"/>
        <v>0.61799999999999999</v>
      </c>
      <c r="AA40">
        <f t="shared" si="23"/>
        <v>0.624</v>
      </c>
      <c r="AB40">
        <f t="shared" si="24"/>
        <v>0.63</v>
      </c>
    </row>
    <row r="41" spans="1:28" x14ac:dyDescent="0.3">
      <c r="A41" t="s">
        <v>159</v>
      </c>
      <c r="B41">
        <v>4840.7044030870002</v>
      </c>
      <c r="D41" s="21">
        <v>4840.7044030870002</v>
      </c>
      <c r="E41" s="21">
        <v>4840.7044030870002</v>
      </c>
      <c r="F41" s="21">
        <v>4840.7044030870002</v>
      </c>
      <c r="G41" s="21">
        <v>4840.7044030870002</v>
      </c>
      <c r="H41" s="21">
        <v>4840.7044030870002</v>
      </c>
      <c r="T41">
        <v>2</v>
      </c>
      <c r="U41">
        <v>6</v>
      </c>
      <c r="V41">
        <v>0.3</v>
      </c>
      <c r="X41">
        <f t="shared" si="20"/>
        <v>0.30299999999999999</v>
      </c>
      <c r="Y41">
        <f t="shared" si="21"/>
        <v>0.30599999999999999</v>
      </c>
      <c r="Z41">
        <f t="shared" si="22"/>
        <v>0.309</v>
      </c>
      <c r="AA41">
        <f t="shared" si="23"/>
        <v>0.312</v>
      </c>
      <c r="AB41">
        <f t="shared" si="24"/>
        <v>0.315</v>
      </c>
    </row>
    <row r="42" spans="1:28" x14ac:dyDescent="0.3">
      <c r="T42">
        <v>3</v>
      </c>
      <c r="U42">
        <v>1</v>
      </c>
      <c r="V42">
        <v>0.4</v>
      </c>
      <c r="X42">
        <f t="shared" si="20"/>
        <v>0.40400000000000003</v>
      </c>
      <c r="Y42">
        <f t="shared" si="21"/>
        <v>0.40800000000000003</v>
      </c>
      <c r="Z42">
        <f t="shared" si="22"/>
        <v>0.41200000000000003</v>
      </c>
      <c r="AA42">
        <f t="shared" si="23"/>
        <v>0.41600000000000004</v>
      </c>
      <c r="AB42">
        <f t="shared" si="24"/>
        <v>0.42000000000000004</v>
      </c>
    </row>
    <row r="43" spans="1:28" x14ac:dyDescent="0.3">
      <c r="T43">
        <v>3</v>
      </c>
      <c r="U43">
        <v>2</v>
      </c>
      <c r="V43">
        <v>0.6</v>
      </c>
      <c r="X43">
        <f t="shared" si="20"/>
        <v>0.60599999999999998</v>
      </c>
      <c r="Y43">
        <f t="shared" si="21"/>
        <v>0.61199999999999999</v>
      </c>
      <c r="Z43">
        <f t="shared" si="22"/>
        <v>0.61799999999999999</v>
      </c>
      <c r="AA43">
        <f t="shared" si="23"/>
        <v>0.624</v>
      </c>
      <c r="AB43">
        <f t="shared" si="24"/>
        <v>0.63</v>
      </c>
    </row>
    <row r="44" spans="1:28" x14ac:dyDescent="0.3">
      <c r="B44" t="s">
        <v>161</v>
      </c>
      <c r="D44" s="16">
        <f>(D45-B45)/B45*100</f>
        <v>7.719458274801233E-2</v>
      </c>
      <c r="E44" s="16">
        <f>(E45-B45)/B45*100</f>
        <v>0.1579923936464461</v>
      </c>
      <c r="F44" s="16">
        <f>(F45-B45)/B45*100</f>
        <v>0.22823702108059185</v>
      </c>
      <c r="G44" s="16">
        <f>(G45-B45)/B45*100</f>
        <v>0.30698282408318667</v>
      </c>
      <c r="H44" s="16">
        <f>(H45-B45)/B45*100</f>
        <v>0.38218647059894079</v>
      </c>
      <c r="T44">
        <v>3</v>
      </c>
      <c r="U44">
        <v>3</v>
      </c>
      <c r="V44">
        <v>0.2</v>
      </c>
      <c r="X44">
        <f t="shared" si="20"/>
        <v>0.20200000000000001</v>
      </c>
      <c r="Y44">
        <f t="shared" si="21"/>
        <v>0.20400000000000001</v>
      </c>
      <c r="Z44">
        <f t="shared" si="22"/>
        <v>0.20600000000000002</v>
      </c>
      <c r="AA44">
        <f t="shared" si="23"/>
        <v>0.20800000000000002</v>
      </c>
      <c r="AB44">
        <f t="shared" si="24"/>
        <v>0.21000000000000002</v>
      </c>
    </row>
    <row r="45" spans="1:28" x14ac:dyDescent="0.3">
      <c r="B45">
        <v>818710.3</v>
      </c>
      <c r="D45" s="21">
        <v>819342.3</v>
      </c>
      <c r="E45" s="21">
        <v>820003.8</v>
      </c>
      <c r="F45" s="21">
        <v>820578.9</v>
      </c>
      <c r="G45" s="21">
        <v>821223.6</v>
      </c>
      <c r="H45" s="21">
        <v>821839.3</v>
      </c>
      <c r="T45">
        <v>3</v>
      </c>
      <c r="U45">
        <v>4</v>
      </c>
      <c r="V45">
        <v>0.5</v>
      </c>
      <c r="X45">
        <f t="shared" si="20"/>
        <v>0.505</v>
      </c>
      <c r="Y45">
        <f t="shared" si="21"/>
        <v>0.51</v>
      </c>
      <c r="Z45">
        <f t="shared" si="22"/>
        <v>0.51500000000000001</v>
      </c>
      <c r="AA45">
        <f t="shared" si="23"/>
        <v>0.52</v>
      </c>
      <c r="AB45">
        <f t="shared" si="24"/>
        <v>0.52500000000000002</v>
      </c>
    </row>
    <row r="46" spans="1:28" x14ac:dyDescent="0.3">
      <c r="B46">
        <v>4741.7772567669999</v>
      </c>
      <c r="D46" s="21">
        <v>4741.7772567669999</v>
      </c>
      <c r="E46" s="21">
        <v>4741.7772567669999</v>
      </c>
      <c r="F46" s="21">
        <v>4741.7772567669999</v>
      </c>
      <c r="G46" s="21">
        <v>4741.7772567669999</v>
      </c>
      <c r="H46" s="21">
        <v>4741.7772567669999</v>
      </c>
      <c r="T46">
        <v>3</v>
      </c>
      <c r="U46">
        <v>5</v>
      </c>
      <c r="V46">
        <v>0.7</v>
      </c>
      <c r="X46">
        <f t="shared" si="20"/>
        <v>0.70699999999999996</v>
      </c>
      <c r="Y46">
        <f t="shared" si="21"/>
        <v>0.71399999999999997</v>
      </c>
      <c r="Z46">
        <f t="shared" si="22"/>
        <v>0.72099999999999997</v>
      </c>
      <c r="AA46">
        <f t="shared" si="23"/>
        <v>0.72799999999999998</v>
      </c>
      <c r="AB46">
        <f t="shared" si="24"/>
        <v>0.73499999999999999</v>
      </c>
    </row>
    <row r="47" spans="1:28" x14ac:dyDescent="0.3">
      <c r="A47" s="22"/>
      <c r="B47" s="22"/>
      <c r="C47" s="22"/>
      <c r="D47" s="22"/>
      <c r="E47" s="22"/>
      <c r="F47" s="22"/>
      <c r="G47" s="22"/>
      <c r="H47" s="22"/>
      <c r="T47">
        <v>3</v>
      </c>
      <c r="U47">
        <v>6</v>
      </c>
      <c r="V47">
        <v>0.3</v>
      </c>
      <c r="X47">
        <f t="shared" si="20"/>
        <v>0.30299999999999999</v>
      </c>
      <c r="Y47">
        <f t="shared" si="21"/>
        <v>0.30599999999999999</v>
      </c>
      <c r="Z47">
        <f t="shared" si="22"/>
        <v>0.309</v>
      </c>
      <c r="AA47">
        <f t="shared" si="23"/>
        <v>0.312</v>
      </c>
      <c r="AB47">
        <f t="shared" si="24"/>
        <v>0.315</v>
      </c>
    </row>
    <row r="49" spans="1:28" x14ac:dyDescent="0.3">
      <c r="A49" t="s">
        <v>21</v>
      </c>
      <c r="T49" t="s">
        <v>191</v>
      </c>
      <c r="U49" t="s">
        <v>160</v>
      </c>
      <c r="X49" s="16">
        <f>(X50-U50)/U50*100</f>
        <v>5.0550816497701547E-3</v>
      </c>
      <c r="Y49" s="16">
        <f>(Y50-U50)/U50*100</f>
        <v>1.0110163278872982E-2</v>
      </c>
      <c r="Z49" s="16">
        <f>(Z50-U50)/U50*100</f>
        <v>1.5165244928643136E-2</v>
      </c>
      <c r="AA49" s="16">
        <f>(AA50-U50)/U50*100</f>
        <v>2.022032657841329E-2</v>
      </c>
      <c r="AB49" s="16">
        <f>(AB50-U50)/U50*100</f>
        <v>2.5275408228183444E-2</v>
      </c>
    </row>
    <row r="50" spans="1:28" x14ac:dyDescent="0.3">
      <c r="A50" s="1" t="s">
        <v>18</v>
      </c>
      <c r="T50" t="s">
        <v>178</v>
      </c>
      <c r="U50">
        <v>4840.7044030870002</v>
      </c>
      <c r="X50" s="21">
        <v>4840.9491046470002</v>
      </c>
      <c r="Y50" s="21">
        <v>4841.1938062059999</v>
      </c>
      <c r="Z50" s="21">
        <v>4841.4385077659999</v>
      </c>
      <c r="AA50" s="21">
        <v>4841.683209326</v>
      </c>
      <c r="AB50" s="21">
        <v>4841.9279108860001</v>
      </c>
    </row>
    <row r="51" spans="1:28" x14ac:dyDescent="0.3">
      <c r="X51" s="16">
        <f>(X52-U52)/U52*100</f>
        <v>0</v>
      </c>
      <c r="Y51" s="16">
        <f>(Y52-U52)/U52*100</f>
        <v>0</v>
      </c>
      <c r="Z51" s="16">
        <f>(Z52-U52)/U52*100</f>
        <v>0</v>
      </c>
      <c r="AA51" s="16">
        <f>(AA52-U52)/U52*100</f>
        <v>0</v>
      </c>
      <c r="AB51" s="16">
        <f>(AB52-U52)/U52*100</f>
        <v>0</v>
      </c>
    </row>
    <row r="52" spans="1:28" x14ac:dyDescent="0.3">
      <c r="A52" t="s">
        <v>19</v>
      </c>
      <c r="B52" t="s">
        <v>20</v>
      </c>
      <c r="D52" s="20">
        <v>0.01</v>
      </c>
      <c r="E52" s="20">
        <v>0.02</v>
      </c>
      <c r="F52" s="20">
        <v>0.03</v>
      </c>
      <c r="G52" s="20">
        <v>0.04</v>
      </c>
      <c r="H52" s="20">
        <v>0.05</v>
      </c>
      <c r="T52" t="s">
        <v>158</v>
      </c>
      <c r="U52">
        <v>815497.45</v>
      </c>
      <c r="X52" s="21">
        <v>815497.45</v>
      </c>
      <c r="Y52" s="21">
        <v>815497.45</v>
      </c>
      <c r="Z52" s="21">
        <v>815497.45</v>
      </c>
      <c r="AA52" s="21">
        <v>815497.45</v>
      </c>
      <c r="AB52" s="21">
        <v>815497.45</v>
      </c>
    </row>
    <row r="53" spans="1:28" x14ac:dyDescent="0.3">
      <c r="A53">
        <v>1</v>
      </c>
      <c r="B53">
        <v>445</v>
      </c>
      <c r="D53">
        <f>B53+(B53*1%)</f>
        <v>449.45</v>
      </c>
      <c r="E53">
        <f>B53+(B53*2%)</f>
        <v>453.9</v>
      </c>
      <c r="F53">
        <f>B53+(B53*3%)</f>
        <v>458.35</v>
      </c>
      <c r="G53">
        <f>B53+(B53*4%)</f>
        <v>462.8</v>
      </c>
      <c r="H53">
        <f>B53+(B53*5%)</f>
        <v>467.25</v>
      </c>
    </row>
    <row r="54" spans="1:28" x14ac:dyDescent="0.3">
      <c r="A54">
        <v>2</v>
      </c>
      <c r="B54">
        <v>575</v>
      </c>
      <c r="D54">
        <f t="shared" ref="D54" si="30">B54+(B54*1%)</f>
        <v>580.75</v>
      </c>
      <c r="E54">
        <f t="shared" ref="E54" si="31">B54+(B54*2%)</f>
        <v>586.5</v>
      </c>
      <c r="F54">
        <f t="shared" ref="F54" si="32">B54+(B54*3%)</f>
        <v>592.25</v>
      </c>
      <c r="G54">
        <f t="shared" ref="G54" si="33">B54+(B54*4%)</f>
        <v>598</v>
      </c>
      <c r="H54">
        <f t="shared" ref="H54" si="34">B54+(B54*5%)</f>
        <v>603.75</v>
      </c>
    </row>
    <row r="55" spans="1:28" x14ac:dyDescent="0.3">
      <c r="U55" t="s">
        <v>161</v>
      </c>
      <c r="X55" s="16">
        <f>(X56-U56)/U56*100</f>
        <v>3.9394968359849512E-3</v>
      </c>
      <c r="Y55" s="16">
        <f>(Y56-U56)/U56*100</f>
        <v>1.4332270226953618E-2</v>
      </c>
      <c r="Z55" s="16">
        <f>(Z56-U56)/U56*100</f>
        <v>1.8335034501236403E-2</v>
      </c>
      <c r="AA55" s="16">
        <f>(AA56-U56)/U56*100</f>
        <v>2.2337798754439864E-2</v>
      </c>
      <c r="AB55" s="16">
        <f>(AB56-U56)/U56*100</f>
        <v>2.6340563028722654E-2</v>
      </c>
    </row>
    <row r="56" spans="1:28" x14ac:dyDescent="0.3">
      <c r="A56" t="s">
        <v>217</v>
      </c>
      <c r="B56" t="s">
        <v>160</v>
      </c>
      <c r="D56" s="16">
        <f>(D57-B57)/B57*100</f>
        <v>0.89265147303649406</v>
      </c>
      <c r="E56" s="16">
        <f>(E57-B57)/B57*100</f>
        <v>1.7853029460729881</v>
      </c>
      <c r="F56" s="16">
        <f>(F57-B57)/B57*100</f>
        <v>2.6779544191094682</v>
      </c>
      <c r="G56" s="16">
        <f>(G57-B57)/B57*100</f>
        <v>3.5706058921459625</v>
      </c>
      <c r="H56" s="16">
        <f>(H57-B57)/B57*100</f>
        <v>4.4632573651824421</v>
      </c>
      <c r="T56" t="s">
        <v>178</v>
      </c>
      <c r="U56">
        <v>4741.7772567669999</v>
      </c>
      <c r="X56" s="21">
        <v>4741.9640589319997</v>
      </c>
      <c r="Y56" s="21">
        <v>4742.456861097</v>
      </c>
      <c r="Z56" s="21">
        <v>4742.6466632629999</v>
      </c>
      <c r="AA56" s="21">
        <v>4742.8364654280003</v>
      </c>
      <c r="AB56" s="21">
        <v>4743.0262675940003</v>
      </c>
    </row>
    <row r="57" spans="1:28" x14ac:dyDescent="0.3">
      <c r="A57" t="s">
        <v>158</v>
      </c>
      <c r="B57">
        <v>815497.45</v>
      </c>
      <c r="D57" s="21">
        <v>822777</v>
      </c>
      <c r="E57" s="21">
        <v>830056.55</v>
      </c>
      <c r="F57" s="21">
        <v>837336.1</v>
      </c>
      <c r="G57" s="21">
        <v>844615.65</v>
      </c>
      <c r="H57" s="21">
        <v>851895.2</v>
      </c>
      <c r="X57" s="16">
        <f>(X58-U58)/U58*100</f>
        <v>0</v>
      </c>
      <c r="Y57" s="16">
        <f>(Y58-U58)/U58*100</f>
        <v>-5.7163077098268539E-3</v>
      </c>
      <c r="Z57" s="16">
        <f>(Z58-U58)/U58*100</f>
        <v>-5.7163077098268539E-3</v>
      </c>
      <c r="AA57" s="16">
        <f>(AA58-U58)/U58*100</f>
        <v>-5.7163077098268539E-3</v>
      </c>
      <c r="AB57" s="16">
        <f>(AB58-U58)/U58*100</f>
        <v>-5.7163077098268539E-3</v>
      </c>
    </row>
    <row r="58" spans="1:28" x14ac:dyDescent="0.3">
      <c r="A58" t="s">
        <v>159</v>
      </c>
      <c r="B58">
        <v>4840.7044030870002</v>
      </c>
      <c r="D58" s="21">
        <v>4840.7044030870002</v>
      </c>
      <c r="E58" s="21">
        <v>4840.7044030870002</v>
      </c>
      <c r="F58" s="21">
        <v>4840.7044030870002</v>
      </c>
      <c r="G58" s="21">
        <v>4840.7044030870002</v>
      </c>
      <c r="H58" s="21">
        <v>4840.7044030870002</v>
      </c>
      <c r="T58" t="s">
        <v>158</v>
      </c>
      <c r="U58">
        <v>818710.3</v>
      </c>
      <c r="X58" s="21">
        <v>818710.3</v>
      </c>
      <c r="Y58" s="21">
        <v>818663.5</v>
      </c>
      <c r="Z58" s="21">
        <v>818663.5</v>
      </c>
      <c r="AA58" s="21">
        <v>818663.5</v>
      </c>
      <c r="AB58" s="21">
        <v>818663.5</v>
      </c>
    </row>
    <row r="59" spans="1:28" x14ac:dyDescent="0.3">
      <c r="T59" s="22"/>
      <c r="U59" s="22"/>
      <c r="V59" s="22"/>
      <c r="W59" s="22"/>
      <c r="X59" s="22"/>
      <c r="Y59" s="22"/>
      <c r="Z59" s="22"/>
      <c r="AA59" s="22"/>
      <c r="AB59" s="22"/>
    </row>
    <row r="61" spans="1:28" x14ac:dyDescent="0.3">
      <c r="B61" t="s">
        <v>161</v>
      </c>
      <c r="D61" s="16">
        <f>(D62-B62)/B62*100</f>
        <v>0.88784152343020195</v>
      </c>
      <c r="E61" s="16">
        <f>(E62-B62)/B62*100</f>
        <v>1.7753288312117155</v>
      </c>
      <c r="F61" s="16">
        <f>(F62-B62)/B62*100</f>
        <v>2.6645627885712355</v>
      </c>
      <c r="G61" s="16">
        <f>(G62-B62)/B62*100</f>
        <v>3.5562518268061249</v>
      </c>
      <c r="H61" s="16">
        <f>(H62-B62)/B62*100</f>
        <v>4.4443742798887378</v>
      </c>
      <c r="T61" t="s">
        <v>87</v>
      </c>
    </row>
    <row r="62" spans="1:28" x14ac:dyDescent="0.3">
      <c r="B62">
        <v>818710.3</v>
      </c>
      <c r="D62" s="21">
        <v>825979.15</v>
      </c>
      <c r="E62" s="21">
        <v>833245.1</v>
      </c>
      <c r="F62" s="21">
        <v>840525.35</v>
      </c>
      <c r="G62" s="21">
        <v>847825.7</v>
      </c>
      <c r="H62" s="21">
        <v>855096.85</v>
      </c>
      <c r="T62" s="10" t="s">
        <v>80</v>
      </c>
    </row>
    <row r="63" spans="1:28" x14ac:dyDescent="0.3">
      <c r="B63">
        <v>4741.7772567669999</v>
      </c>
      <c r="D63" s="21">
        <v>4741.7772567669999</v>
      </c>
      <c r="E63" s="21">
        <v>4741.7772567669999</v>
      </c>
      <c r="F63" s="21">
        <v>4741.7772567669999</v>
      </c>
      <c r="G63" s="21">
        <v>4741.7772567669999</v>
      </c>
      <c r="H63" s="21">
        <v>4741.7772567669999</v>
      </c>
      <c r="T63" s="11" t="s">
        <v>81</v>
      </c>
    </row>
    <row r="64" spans="1:28" x14ac:dyDescent="0.3">
      <c r="A64" s="22"/>
      <c r="B64" s="22"/>
      <c r="C64" s="22"/>
      <c r="D64" s="22"/>
      <c r="E64" s="22"/>
      <c r="F64" s="22"/>
      <c r="G64" s="22"/>
      <c r="H64" s="22"/>
      <c r="T64" s="11" t="s">
        <v>82</v>
      </c>
    </row>
    <row r="66" spans="1:28" x14ac:dyDescent="0.3">
      <c r="A66" t="s">
        <v>22</v>
      </c>
      <c r="T66" t="s">
        <v>67</v>
      </c>
      <c r="U66" t="s">
        <v>10</v>
      </c>
      <c r="V66" t="s">
        <v>89</v>
      </c>
      <c r="X66" s="20">
        <v>0.01</v>
      </c>
      <c r="Y66" s="20">
        <v>0.02</v>
      </c>
      <c r="Z66" s="20">
        <v>0.03</v>
      </c>
      <c r="AA66" s="20">
        <v>0.04</v>
      </c>
      <c r="AB66" s="20">
        <v>0.05</v>
      </c>
    </row>
    <row r="67" spans="1:28" x14ac:dyDescent="0.3">
      <c r="A67" s="1" t="s">
        <v>23</v>
      </c>
      <c r="T67">
        <v>1</v>
      </c>
      <c r="U67">
        <v>1</v>
      </c>
      <c r="V67" s="13">
        <v>0.3</v>
      </c>
      <c r="X67">
        <f>V67+(V67*1%)</f>
        <v>0.30299999999999999</v>
      </c>
      <c r="Y67">
        <f>V67+(V67*2%)</f>
        <v>0.30599999999999999</v>
      </c>
      <c r="Z67">
        <f>V67+(V67*3%)</f>
        <v>0.309</v>
      </c>
      <c r="AA67">
        <f>V67+(V67*4%)</f>
        <v>0.312</v>
      </c>
      <c r="AB67">
        <f>V67+(V67*5%)</f>
        <v>0.315</v>
      </c>
    </row>
    <row r="68" spans="1:28" x14ac:dyDescent="0.3">
      <c r="T68">
        <v>1</v>
      </c>
      <c r="U68">
        <v>2</v>
      </c>
      <c r="V68">
        <v>0.5</v>
      </c>
      <c r="X68">
        <f t="shared" ref="X68:X83" si="35">V68+(V68*1%)</f>
        <v>0.505</v>
      </c>
      <c r="Y68">
        <f t="shared" ref="Y68:Y83" si="36">V68+(V68*2%)</f>
        <v>0.51</v>
      </c>
      <c r="Z68">
        <f t="shared" ref="Z68:Z83" si="37">V68+(V68*3%)</f>
        <v>0.51500000000000001</v>
      </c>
      <c r="AA68">
        <f t="shared" ref="AA68:AA83" si="38">V68+(V68*4%)</f>
        <v>0.52</v>
      </c>
      <c r="AB68">
        <f t="shared" ref="AB68:AB83" si="39">V68+(V68*5%)</f>
        <v>0.52500000000000002</v>
      </c>
    </row>
    <row r="69" spans="1:28" x14ac:dyDescent="0.3">
      <c r="A69" t="s">
        <v>2</v>
      </c>
      <c r="B69" t="s">
        <v>17</v>
      </c>
      <c r="D69" s="20">
        <v>0.01</v>
      </c>
      <c r="E69" s="20">
        <v>0.02</v>
      </c>
      <c r="F69" s="20">
        <v>0.03</v>
      </c>
      <c r="G69" s="20">
        <v>0.04</v>
      </c>
      <c r="H69" s="20">
        <v>0.05</v>
      </c>
      <c r="T69">
        <v>1</v>
      </c>
      <c r="U69">
        <v>3</v>
      </c>
      <c r="V69">
        <v>0.5</v>
      </c>
      <c r="X69">
        <f t="shared" si="35"/>
        <v>0.505</v>
      </c>
      <c r="Y69">
        <f t="shared" si="36"/>
        <v>0.51</v>
      </c>
      <c r="Z69">
        <f t="shared" si="37"/>
        <v>0.51500000000000001</v>
      </c>
      <c r="AA69">
        <f t="shared" si="38"/>
        <v>0.52</v>
      </c>
      <c r="AB69">
        <f t="shared" si="39"/>
        <v>0.52500000000000002</v>
      </c>
    </row>
    <row r="70" spans="1:28" x14ac:dyDescent="0.3">
      <c r="A70">
        <v>1</v>
      </c>
      <c r="B70">
        <v>2.4</v>
      </c>
      <c r="D70">
        <f>B70+(B70*1%)</f>
        <v>2.4239999999999999</v>
      </c>
      <c r="E70">
        <f>B70+(B70*2%)</f>
        <v>2.448</v>
      </c>
      <c r="F70">
        <f>B70+(B70*3%)</f>
        <v>2.472</v>
      </c>
      <c r="G70">
        <f>B70+(B70*4%)</f>
        <v>2.496</v>
      </c>
      <c r="H70">
        <f>B70+(B70*5%)</f>
        <v>2.52</v>
      </c>
      <c r="T70">
        <v>1</v>
      </c>
      <c r="U70">
        <v>4</v>
      </c>
      <c r="V70">
        <v>0.7</v>
      </c>
      <c r="X70">
        <f t="shared" si="35"/>
        <v>0.70699999999999996</v>
      </c>
      <c r="Y70">
        <f t="shared" si="36"/>
        <v>0.71399999999999997</v>
      </c>
      <c r="Z70">
        <f t="shared" si="37"/>
        <v>0.72099999999999997</v>
      </c>
      <c r="AA70">
        <f t="shared" si="38"/>
        <v>0.72799999999999998</v>
      </c>
      <c r="AB70">
        <f t="shared" si="39"/>
        <v>0.73499999999999999</v>
      </c>
    </row>
    <row r="71" spans="1:28" x14ac:dyDescent="0.3">
      <c r="A71">
        <v>2</v>
      </c>
      <c r="B71">
        <v>3.2</v>
      </c>
      <c r="D71">
        <f t="shared" ref="D71:D73" si="40">B71+(B71*1%)</f>
        <v>3.2320000000000002</v>
      </c>
      <c r="E71">
        <f t="shared" ref="E71:E73" si="41">B71+(B71*2%)</f>
        <v>3.2640000000000002</v>
      </c>
      <c r="F71">
        <f t="shared" ref="F71:F73" si="42">B71+(B71*3%)</f>
        <v>3.2960000000000003</v>
      </c>
      <c r="G71">
        <f t="shared" ref="G71:G73" si="43">B71+(B71*4%)</f>
        <v>3.3280000000000003</v>
      </c>
      <c r="H71">
        <f t="shared" ref="H71:H73" si="44">B71+(B71*5%)</f>
        <v>3.3600000000000003</v>
      </c>
      <c r="T71">
        <v>1</v>
      </c>
      <c r="U71">
        <v>5</v>
      </c>
      <c r="V71">
        <v>0.2</v>
      </c>
      <c r="X71">
        <f t="shared" si="35"/>
        <v>0.20200000000000001</v>
      </c>
      <c r="Y71">
        <f t="shared" si="36"/>
        <v>0.20400000000000001</v>
      </c>
      <c r="Z71">
        <f t="shared" si="37"/>
        <v>0.20600000000000002</v>
      </c>
      <c r="AA71">
        <f t="shared" si="38"/>
        <v>0.20800000000000002</v>
      </c>
      <c r="AB71">
        <f t="shared" si="39"/>
        <v>0.21000000000000002</v>
      </c>
    </row>
    <row r="72" spans="1:28" x14ac:dyDescent="0.3">
      <c r="A72">
        <v>3</v>
      </c>
      <c r="B72">
        <v>2.6</v>
      </c>
      <c r="D72">
        <f t="shared" si="40"/>
        <v>2.6259999999999999</v>
      </c>
      <c r="E72">
        <f t="shared" si="41"/>
        <v>2.6520000000000001</v>
      </c>
      <c r="F72">
        <f t="shared" si="42"/>
        <v>2.6779999999999999</v>
      </c>
      <c r="G72">
        <f t="shared" si="43"/>
        <v>2.7040000000000002</v>
      </c>
      <c r="H72">
        <f t="shared" si="44"/>
        <v>2.73</v>
      </c>
      <c r="T72">
        <v>1</v>
      </c>
      <c r="U72">
        <v>6</v>
      </c>
      <c r="V72">
        <v>0.4</v>
      </c>
      <c r="X72">
        <f t="shared" si="35"/>
        <v>0.40400000000000003</v>
      </c>
      <c r="Y72">
        <f t="shared" si="36"/>
        <v>0.40800000000000003</v>
      </c>
      <c r="Z72">
        <f t="shared" si="37"/>
        <v>0.41200000000000003</v>
      </c>
      <c r="AA72">
        <f t="shared" si="38"/>
        <v>0.41600000000000004</v>
      </c>
      <c r="AB72">
        <f t="shared" si="39"/>
        <v>0.42000000000000004</v>
      </c>
    </row>
    <row r="73" spans="1:28" x14ac:dyDescent="0.3">
      <c r="A73">
        <v>4</v>
      </c>
      <c r="B73">
        <v>1.8</v>
      </c>
      <c r="D73">
        <f t="shared" si="40"/>
        <v>1.8180000000000001</v>
      </c>
      <c r="E73">
        <f t="shared" si="41"/>
        <v>1.8360000000000001</v>
      </c>
      <c r="F73">
        <f t="shared" si="42"/>
        <v>1.8540000000000001</v>
      </c>
      <c r="G73">
        <f t="shared" si="43"/>
        <v>1.8720000000000001</v>
      </c>
      <c r="H73">
        <f t="shared" si="44"/>
        <v>1.8900000000000001</v>
      </c>
      <c r="T73">
        <v>2</v>
      </c>
      <c r="U73">
        <v>1</v>
      </c>
      <c r="V73">
        <v>0.5</v>
      </c>
      <c r="X73">
        <f t="shared" si="35"/>
        <v>0.505</v>
      </c>
      <c r="Y73">
        <f t="shared" si="36"/>
        <v>0.51</v>
      </c>
      <c r="Z73">
        <f t="shared" si="37"/>
        <v>0.51500000000000001</v>
      </c>
      <c r="AA73">
        <f t="shared" si="38"/>
        <v>0.52</v>
      </c>
      <c r="AB73">
        <f t="shared" si="39"/>
        <v>0.52500000000000002</v>
      </c>
    </row>
    <row r="74" spans="1:28" x14ac:dyDescent="0.3">
      <c r="T74">
        <v>2</v>
      </c>
      <c r="U74">
        <v>2</v>
      </c>
      <c r="V74">
        <v>0.7</v>
      </c>
      <c r="X74">
        <f t="shared" si="35"/>
        <v>0.70699999999999996</v>
      </c>
      <c r="Y74">
        <f t="shared" si="36"/>
        <v>0.71399999999999997</v>
      </c>
      <c r="Z74">
        <f t="shared" si="37"/>
        <v>0.72099999999999997</v>
      </c>
      <c r="AA74">
        <f t="shared" si="38"/>
        <v>0.72799999999999998</v>
      </c>
      <c r="AB74">
        <f t="shared" si="39"/>
        <v>0.73499999999999999</v>
      </c>
    </row>
    <row r="75" spans="1:28" x14ac:dyDescent="0.3">
      <c r="A75" t="s">
        <v>218</v>
      </c>
      <c r="B75" t="s">
        <v>160</v>
      </c>
      <c r="D75" s="16">
        <f>(D76-B76)/B76*100</f>
        <v>4.2987258881188066E-3</v>
      </c>
      <c r="E75" s="16">
        <f>(E76-B76)/B76*100</f>
        <v>8.5974517762233381E-3</v>
      </c>
      <c r="F75" s="16">
        <f>(F76-B76)/B76*100</f>
        <v>1.2896177664327869E-2</v>
      </c>
      <c r="G75" s="16">
        <f>(G76-B76)/B76*100</f>
        <v>1.7194903552432399E-2</v>
      </c>
      <c r="H75" s="16">
        <f>(H76-B76)/B76*100</f>
        <v>2.1493629440536934E-2</v>
      </c>
      <c r="T75">
        <v>2</v>
      </c>
      <c r="U75">
        <v>3</v>
      </c>
      <c r="V75">
        <v>0.2</v>
      </c>
      <c r="X75">
        <f t="shared" si="35"/>
        <v>0.20200000000000001</v>
      </c>
      <c r="Y75">
        <f t="shared" si="36"/>
        <v>0.20400000000000001</v>
      </c>
      <c r="Z75">
        <f t="shared" si="37"/>
        <v>0.20600000000000002</v>
      </c>
      <c r="AA75">
        <f t="shared" si="38"/>
        <v>0.20800000000000002</v>
      </c>
      <c r="AB75">
        <f t="shared" si="39"/>
        <v>0.21000000000000002</v>
      </c>
    </row>
    <row r="76" spans="1:28" x14ac:dyDescent="0.3">
      <c r="A76" t="s">
        <v>158</v>
      </c>
      <c r="B76">
        <v>815497.45</v>
      </c>
      <c r="D76" s="21">
        <v>815532.50600000005</v>
      </c>
      <c r="E76" s="21">
        <v>815567.56200000003</v>
      </c>
      <c r="F76" s="21">
        <v>815602.61800000002</v>
      </c>
      <c r="G76" s="21">
        <v>815637.674</v>
      </c>
      <c r="H76" s="21">
        <v>815672.73</v>
      </c>
      <c r="T76">
        <v>2</v>
      </c>
      <c r="U76">
        <v>4</v>
      </c>
      <c r="V76">
        <v>0.5</v>
      </c>
      <c r="X76">
        <f t="shared" si="35"/>
        <v>0.505</v>
      </c>
      <c r="Y76">
        <f t="shared" si="36"/>
        <v>0.51</v>
      </c>
      <c r="Z76">
        <f t="shared" si="37"/>
        <v>0.51500000000000001</v>
      </c>
      <c r="AA76">
        <f t="shared" si="38"/>
        <v>0.52</v>
      </c>
      <c r="AB76">
        <f t="shared" si="39"/>
        <v>0.52500000000000002</v>
      </c>
    </row>
    <row r="77" spans="1:28" x14ac:dyDescent="0.3">
      <c r="A77" t="s">
        <v>159</v>
      </c>
      <c r="B77">
        <v>4840.7044030870002</v>
      </c>
      <c r="D77" s="21">
        <v>4840.7044030870002</v>
      </c>
      <c r="E77" s="21">
        <v>4840.7044030870002</v>
      </c>
      <c r="F77" s="21">
        <v>4840.7044030870002</v>
      </c>
      <c r="G77" s="21">
        <v>4840.7044030870002</v>
      </c>
      <c r="H77" s="21">
        <v>4840.7044030870002</v>
      </c>
      <c r="T77">
        <v>2</v>
      </c>
      <c r="U77">
        <v>5</v>
      </c>
      <c r="V77">
        <v>0.1</v>
      </c>
      <c r="X77">
        <f t="shared" si="35"/>
        <v>0.10100000000000001</v>
      </c>
      <c r="Y77">
        <f t="shared" si="36"/>
        <v>0.10200000000000001</v>
      </c>
      <c r="Z77">
        <f t="shared" si="37"/>
        <v>0.10300000000000001</v>
      </c>
      <c r="AA77">
        <f t="shared" si="38"/>
        <v>0.10400000000000001</v>
      </c>
      <c r="AB77">
        <f t="shared" si="39"/>
        <v>0.10500000000000001</v>
      </c>
    </row>
    <row r="78" spans="1:28" x14ac:dyDescent="0.3">
      <c r="T78">
        <v>2</v>
      </c>
      <c r="U78">
        <v>6</v>
      </c>
      <c r="V78">
        <v>0.5</v>
      </c>
      <c r="X78">
        <f t="shared" si="35"/>
        <v>0.505</v>
      </c>
      <c r="Y78">
        <f t="shared" si="36"/>
        <v>0.51</v>
      </c>
      <c r="Z78">
        <f t="shared" si="37"/>
        <v>0.51500000000000001</v>
      </c>
      <c r="AA78">
        <f t="shared" si="38"/>
        <v>0.52</v>
      </c>
      <c r="AB78">
        <f t="shared" si="39"/>
        <v>0.52500000000000002</v>
      </c>
    </row>
    <row r="79" spans="1:28" x14ac:dyDescent="0.3">
      <c r="T79">
        <v>3</v>
      </c>
      <c r="U79">
        <v>1</v>
      </c>
      <c r="V79">
        <v>0.4</v>
      </c>
      <c r="X79">
        <f t="shared" si="35"/>
        <v>0.40400000000000003</v>
      </c>
      <c r="Y79">
        <f>V79+(V79*2%)</f>
        <v>0.40800000000000003</v>
      </c>
      <c r="Z79">
        <f>V79+(V79*3%)</f>
        <v>0.41200000000000003</v>
      </c>
      <c r="AA79">
        <f t="shared" si="38"/>
        <v>0.41600000000000004</v>
      </c>
      <c r="AB79">
        <f>V79+(V79*5%)</f>
        <v>0.42000000000000004</v>
      </c>
    </row>
    <row r="80" spans="1:28" x14ac:dyDescent="0.3">
      <c r="B80" t="s">
        <v>161</v>
      </c>
      <c r="D80" s="16">
        <f>(D81-B81)/B81*100</f>
        <v>2.3016688564837357E-3</v>
      </c>
      <c r="E80" s="16">
        <f>(E81-B81)/B81*100</f>
        <v>6.5942739452399327E-3</v>
      </c>
      <c r="F80" s="16">
        <f>(F81-B81)/B81*100</f>
        <v>1.0886879034010349E-2</v>
      </c>
      <c r="G80" s="16">
        <f>(G81-B81)/B81*100</f>
        <v>1.5179484122766545E-2</v>
      </c>
      <c r="H80" s="16">
        <f>(H81-B81)/B81*100</f>
        <v>1.9472089211522742E-2</v>
      </c>
      <c r="T80">
        <v>3</v>
      </c>
      <c r="U80">
        <v>2</v>
      </c>
      <c r="V80">
        <v>0.7</v>
      </c>
      <c r="X80">
        <f t="shared" si="35"/>
        <v>0.70699999999999996</v>
      </c>
      <c r="Y80">
        <f t="shared" si="36"/>
        <v>0.71399999999999997</v>
      </c>
      <c r="Z80">
        <f t="shared" si="37"/>
        <v>0.72099999999999997</v>
      </c>
      <c r="AA80">
        <f t="shared" si="38"/>
        <v>0.72799999999999998</v>
      </c>
      <c r="AB80">
        <f t="shared" si="39"/>
        <v>0.73499999999999999</v>
      </c>
    </row>
    <row r="81" spans="1:28" x14ac:dyDescent="0.3">
      <c r="B81">
        <v>818710.3</v>
      </c>
      <c r="D81" s="21">
        <v>818729.14399999997</v>
      </c>
      <c r="E81" s="21">
        <v>818764.28799999994</v>
      </c>
      <c r="F81" s="21">
        <v>818799.43200000003</v>
      </c>
      <c r="G81" s="21">
        <v>818834.576</v>
      </c>
      <c r="H81" s="21">
        <v>818869.72</v>
      </c>
      <c r="T81">
        <v>3</v>
      </c>
      <c r="U81">
        <v>3</v>
      </c>
      <c r="V81">
        <v>0.8</v>
      </c>
      <c r="X81">
        <f t="shared" si="35"/>
        <v>0.80800000000000005</v>
      </c>
      <c r="Y81">
        <f t="shared" si="36"/>
        <v>0.81600000000000006</v>
      </c>
      <c r="Z81">
        <f t="shared" si="37"/>
        <v>0.82400000000000007</v>
      </c>
      <c r="AA81">
        <f t="shared" si="38"/>
        <v>0.83200000000000007</v>
      </c>
      <c r="AB81">
        <f t="shared" si="39"/>
        <v>0.84000000000000008</v>
      </c>
    </row>
    <row r="82" spans="1:28" x14ac:dyDescent="0.3">
      <c r="B82">
        <v>4741.7772567669999</v>
      </c>
      <c r="D82" s="21">
        <v>4741.7772567669999</v>
      </c>
      <c r="E82" s="21">
        <v>4741.7772567669999</v>
      </c>
      <c r="F82" s="21">
        <v>4741.7772567669999</v>
      </c>
      <c r="G82" s="21">
        <v>4741.7772567669999</v>
      </c>
      <c r="H82" s="21">
        <v>4741.7772567669999</v>
      </c>
      <c r="T82">
        <v>3</v>
      </c>
      <c r="U82">
        <v>4</v>
      </c>
      <c r="V82">
        <v>0.3</v>
      </c>
      <c r="X82">
        <f t="shared" si="35"/>
        <v>0.30299999999999999</v>
      </c>
      <c r="Y82">
        <f t="shared" si="36"/>
        <v>0.30599999999999999</v>
      </c>
      <c r="Z82">
        <f t="shared" si="37"/>
        <v>0.309</v>
      </c>
      <c r="AA82">
        <f t="shared" si="38"/>
        <v>0.312</v>
      </c>
      <c r="AB82">
        <f t="shared" si="39"/>
        <v>0.315</v>
      </c>
    </row>
    <row r="83" spans="1:28" x14ac:dyDescent="0.3">
      <c r="A83" s="22"/>
      <c r="B83" s="22"/>
      <c r="C83" s="22"/>
      <c r="D83" s="22"/>
      <c r="E83" s="22"/>
      <c r="F83" s="22"/>
      <c r="G83" s="22"/>
      <c r="H83" s="22"/>
      <c r="T83">
        <v>3</v>
      </c>
      <c r="U83">
        <v>5</v>
      </c>
      <c r="V83">
        <v>0.8</v>
      </c>
      <c r="X83">
        <f t="shared" si="35"/>
        <v>0.80800000000000005</v>
      </c>
      <c r="Y83">
        <f t="shared" si="36"/>
        <v>0.81600000000000006</v>
      </c>
      <c r="Z83">
        <f t="shared" si="37"/>
        <v>0.82400000000000007</v>
      </c>
      <c r="AA83">
        <f t="shared" si="38"/>
        <v>0.83200000000000007</v>
      </c>
      <c r="AB83">
        <f t="shared" si="39"/>
        <v>0.84000000000000008</v>
      </c>
    </row>
    <row r="84" spans="1:28" x14ac:dyDescent="0.3">
      <c r="T84">
        <v>3</v>
      </c>
      <c r="U84">
        <v>6</v>
      </c>
      <c r="V84">
        <v>0.4</v>
      </c>
      <c r="X84">
        <f t="shared" ref="X84" si="45">V84+(V84*1%)</f>
        <v>0.40400000000000003</v>
      </c>
      <c r="Y84">
        <f t="shared" ref="Y84" si="46">V84+(V84*2%)</f>
        <v>0.40800000000000003</v>
      </c>
      <c r="Z84">
        <f t="shared" ref="Z84" si="47">V84+(V84*3%)</f>
        <v>0.41200000000000003</v>
      </c>
      <c r="AA84">
        <f t="shared" ref="AA84" si="48">V84+(V84*4%)</f>
        <v>0.41600000000000004</v>
      </c>
      <c r="AB84">
        <f t="shared" ref="AB84" si="49">V84+(V84*5%)</f>
        <v>0.42000000000000004</v>
      </c>
    </row>
    <row r="85" spans="1:28" x14ac:dyDescent="0.3">
      <c r="A85" t="s">
        <v>24</v>
      </c>
    </row>
    <row r="86" spans="1:28" x14ac:dyDescent="0.3">
      <c r="A86" s="10" t="s">
        <v>25</v>
      </c>
      <c r="T86" t="s">
        <v>192</v>
      </c>
      <c r="U86" t="s">
        <v>160</v>
      </c>
      <c r="X86" s="16">
        <f>(X87-U87)/U87*100</f>
        <v>3.7676348277670968E-3</v>
      </c>
      <c r="Y86" s="16">
        <f>(Y87-U87)/U87*100</f>
        <v>7.535269676182732E-3</v>
      </c>
      <c r="Z86" s="16">
        <f>(Z87-U87)/U87*100</f>
        <v>1.1302904524617154E-2</v>
      </c>
      <c r="AA86" s="16">
        <f>(AA87-U87)/U87*100</f>
        <v>1.5070539352384253E-2</v>
      </c>
      <c r="AB86" s="16">
        <f>(AB87-U87)/U87*100</f>
        <v>1.8838174200818673E-2</v>
      </c>
    </row>
    <row r="87" spans="1:28" x14ac:dyDescent="0.3">
      <c r="A87" s="11" t="s">
        <v>26</v>
      </c>
      <c r="T87" t="s">
        <v>178</v>
      </c>
      <c r="U87">
        <v>4840.7044030870002</v>
      </c>
      <c r="X87" s="21">
        <v>4840.8867831520001</v>
      </c>
      <c r="Y87" s="21">
        <v>4841.0691632179996</v>
      </c>
      <c r="Z87" s="21">
        <v>4841.251543284</v>
      </c>
      <c r="AA87" s="21">
        <v>4841.433923349</v>
      </c>
      <c r="AB87" s="21">
        <v>4841.6163034150004</v>
      </c>
    </row>
    <row r="88" spans="1:28" x14ac:dyDescent="0.3">
      <c r="A88" s="11" t="s">
        <v>27</v>
      </c>
      <c r="X88" s="16">
        <f>(X89-U89)/U89*100</f>
        <v>0</v>
      </c>
      <c r="Y88" s="16">
        <f>(Y89-U89)/U89*100</f>
        <v>0</v>
      </c>
      <c r="Z88" s="16">
        <f>(Z89-U89)/U89*100</f>
        <v>0</v>
      </c>
      <c r="AA88" s="16">
        <f>(AA89-U89)/U89*100</f>
        <v>0</v>
      </c>
      <c r="AB88" s="16">
        <f>(AB89-U89)/U89*100</f>
        <v>0</v>
      </c>
    </row>
    <row r="89" spans="1:28" x14ac:dyDescent="0.3">
      <c r="T89" t="s">
        <v>158</v>
      </c>
      <c r="U89">
        <v>815497.45</v>
      </c>
      <c r="X89" s="21">
        <v>815497.45</v>
      </c>
      <c r="Y89" s="21">
        <v>815497.45</v>
      </c>
      <c r="Z89" s="21">
        <v>815497.45</v>
      </c>
      <c r="AA89" s="21">
        <v>815497.45</v>
      </c>
      <c r="AB89" s="21">
        <v>815497.45</v>
      </c>
    </row>
    <row r="90" spans="1:28" x14ac:dyDescent="0.3">
      <c r="A90" t="s">
        <v>28</v>
      </c>
      <c r="B90" t="s">
        <v>10</v>
      </c>
      <c r="C90" t="s">
        <v>29</v>
      </c>
      <c r="E90" s="20">
        <v>0.01</v>
      </c>
      <c r="F90" s="20">
        <v>0.02</v>
      </c>
      <c r="G90" s="20">
        <v>0.03</v>
      </c>
      <c r="H90" s="20">
        <v>0.04</v>
      </c>
      <c r="I90" s="20">
        <v>0.05</v>
      </c>
    </row>
    <row r="91" spans="1:28" x14ac:dyDescent="0.3">
      <c r="A91">
        <v>1</v>
      </c>
      <c r="B91">
        <v>1</v>
      </c>
      <c r="C91">
        <v>2.8</v>
      </c>
      <c r="E91">
        <f>C91+(C91*1%)</f>
        <v>2.8279999999999998</v>
      </c>
      <c r="F91">
        <f>C91+(C91*2%)</f>
        <v>2.8559999999999999</v>
      </c>
      <c r="G91">
        <f>C91+(C91*3%)</f>
        <v>2.8839999999999999</v>
      </c>
      <c r="H91">
        <f>C91+(C91*4%)</f>
        <v>2.9119999999999999</v>
      </c>
      <c r="I91">
        <f>C91+(C91*5%)</f>
        <v>2.94</v>
      </c>
    </row>
    <row r="92" spans="1:28" x14ac:dyDescent="0.3">
      <c r="A92">
        <v>1</v>
      </c>
      <c r="B92">
        <v>2</v>
      </c>
      <c r="C92">
        <v>3.3</v>
      </c>
      <c r="E92">
        <f t="shared" ref="E92:E93" si="50">C92+(C92*1%)</f>
        <v>3.3329999999999997</v>
      </c>
      <c r="F92">
        <f t="shared" ref="F92:F93" si="51">C92+(C92*2%)</f>
        <v>3.3659999999999997</v>
      </c>
      <c r="G92">
        <f t="shared" ref="G92:G93" si="52">C92+(C92*3%)</f>
        <v>3.399</v>
      </c>
      <c r="H92">
        <f t="shared" ref="H92:H93" si="53">C92+(C92*4%)</f>
        <v>3.4319999999999999</v>
      </c>
      <c r="I92">
        <f t="shared" ref="I92:I93" si="54">C92+(C92*5%)</f>
        <v>3.4649999999999999</v>
      </c>
      <c r="U92" t="s">
        <v>161</v>
      </c>
      <c r="X92" s="16">
        <f>(X93-U93)/U93*100</f>
        <v>1.8457523890549781E-3</v>
      </c>
      <c r="Y92" s="16">
        <f>(Y93-U93)/U93*100</f>
        <v>2.935265649631784E-3</v>
      </c>
      <c r="Z92" s="16">
        <f>(Z93-U93)/U93*100</f>
        <v>1.4201723247107863E-2</v>
      </c>
      <c r="AA92" s="16">
        <f>(AA93-U93)/U93*100</f>
        <v>2.6099570118657704E-2</v>
      </c>
      <c r="AB92" s="16">
        <f>(AB93-U93)/U93*100</f>
        <v>2.6552554281264788E-2</v>
      </c>
    </row>
    <row r="93" spans="1:28" x14ac:dyDescent="0.3">
      <c r="A93">
        <v>1</v>
      </c>
      <c r="B93">
        <v>3</v>
      </c>
      <c r="C93">
        <v>1.4</v>
      </c>
      <c r="E93">
        <f t="shared" si="50"/>
        <v>1.4139999999999999</v>
      </c>
      <c r="F93">
        <f t="shared" si="51"/>
        <v>1.4279999999999999</v>
      </c>
      <c r="G93">
        <f t="shared" si="52"/>
        <v>1.4419999999999999</v>
      </c>
      <c r="H93">
        <f t="shared" si="53"/>
        <v>1.456</v>
      </c>
      <c r="I93">
        <f t="shared" si="54"/>
        <v>1.47</v>
      </c>
      <c r="T93" t="s">
        <v>178</v>
      </c>
      <c r="U93">
        <v>4741.7772567669999</v>
      </c>
      <c r="X93" s="21">
        <v>4741.8647782340004</v>
      </c>
      <c r="Y93" s="21">
        <v>4741.9164405259999</v>
      </c>
      <c r="Z93" s="21">
        <v>4742.4506708500003</v>
      </c>
      <c r="AA93" s="21">
        <v>4743.0148402470004</v>
      </c>
      <c r="AB93" s="21">
        <v>4743.0363197469997</v>
      </c>
    </row>
    <row r="94" spans="1:28" x14ac:dyDescent="0.3">
      <c r="A94">
        <v>1</v>
      </c>
      <c r="B94">
        <v>4</v>
      </c>
      <c r="C94">
        <v>3.7</v>
      </c>
      <c r="E94">
        <f t="shared" ref="E94:E108" si="55">C94+(C94*1%)</f>
        <v>3.7370000000000001</v>
      </c>
      <c r="F94">
        <f t="shared" ref="F94:F108" si="56">C94+(C94*2%)</f>
        <v>3.774</v>
      </c>
      <c r="G94">
        <f t="shared" ref="G94:G108" si="57">C94+(C94*3%)</f>
        <v>3.8110000000000004</v>
      </c>
      <c r="H94">
        <f t="shared" ref="H94:H108" si="58">C94+(C94*4%)</f>
        <v>3.8480000000000003</v>
      </c>
      <c r="I94">
        <f t="shared" ref="I94:I108" si="59">C94+(C94*5%)</f>
        <v>3.8850000000000002</v>
      </c>
      <c r="X94" s="16">
        <f>(X95-U95)/U95*100</f>
        <v>3.6642998139879267E-4</v>
      </c>
      <c r="Y94" s="16">
        <f>(Y95-U95)/U95*100</f>
        <v>1.2825049348957744E-3</v>
      </c>
      <c r="Z94" s="16">
        <f>(Z95-U95)/U95*100</f>
        <v>-8.9164628807039542E-3</v>
      </c>
      <c r="AA94" s="16">
        <f>(AA95-U95)/U95*100</f>
        <v>-1.4754913917663742E-2</v>
      </c>
      <c r="AB94" s="16">
        <f>(AB95-U95)/U95*100</f>
        <v>-1.6000775854413948E-2</v>
      </c>
    </row>
    <row r="95" spans="1:28" x14ac:dyDescent="0.3">
      <c r="A95">
        <v>1</v>
      </c>
      <c r="B95">
        <v>5</v>
      </c>
      <c r="C95">
        <v>2.7</v>
      </c>
      <c r="E95">
        <f t="shared" si="55"/>
        <v>2.7270000000000003</v>
      </c>
      <c r="F95">
        <f t="shared" si="56"/>
        <v>2.754</v>
      </c>
      <c r="G95">
        <f t="shared" si="57"/>
        <v>2.7810000000000001</v>
      </c>
      <c r="H95">
        <f t="shared" si="58"/>
        <v>2.8080000000000003</v>
      </c>
      <c r="I95">
        <f t="shared" si="59"/>
        <v>2.835</v>
      </c>
      <c r="T95" t="s">
        <v>158</v>
      </c>
      <c r="U95">
        <v>818710.3</v>
      </c>
      <c r="X95" s="21">
        <v>818713.3</v>
      </c>
      <c r="Y95" s="21">
        <v>818720.8</v>
      </c>
      <c r="Z95" s="21">
        <v>818637.3</v>
      </c>
      <c r="AA95" s="21">
        <v>818589.5</v>
      </c>
      <c r="AB95" s="21">
        <v>818579.3</v>
      </c>
    </row>
    <row r="96" spans="1:28" x14ac:dyDescent="0.3">
      <c r="A96">
        <v>1</v>
      </c>
      <c r="B96">
        <v>6</v>
      </c>
      <c r="C96">
        <v>4.2</v>
      </c>
      <c r="E96">
        <f t="shared" si="55"/>
        <v>4.242</v>
      </c>
      <c r="F96">
        <f t="shared" si="56"/>
        <v>4.2839999999999998</v>
      </c>
      <c r="G96">
        <f t="shared" si="57"/>
        <v>4.3260000000000005</v>
      </c>
      <c r="H96">
        <f t="shared" si="58"/>
        <v>4.3680000000000003</v>
      </c>
      <c r="I96">
        <f t="shared" si="59"/>
        <v>4.41</v>
      </c>
      <c r="T96" s="22"/>
      <c r="U96" s="22"/>
      <c r="V96" s="22"/>
      <c r="W96" s="22"/>
      <c r="X96" s="22"/>
      <c r="Y96" s="22"/>
      <c r="Z96" s="22"/>
      <c r="AA96" s="22"/>
      <c r="AB96" s="22"/>
    </row>
    <row r="97" spans="1:28" x14ac:dyDescent="0.3">
      <c r="A97">
        <v>2</v>
      </c>
      <c r="B97">
        <v>1</v>
      </c>
      <c r="C97">
        <v>2.2999999999999998</v>
      </c>
      <c r="E97">
        <f>C97+(C97*1%)</f>
        <v>2.323</v>
      </c>
      <c r="F97">
        <f t="shared" si="56"/>
        <v>2.3459999999999996</v>
      </c>
      <c r="G97">
        <f t="shared" si="57"/>
        <v>2.3689999999999998</v>
      </c>
      <c r="H97">
        <f t="shared" si="58"/>
        <v>2.3919999999999999</v>
      </c>
      <c r="I97">
        <f t="shared" si="59"/>
        <v>2.415</v>
      </c>
    </row>
    <row r="98" spans="1:28" x14ac:dyDescent="0.3">
      <c r="A98">
        <v>2</v>
      </c>
      <c r="B98">
        <v>2</v>
      </c>
      <c r="C98">
        <v>4.2</v>
      </c>
      <c r="E98">
        <f t="shared" si="55"/>
        <v>4.242</v>
      </c>
      <c r="F98">
        <f t="shared" si="56"/>
        <v>4.2839999999999998</v>
      </c>
      <c r="G98">
        <f t="shared" si="57"/>
        <v>4.3260000000000005</v>
      </c>
      <c r="H98">
        <f t="shared" si="58"/>
        <v>4.3680000000000003</v>
      </c>
      <c r="I98">
        <f t="shared" si="59"/>
        <v>4.41</v>
      </c>
      <c r="T98" t="s">
        <v>88</v>
      </c>
    </row>
    <row r="99" spans="1:28" x14ac:dyDescent="0.3">
      <c r="A99">
        <v>2</v>
      </c>
      <c r="B99">
        <v>3</v>
      </c>
      <c r="C99">
        <v>3.7</v>
      </c>
      <c r="E99">
        <f t="shared" si="55"/>
        <v>3.7370000000000001</v>
      </c>
      <c r="F99">
        <f t="shared" si="56"/>
        <v>3.774</v>
      </c>
      <c r="G99">
        <f t="shared" si="57"/>
        <v>3.8110000000000004</v>
      </c>
      <c r="H99">
        <f t="shared" si="58"/>
        <v>3.8480000000000003</v>
      </c>
      <c r="I99">
        <f t="shared" si="59"/>
        <v>3.8850000000000002</v>
      </c>
      <c r="T99" s="10" t="s">
        <v>78</v>
      </c>
    </row>
    <row r="100" spans="1:28" x14ac:dyDescent="0.3">
      <c r="A100">
        <v>2</v>
      </c>
      <c r="B100">
        <v>4</v>
      </c>
      <c r="C100">
        <v>3.6</v>
      </c>
      <c r="E100">
        <f t="shared" si="55"/>
        <v>3.6360000000000001</v>
      </c>
      <c r="F100">
        <f t="shared" si="56"/>
        <v>3.6720000000000002</v>
      </c>
      <c r="G100">
        <f t="shared" si="57"/>
        <v>3.7080000000000002</v>
      </c>
      <c r="H100">
        <f t="shared" si="58"/>
        <v>3.7440000000000002</v>
      </c>
      <c r="I100">
        <f t="shared" si="59"/>
        <v>3.7800000000000002</v>
      </c>
      <c r="T100" s="11" t="s">
        <v>79</v>
      </c>
    </row>
    <row r="101" spans="1:28" x14ac:dyDescent="0.3">
      <c r="A101">
        <v>2</v>
      </c>
      <c r="B101">
        <v>5</v>
      </c>
      <c r="C101">
        <v>2.6</v>
      </c>
      <c r="E101">
        <f t="shared" si="55"/>
        <v>2.6259999999999999</v>
      </c>
      <c r="F101">
        <f t="shared" si="56"/>
        <v>2.6520000000000001</v>
      </c>
      <c r="G101">
        <f t="shared" si="57"/>
        <v>2.6779999999999999</v>
      </c>
      <c r="H101">
        <f t="shared" si="58"/>
        <v>2.7040000000000002</v>
      </c>
      <c r="I101">
        <f t="shared" si="59"/>
        <v>2.73</v>
      </c>
    </row>
    <row r="102" spans="1:28" x14ac:dyDescent="0.3">
      <c r="A102">
        <v>2</v>
      </c>
      <c r="B102">
        <v>6</v>
      </c>
      <c r="C102">
        <v>2.4</v>
      </c>
      <c r="E102">
        <f t="shared" si="55"/>
        <v>2.4239999999999999</v>
      </c>
      <c r="F102">
        <f t="shared" si="56"/>
        <v>2.448</v>
      </c>
      <c r="G102">
        <f t="shared" si="57"/>
        <v>2.472</v>
      </c>
      <c r="H102">
        <f t="shared" si="58"/>
        <v>2.496</v>
      </c>
      <c r="I102">
        <f t="shared" si="59"/>
        <v>2.52</v>
      </c>
      <c r="T102" t="s">
        <v>72</v>
      </c>
      <c r="U102" t="s">
        <v>10</v>
      </c>
      <c r="V102" t="s">
        <v>90</v>
      </c>
      <c r="X102" s="20">
        <v>0.01</v>
      </c>
      <c r="Y102" s="20">
        <v>0.02</v>
      </c>
      <c r="Z102" s="20">
        <v>0.03</v>
      </c>
      <c r="AA102" s="20">
        <v>0.04</v>
      </c>
      <c r="AB102" s="20">
        <v>0.05</v>
      </c>
    </row>
    <row r="103" spans="1:28" x14ac:dyDescent="0.3">
      <c r="A103">
        <v>3</v>
      </c>
      <c r="B103">
        <v>1</v>
      </c>
      <c r="C103">
        <v>3.2</v>
      </c>
      <c r="E103">
        <f t="shared" si="55"/>
        <v>3.2320000000000002</v>
      </c>
      <c r="F103">
        <f>C103+(C103*2%)</f>
        <v>3.2640000000000002</v>
      </c>
      <c r="G103">
        <f t="shared" si="57"/>
        <v>3.2960000000000003</v>
      </c>
      <c r="H103">
        <f>C103+(C103*4%)</f>
        <v>3.3280000000000003</v>
      </c>
      <c r="I103">
        <f t="shared" si="59"/>
        <v>3.3600000000000003</v>
      </c>
      <c r="T103">
        <v>1</v>
      </c>
      <c r="U103">
        <v>1</v>
      </c>
      <c r="V103">
        <v>0.3</v>
      </c>
      <c r="X103">
        <f>V103+(V103*1%)</f>
        <v>0.30299999999999999</v>
      </c>
      <c r="Y103">
        <f>V103+(V103*2%)</f>
        <v>0.30599999999999999</v>
      </c>
      <c r="Z103">
        <f>V103+V103*3%</f>
        <v>0.309</v>
      </c>
      <c r="AA103">
        <f>V103+(V103*4%)</f>
        <v>0.312</v>
      </c>
      <c r="AB103">
        <f>V103+(V103*5%)</f>
        <v>0.315</v>
      </c>
    </row>
    <row r="104" spans="1:28" x14ac:dyDescent="0.3">
      <c r="A104">
        <v>3</v>
      </c>
      <c r="B104">
        <v>2</v>
      </c>
      <c r="C104">
        <v>3.7</v>
      </c>
      <c r="E104">
        <f t="shared" si="55"/>
        <v>3.7370000000000001</v>
      </c>
      <c r="F104">
        <f t="shared" si="56"/>
        <v>3.774</v>
      </c>
      <c r="G104">
        <f t="shared" si="57"/>
        <v>3.8110000000000004</v>
      </c>
      <c r="H104">
        <f t="shared" si="58"/>
        <v>3.8480000000000003</v>
      </c>
      <c r="I104">
        <f t="shared" si="59"/>
        <v>3.8850000000000002</v>
      </c>
      <c r="T104">
        <v>1</v>
      </c>
      <c r="U104">
        <v>2</v>
      </c>
      <c r="V104">
        <v>0.4</v>
      </c>
      <c r="X104">
        <f t="shared" ref="X104:X114" si="60">V104+(V104*1%)</f>
        <v>0.40400000000000003</v>
      </c>
      <c r="Y104">
        <f t="shared" ref="Y104:Y114" si="61">V104+(V104*2%)</f>
        <v>0.40800000000000003</v>
      </c>
      <c r="Z104">
        <f t="shared" ref="Z104:Z114" si="62">V104+(V104*3%)</f>
        <v>0.41200000000000003</v>
      </c>
      <c r="AA104">
        <f t="shared" ref="AA104:AA114" si="63">V104+(V104*4%)</f>
        <v>0.41600000000000004</v>
      </c>
      <c r="AB104">
        <f t="shared" ref="AB104:AB114" si="64">V104+(V104*5%)</f>
        <v>0.42000000000000004</v>
      </c>
    </row>
    <row r="105" spans="1:28" x14ac:dyDescent="0.3">
      <c r="A105">
        <v>3</v>
      </c>
      <c r="B105">
        <v>3</v>
      </c>
      <c r="C105">
        <v>4.0999999999999996</v>
      </c>
      <c r="E105">
        <f t="shared" si="55"/>
        <v>4.141</v>
      </c>
      <c r="F105">
        <f t="shared" si="56"/>
        <v>4.1819999999999995</v>
      </c>
      <c r="G105">
        <f t="shared" si="57"/>
        <v>4.2229999999999999</v>
      </c>
      <c r="H105">
        <f t="shared" si="58"/>
        <v>4.2639999999999993</v>
      </c>
      <c r="I105">
        <f t="shared" si="59"/>
        <v>4.3049999999999997</v>
      </c>
      <c r="T105">
        <v>1</v>
      </c>
      <c r="U105">
        <v>3</v>
      </c>
      <c r="V105">
        <v>0.3</v>
      </c>
      <c r="X105">
        <f t="shared" si="60"/>
        <v>0.30299999999999999</v>
      </c>
      <c r="Y105">
        <f t="shared" si="61"/>
        <v>0.30599999999999999</v>
      </c>
      <c r="Z105">
        <f t="shared" si="62"/>
        <v>0.309</v>
      </c>
      <c r="AA105">
        <f t="shared" si="63"/>
        <v>0.312</v>
      </c>
      <c r="AB105">
        <f t="shared" si="64"/>
        <v>0.315</v>
      </c>
    </row>
    <row r="106" spans="1:28" x14ac:dyDescent="0.3">
      <c r="A106">
        <v>3</v>
      </c>
      <c r="B106">
        <v>4</v>
      </c>
      <c r="C106">
        <v>1.7</v>
      </c>
      <c r="E106">
        <f t="shared" si="55"/>
        <v>1.7169999999999999</v>
      </c>
      <c r="F106">
        <f t="shared" si="56"/>
        <v>1.734</v>
      </c>
      <c r="G106">
        <f t="shared" si="57"/>
        <v>1.7509999999999999</v>
      </c>
      <c r="H106">
        <f t="shared" si="58"/>
        <v>1.768</v>
      </c>
      <c r="I106">
        <f t="shared" si="59"/>
        <v>1.7849999999999999</v>
      </c>
      <c r="T106">
        <v>1</v>
      </c>
      <c r="U106">
        <v>4</v>
      </c>
      <c r="V106">
        <v>0.2</v>
      </c>
      <c r="X106">
        <f t="shared" si="60"/>
        <v>0.20200000000000001</v>
      </c>
      <c r="Y106">
        <f t="shared" si="61"/>
        <v>0.20400000000000001</v>
      </c>
      <c r="Z106">
        <f t="shared" si="62"/>
        <v>0.20600000000000002</v>
      </c>
      <c r="AA106">
        <f t="shared" si="63"/>
        <v>0.20800000000000002</v>
      </c>
      <c r="AB106">
        <f t="shared" si="64"/>
        <v>0.21000000000000002</v>
      </c>
    </row>
    <row r="107" spans="1:28" x14ac:dyDescent="0.3">
      <c r="A107">
        <v>3</v>
      </c>
      <c r="B107">
        <v>5</v>
      </c>
      <c r="C107">
        <v>2.4</v>
      </c>
      <c r="E107">
        <f t="shared" si="55"/>
        <v>2.4239999999999999</v>
      </c>
      <c r="F107">
        <f t="shared" si="56"/>
        <v>2.448</v>
      </c>
      <c r="G107">
        <f t="shared" si="57"/>
        <v>2.472</v>
      </c>
      <c r="H107">
        <f t="shared" si="58"/>
        <v>2.496</v>
      </c>
      <c r="I107">
        <f t="shared" si="59"/>
        <v>2.52</v>
      </c>
      <c r="T107">
        <v>1</v>
      </c>
      <c r="U107">
        <v>5</v>
      </c>
      <c r="V107">
        <v>0.5</v>
      </c>
      <c r="X107">
        <f t="shared" si="60"/>
        <v>0.505</v>
      </c>
      <c r="Y107">
        <f t="shared" si="61"/>
        <v>0.51</v>
      </c>
      <c r="Z107">
        <f t="shared" si="62"/>
        <v>0.51500000000000001</v>
      </c>
      <c r="AA107">
        <f t="shared" si="63"/>
        <v>0.52</v>
      </c>
      <c r="AB107">
        <f t="shared" si="64"/>
        <v>0.52500000000000002</v>
      </c>
    </row>
    <row r="108" spans="1:28" x14ac:dyDescent="0.3">
      <c r="A108">
        <v>3</v>
      </c>
      <c r="B108">
        <v>6</v>
      </c>
      <c r="C108">
        <v>3.2</v>
      </c>
      <c r="E108">
        <f t="shared" si="55"/>
        <v>3.2320000000000002</v>
      </c>
      <c r="F108">
        <f t="shared" si="56"/>
        <v>3.2640000000000002</v>
      </c>
      <c r="G108">
        <f t="shared" si="57"/>
        <v>3.2960000000000003</v>
      </c>
      <c r="H108">
        <f t="shared" si="58"/>
        <v>3.3280000000000003</v>
      </c>
      <c r="I108">
        <f t="shared" si="59"/>
        <v>3.3600000000000003</v>
      </c>
      <c r="T108">
        <v>1</v>
      </c>
      <c r="U108">
        <v>6</v>
      </c>
      <c r="V108">
        <v>0.7</v>
      </c>
      <c r="X108">
        <f t="shared" si="60"/>
        <v>0.70699999999999996</v>
      </c>
      <c r="Y108">
        <f t="shared" si="61"/>
        <v>0.71399999999999997</v>
      </c>
      <c r="Z108">
        <f t="shared" si="62"/>
        <v>0.72099999999999997</v>
      </c>
      <c r="AA108">
        <f t="shared" si="63"/>
        <v>0.72799999999999998</v>
      </c>
      <c r="AB108">
        <f t="shared" si="64"/>
        <v>0.73499999999999999</v>
      </c>
    </row>
    <row r="109" spans="1:28" x14ac:dyDescent="0.3">
      <c r="T109">
        <v>2</v>
      </c>
      <c r="U109">
        <v>1</v>
      </c>
      <c r="V109">
        <v>0.6</v>
      </c>
      <c r="X109">
        <f t="shared" si="60"/>
        <v>0.60599999999999998</v>
      </c>
      <c r="Y109">
        <f t="shared" si="61"/>
        <v>0.61199999999999999</v>
      </c>
      <c r="Z109">
        <f t="shared" si="62"/>
        <v>0.61799999999999999</v>
      </c>
      <c r="AA109">
        <f t="shared" si="63"/>
        <v>0.624</v>
      </c>
      <c r="AB109">
        <f>V109+(V109*5%)</f>
        <v>0.63</v>
      </c>
    </row>
    <row r="110" spans="1:28" x14ac:dyDescent="0.3">
      <c r="A110" t="s">
        <v>219</v>
      </c>
      <c r="B110" t="s">
        <v>160</v>
      </c>
      <c r="E110" s="16">
        <f>(E111-B111)/B111*100</f>
        <v>2.461197150278799E-3</v>
      </c>
      <c r="F110" s="16">
        <f>(F111-B111)/B111*100</f>
        <v>4.922394300557598E-3</v>
      </c>
      <c r="G110" s="16">
        <f>(G111-B111)/B111*100</f>
        <v>7.3835914508363978E-3</v>
      </c>
      <c r="H110" s="16">
        <f>(H111-B111)/B111*100</f>
        <v>9.8447886011294727E-3</v>
      </c>
      <c r="I110" s="16">
        <f>(I111-B111)/B111*100</f>
        <v>1.2305985751408271E-2</v>
      </c>
      <c r="T110">
        <v>2</v>
      </c>
      <c r="U110">
        <v>2</v>
      </c>
      <c r="V110">
        <v>0.7</v>
      </c>
      <c r="X110">
        <f t="shared" si="60"/>
        <v>0.70699999999999996</v>
      </c>
      <c r="Y110">
        <f t="shared" si="61"/>
        <v>0.71399999999999997</v>
      </c>
      <c r="Z110">
        <f t="shared" si="62"/>
        <v>0.72099999999999997</v>
      </c>
      <c r="AA110">
        <f t="shared" si="63"/>
        <v>0.72799999999999998</v>
      </c>
      <c r="AB110">
        <f t="shared" si="64"/>
        <v>0.73499999999999999</v>
      </c>
    </row>
    <row r="111" spans="1:28" x14ac:dyDescent="0.3">
      <c r="A111" t="s">
        <v>158</v>
      </c>
      <c r="B111">
        <v>815497.45</v>
      </c>
      <c r="E111" s="21">
        <v>815517.52099999995</v>
      </c>
      <c r="F111" s="21">
        <v>815537.59199999995</v>
      </c>
      <c r="G111" s="21">
        <v>815557.66299999994</v>
      </c>
      <c r="H111" s="21">
        <v>815577.73400000005</v>
      </c>
      <c r="I111" s="21">
        <v>815597.80500000005</v>
      </c>
      <c r="T111">
        <v>2</v>
      </c>
      <c r="U111">
        <v>3</v>
      </c>
      <c r="V111">
        <v>0.3</v>
      </c>
      <c r="X111">
        <f t="shared" si="60"/>
        <v>0.30299999999999999</v>
      </c>
      <c r="Y111">
        <f t="shared" si="61"/>
        <v>0.30599999999999999</v>
      </c>
      <c r="Z111">
        <f t="shared" si="62"/>
        <v>0.309</v>
      </c>
      <c r="AA111">
        <f t="shared" si="63"/>
        <v>0.312</v>
      </c>
      <c r="AB111">
        <f t="shared" si="64"/>
        <v>0.315</v>
      </c>
    </row>
    <row r="112" spans="1:28" x14ac:dyDescent="0.3">
      <c r="A112" t="s">
        <v>159</v>
      </c>
      <c r="B112">
        <v>4840.7044030870002</v>
      </c>
      <c r="E112" s="21">
        <v>4840.7044030870002</v>
      </c>
      <c r="F112" s="21">
        <v>4840.7044030870002</v>
      </c>
      <c r="G112" s="21">
        <v>4840.7044030870002</v>
      </c>
      <c r="H112" s="21">
        <v>4840.7044030870002</v>
      </c>
      <c r="I112" s="21">
        <v>4840.7044030870002</v>
      </c>
      <c r="T112">
        <v>2</v>
      </c>
      <c r="U112">
        <v>4</v>
      </c>
      <c r="V112">
        <v>0.8</v>
      </c>
      <c r="X112">
        <f t="shared" si="60"/>
        <v>0.80800000000000005</v>
      </c>
      <c r="Y112">
        <f t="shared" si="61"/>
        <v>0.81600000000000006</v>
      </c>
      <c r="Z112">
        <f t="shared" si="62"/>
        <v>0.82400000000000007</v>
      </c>
      <c r="AA112">
        <f t="shared" si="63"/>
        <v>0.83200000000000007</v>
      </c>
      <c r="AB112">
        <f t="shared" si="64"/>
        <v>0.84000000000000008</v>
      </c>
    </row>
    <row r="113" spans="1:28" x14ac:dyDescent="0.3">
      <c r="T113">
        <v>2</v>
      </c>
      <c r="U113">
        <v>5</v>
      </c>
      <c r="V113">
        <v>0.4</v>
      </c>
      <c r="X113">
        <f t="shared" si="60"/>
        <v>0.40400000000000003</v>
      </c>
      <c r="Y113">
        <f t="shared" si="61"/>
        <v>0.40800000000000003</v>
      </c>
      <c r="Z113">
        <f t="shared" si="62"/>
        <v>0.41200000000000003</v>
      </c>
      <c r="AA113">
        <f t="shared" si="63"/>
        <v>0.41600000000000004</v>
      </c>
      <c r="AB113">
        <f t="shared" si="64"/>
        <v>0.42000000000000004</v>
      </c>
    </row>
    <row r="114" spans="1:28" x14ac:dyDescent="0.3">
      <c r="T114">
        <v>2</v>
      </c>
      <c r="U114">
        <v>6</v>
      </c>
      <c r="V114">
        <v>0.6</v>
      </c>
      <c r="X114">
        <f t="shared" si="60"/>
        <v>0.60599999999999998</v>
      </c>
      <c r="Y114">
        <f t="shared" si="61"/>
        <v>0.61199999999999999</v>
      </c>
      <c r="Z114">
        <f t="shared" si="62"/>
        <v>0.61799999999999999</v>
      </c>
      <c r="AA114">
        <f t="shared" si="63"/>
        <v>0.624</v>
      </c>
      <c r="AB114">
        <f t="shared" si="64"/>
        <v>0.63</v>
      </c>
    </row>
    <row r="115" spans="1:28" x14ac:dyDescent="0.3">
      <c r="B115" t="s">
        <v>161</v>
      </c>
      <c r="E115" s="16">
        <f>(E116-B116)/B116*100</f>
        <v>2.4515387188846008E-3</v>
      </c>
      <c r="F115" s="16">
        <f>(F116-B116)/B116*100</f>
        <v>4.9030774377692016E-3</v>
      </c>
      <c r="G115" s="16">
        <f>(G116-B116)/B116*100</f>
        <v>7.3546161566538024E-3</v>
      </c>
      <c r="H115" s="16">
        <f>(H116-B116)/B116*100</f>
        <v>9.8061548755384031E-3</v>
      </c>
      <c r="I115" s="16">
        <f>(I116-B116)/B116*100</f>
        <v>1.2257693594423006E-2</v>
      </c>
    </row>
    <row r="116" spans="1:28" x14ac:dyDescent="0.3">
      <c r="B116">
        <v>818710.3</v>
      </c>
      <c r="E116" s="21">
        <v>818730.37100000004</v>
      </c>
      <c r="F116" s="21">
        <v>818750.44200000004</v>
      </c>
      <c r="G116" s="21">
        <v>818770.51300000004</v>
      </c>
      <c r="H116" s="21">
        <v>818790.58400000003</v>
      </c>
      <c r="I116" s="21">
        <v>818810.65500000003</v>
      </c>
      <c r="T116" t="s">
        <v>193</v>
      </c>
      <c r="U116" t="s">
        <v>160</v>
      </c>
      <c r="X116" s="16">
        <f>(X117-U117)/U117*100</f>
        <v>2.3757673764665073E-3</v>
      </c>
      <c r="Y116" s="16">
        <f>(Y117-U117)/U117*100</f>
        <v>4.7515347529330145E-3</v>
      </c>
      <c r="Z116" s="16">
        <f>(Z117-U117)/U117*100</f>
        <v>7.1273021294183114E-3</v>
      </c>
      <c r="AA116" s="16">
        <f>(AA117-U117)/U117*100</f>
        <v>9.5030695058848178E-3</v>
      </c>
      <c r="AB116" s="16">
        <f>(AB117-U117)/U117*100</f>
        <v>1.1878836882351324E-2</v>
      </c>
    </row>
    <row r="117" spans="1:28" x14ac:dyDescent="0.3">
      <c r="B117">
        <v>4741.7772567669999</v>
      </c>
      <c r="E117" s="21">
        <v>4741.7772567669999</v>
      </c>
      <c r="F117" s="21">
        <v>4741.7772567669999</v>
      </c>
      <c r="G117" s="21">
        <v>4741.7772567669999</v>
      </c>
      <c r="H117" s="21">
        <v>4741.7772567669999</v>
      </c>
      <c r="I117" s="21">
        <v>4741.7772567669999</v>
      </c>
      <c r="T117" t="s">
        <v>178</v>
      </c>
      <c r="U117">
        <v>4840.7044030870002</v>
      </c>
      <c r="X117" s="21">
        <v>4840.8194069629999</v>
      </c>
      <c r="Y117" s="21">
        <v>4840.9344108389996</v>
      </c>
      <c r="Z117" s="21">
        <v>4841.0494147150002</v>
      </c>
      <c r="AA117" s="21">
        <v>4841.164418591</v>
      </c>
      <c r="AB117" s="21">
        <v>4841.2794224669997</v>
      </c>
    </row>
    <row r="118" spans="1:28" x14ac:dyDescent="0.3">
      <c r="A118" s="22"/>
      <c r="B118" s="22"/>
      <c r="C118" s="22"/>
      <c r="D118" s="22"/>
      <c r="E118" s="22"/>
      <c r="F118" s="22"/>
      <c r="G118" s="22"/>
      <c r="H118" s="22"/>
      <c r="I118" s="22"/>
      <c r="X118" s="16">
        <f>(X119-U119)/U119*100</f>
        <v>0</v>
      </c>
      <c r="Y118" s="16">
        <f>(Y119-U119)/U119*100</f>
        <v>0</v>
      </c>
      <c r="Z118" s="16">
        <f>(Z119-U119)/U119*100</f>
        <v>0</v>
      </c>
      <c r="AA118" s="16">
        <f>(AA119-U119)/U119*100</f>
        <v>0</v>
      </c>
      <c r="AB118" s="16">
        <f>(AB119-U119)/U119*100</f>
        <v>0</v>
      </c>
    </row>
    <row r="119" spans="1:28" x14ac:dyDescent="0.3">
      <c r="T119" t="s">
        <v>158</v>
      </c>
      <c r="U119">
        <v>815497.45</v>
      </c>
      <c r="X119" s="21">
        <v>815497.45</v>
      </c>
      <c r="Y119" s="21">
        <v>815497.45</v>
      </c>
      <c r="Z119" s="21">
        <v>815497.45</v>
      </c>
      <c r="AA119" s="21">
        <v>815497.45</v>
      </c>
      <c r="AB119" s="21">
        <v>815497.45</v>
      </c>
    </row>
    <row r="120" spans="1:28" x14ac:dyDescent="0.3">
      <c r="A120" t="s">
        <v>32</v>
      </c>
    </row>
    <row r="121" spans="1:28" x14ac:dyDescent="0.3">
      <c r="A121" s="10" t="s">
        <v>33</v>
      </c>
    </row>
    <row r="122" spans="1:28" x14ac:dyDescent="0.3">
      <c r="A122" s="11" t="s">
        <v>34</v>
      </c>
      <c r="U122" t="s">
        <v>161</v>
      </c>
      <c r="X122" s="16">
        <f>(X123-U123)/U123*100</f>
        <v>2.0146912186556794E-3</v>
      </c>
      <c r="Y122" s="16">
        <f>(Y123-U123)/U123*100</f>
        <v>4.0293824583906837E-3</v>
      </c>
      <c r="Z122" s="16">
        <f>(Z123-U123)/U123*100</f>
        <v>6.0440736770463631E-3</v>
      </c>
      <c r="AA122" s="16">
        <f>(AA123-U123)/U123*100</f>
        <v>8.0587649167813673E-3</v>
      </c>
      <c r="AB122" s="16">
        <f>(AB123-U123)/U123*100</f>
        <v>1.0073456135417866E-2</v>
      </c>
    </row>
    <row r="123" spans="1:28" x14ac:dyDescent="0.3">
      <c r="A123" s="11" t="s">
        <v>35</v>
      </c>
      <c r="T123" t="s">
        <v>178</v>
      </c>
      <c r="U123">
        <v>4741.7772567669999</v>
      </c>
      <c r="X123" s="21">
        <v>4741.8727889370002</v>
      </c>
      <c r="Y123" s="21">
        <v>4741.9683211080001</v>
      </c>
      <c r="Z123" s="25">
        <v>4742.0638532780004</v>
      </c>
      <c r="AA123" s="21">
        <v>4742.1593854490002</v>
      </c>
      <c r="AB123" s="25">
        <v>4742.2549176189996</v>
      </c>
    </row>
    <row r="124" spans="1:28" x14ac:dyDescent="0.3">
      <c r="X124" s="16">
        <f>(X125-U125)/U125*100</f>
        <v>0</v>
      </c>
      <c r="Y124" s="16">
        <f>(Y125-U125)/U125*100</f>
        <v>0</v>
      </c>
      <c r="Z124" s="16">
        <f>(Z125-U125)/U125*100</f>
        <v>0</v>
      </c>
      <c r="AA124" s="16">
        <f>(AA125-U125)/U125*100</f>
        <v>0</v>
      </c>
      <c r="AB124" s="16">
        <f>(AB125-U125)/U125*100</f>
        <v>0</v>
      </c>
    </row>
    <row r="125" spans="1:28" x14ac:dyDescent="0.3">
      <c r="A125" t="s">
        <v>28</v>
      </c>
      <c r="B125" t="s">
        <v>10</v>
      </c>
      <c r="C125" t="s">
        <v>36</v>
      </c>
      <c r="E125" s="20">
        <v>0.01</v>
      </c>
      <c r="F125" s="20">
        <v>0.02</v>
      </c>
      <c r="G125" s="20">
        <v>0.03</v>
      </c>
      <c r="H125" s="20">
        <v>0.04</v>
      </c>
      <c r="I125" s="20">
        <v>0.05</v>
      </c>
      <c r="T125" t="s">
        <v>158</v>
      </c>
      <c r="U125">
        <v>818710.3</v>
      </c>
      <c r="X125" s="21">
        <v>818710.3</v>
      </c>
      <c r="Y125" s="21">
        <v>818710.3</v>
      </c>
      <c r="Z125" s="21">
        <v>818710.3</v>
      </c>
      <c r="AA125" s="21">
        <v>818710.3</v>
      </c>
      <c r="AB125" s="21">
        <v>818710.3</v>
      </c>
    </row>
    <row r="126" spans="1:28" x14ac:dyDescent="0.3">
      <c r="A126">
        <v>1</v>
      </c>
      <c r="B126">
        <v>1</v>
      </c>
      <c r="C126">
        <v>5.7</v>
      </c>
      <c r="E126">
        <f>C126+(C126*1%)</f>
        <v>5.7570000000000006</v>
      </c>
      <c r="F126">
        <f>C126+(C126*2%)</f>
        <v>5.8140000000000001</v>
      </c>
      <c r="G126">
        <f>C126+(C126*3%)</f>
        <v>5.8710000000000004</v>
      </c>
      <c r="H126">
        <f>C126+(C126*4%)</f>
        <v>5.9279999999999999</v>
      </c>
      <c r="I126">
        <f>C126+(C126*5%)</f>
        <v>5.9850000000000003</v>
      </c>
      <c r="T126" s="22"/>
      <c r="U126" s="22"/>
      <c r="V126" s="22"/>
      <c r="W126" s="22"/>
      <c r="X126" s="22"/>
      <c r="Y126" s="22"/>
      <c r="Z126" s="22"/>
      <c r="AA126" s="22"/>
      <c r="AB126" s="22"/>
    </row>
    <row r="127" spans="1:28" x14ac:dyDescent="0.3">
      <c r="A127">
        <v>1</v>
      </c>
      <c r="B127">
        <v>2</v>
      </c>
      <c r="C127">
        <v>4.2</v>
      </c>
      <c r="E127">
        <f t="shared" ref="E127:E143" si="65">C127+(C127*1%)</f>
        <v>4.242</v>
      </c>
      <c r="F127">
        <f t="shared" ref="F127:F137" si="66">C127+(C127*2%)</f>
        <v>4.2839999999999998</v>
      </c>
      <c r="G127">
        <f t="shared" ref="G127:G143" si="67">C127+(C127*3%)</f>
        <v>4.3260000000000005</v>
      </c>
      <c r="H127">
        <f t="shared" ref="H127:H137" si="68">C127+(C127*4%)</f>
        <v>4.3680000000000003</v>
      </c>
      <c r="I127">
        <f t="shared" ref="I127:I143" si="69">C127+(C127*5%)</f>
        <v>4.41</v>
      </c>
    </row>
    <row r="128" spans="1:28" x14ac:dyDescent="0.3">
      <c r="A128">
        <v>1</v>
      </c>
      <c r="B128">
        <v>3</v>
      </c>
      <c r="C128">
        <v>4.5999999999999996</v>
      </c>
      <c r="E128">
        <f t="shared" si="65"/>
        <v>4.6459999999999999</v>
      </c>
      <c r="F128">
        <f t="shared" si="66"/>
        <v>4.6919999999999993</v>
      </c>
      <c r="G128">
        <f t="shared" si="67"/>
        <v>4.7379999999999995</v>
      </c>
      <c r="H128">
        <f t="shared" si="68"/>
        <v>4.7839999999999998</v>
      </c>
      <c r="I128">
        <f t="shared" si="69"/>
        <v>4.83</v>
      </c>
      <c r="T128" t="s">
        <v>98</v>
      </c>
    </row>
    <row r="129" spans="1:27" x14ac:dyDescent="0.3">
      <c r="A129">
        <v>1</v>
      </c>
      <c r="B129">
        <v>4</v>
      </c>
      <c r="C129">
        <v>6.4</v>
      </c>
      <c r="E129">
        <f t="shared" si="65"/>
        <v>6.4640000000000004</v>
      </c>
      <c r="F129">
        <f t="shared" si="66"/>
        <v>6.5280000000000005</v>
      </c>
      <c r="G129">
        <f t="shared" si="67"/>
        <v>6.5920000000000005</v>
      </c>
      <c r="H129">
        <f t="shared" si="68"/>
        <v>6.6560000000000006</v>
      </c>
      <c r="I129">
        <f t="shared" si="69"/>
        <v>6.7200000000000006</v>
      </c>
      <c r="T129" s="10" t="s">
        <v>91</v>
      </c>
    </row>
    <row r="130" spans="1:27" x14ac:dyDescent="0.3">
      <c r="A130">
        <v>1</v>
      </c>
      <c r="B130">
        <v>5</v>
      </c>
      <c r="C130">
        <v>4.5999999999999996</v>
      </c>
      <c r="E130">
        <f t="shared" si="65"/>
        <v>4.6459999999999999</v>
      </c>
      <c r="F130">
        <f t="shared" si="66"/>
        <v>4.6919999999999993</v>
      </c>
      <c r="G130">
        <f t="shared" si="67"/>
        <v>4.7379999999999995</v>
      </c>
      <c r="H130">
        <f t="shared" si="68"/>
        <v>4.7839999999999998</v>
      </c>
      <c r="I130">
        <f t="shared" si="69"/>
        <v>4.83</v>
      </c>
    </row>
    <row r="131" spans="1:27" x14ac:dyDescent="0.3">
      <c r="A131">
        <v>1</v>
      </c>
      <c r="B131">
        <v>6</v>
      </c>
      <c r="C131">
        <v>4.2</v>
      </c>
      <c r="E131">
        <f t="shared" si="65"/>
        <v>4.242</v>
      </c>
      <c r="F131">
        <f t="shared" si="66"/>
        <v>4.2839999999999998</v>
      </c>
      <c r="G131">
        <f t="shared" si="67"/>
        <v>4.3260000000000005</v>
      </c>
      <c r="H131">
        <f t="shared" si="68"/>
        <v>4.3680000000000003</v>
      </c>
      <c r="I131">
        <f t="shared" si="69"/>
        <v>4.41</v>
      </c>
      <c r="T131" t="s">
        <v>40</v>
      </c>
      <c r="U131" t="s">
        <v>99</v>
      </c>
      <c r="W131" s="20">
        <v>0.01</v>
      </c>
      <c r="X131" s="20">
        <v>0.02</v>
      </c>
      <c r="Y131" s="20">
        <v>0.03</v>
      </c>
      <c r="Z131" s="20">
        <v>0.04</v>
      </c>
      <c r="AA131" s="20">
        <v>0.05</v>
      </c>
    </row>
    <row r="132" spans="1:27" x14ac:dyDescent="0.3">
      <c r="A132">
        <v>2</v>
      </c>
      <c r="B132">
        <v>1</v>
      </c>
      <c r="C132">
        <v>5.0999999999999996</v>
      </c>
      <c r="E132">
        <f>C132+(C132*1%)</f>
        <v>5.1509999999999998</v>
      </c>
      <c r="F132">
        <f t="shared" si="66"/>
        <v>5.202</v>
      </c>
      <c r="G132">
        <f t="shared" si="67"/>
        <v>5.2529999999999992</v>
      </c>
      <c r="H132">
        <f t="shared" si="68"/>
        <v>5.3039999999999994</v>
      </c>
      <c r="I132">
        <f t="shared" si="69"/>
        <v>5.3549999999999995</v>
      </c>
      <c r="T132">
        <v>1</v>
      </c>
      <c r="U132">
        <v>40</v>
      </c>
      <c r="W132">
        <f>U132+(U132*1%)</f>
        <v>40.4</v>
      </c>
      <c r="X132">
        <f>U132+(U132*2%)</f>
        <v>40.799999999999997</v>
      </c>
      <c r="Y132">
        <f>U132+(U132*3%)</f>
        <v>41.2</v>
      </c>
      <c r="Z132">
        <f>U132+(U132*4%)</f>
        <v>41.6</v>
      </c>
      <c r="AA132">
        <f>U132+(U132*5%)</f>
        <v>42</v>
      </c>
    </row>
    <row r="133" spans="1:27" x14ac:dyDescent="0.3">
      <c r="A133">
        <v>2</v>
      </c>
      <c r="B133">
        <v>2</v>
      </c>
      <c r="C133">
        <v>5.5</v>
      </c>
      <c r="E133">
        <f>C133+(C133*1%)</f>
        <v>5.5549999999999997</v>
      </c>
      <c r="F133">
        <f t="shared" si="66"/>
        <v>5.61</v>
      </c>
      <c r="G133">
        <f t="shared" si="67"/>
        <v>5.665</v>
      </c>
      <c r="H133">
        <f t="shared" si="68"/>
        <v>5.72</v>
      </c>
      <c r="I133">
        <f t="shared" si="69"/>
        <v>5.7750000000000004</v>
      </c>
      <c r="T133">
        <v>2</v>
      </c>
      <c r="U133">
        <v>30</v>
      </c>
      <c r="W133">
        <f t="shared" ref="W133:W134" si="70">U133+(U133*1%)</f>
        <v>30.3</v>
      </c>
      <c r="X133">
        <f t="shared" ref="X133:X134" si="71">U133+(U133*2%)</f>
        <v>30.6</v>
      </c>
      <c r="Y133">
        <f t="shared" ref="Y133:Y134" si="72">U133+(U133*3%)</f>
        <v>30.9</v>
      </c>
      <c r="Z133">
        <f t="shared" ref="Z133:Z134" si="73">U133+(U133*4%)</f>
        <v>31.2</v>
      </c>
      <c r="AA133">
        <f t="shared" ref="AA133:AA134" si="74">U133+(U133*5%)</f>
        <v>31.5</v>
      </c>
    </row>
    <row r="134" spans="1:27" x14ac:dyDescent="0.3">
      <c r="A134">
        <v>2</v>
      </c>
      <c r="B134">
        <v>3</v>
      </c>
      <c r="C134">
        <v>4.8</v>
      </c>
      <c r="E134">
        <f t="shared" si="65"/>
        <v>4.8479999999999999</v>
      </c>
      <c r="F134">
        <f t="shared" si="66"/>
        <v>4.8959999999999999</v>
      </c>
      <c r="G134">
        <f t="shared" si="67"/>
        <v>4.944</v>
      </c>
      <c r="H134">
        <f t="shared" si="68"/>
        <v>4.992</v>
      </c>
      <c r="I134">
        <f t="shared" si="69"/>
        <v>5.04</v>
      </c>
      <c r="T134">
        <v>3</v>
      </c>
      <c r="U134">
        <v>34</v>
      </c>
      <c r="W134">
        <f t="shared" si="70"/>
        <v>34.340000000000003</v>
      </c>
      <c r="X134">
        <f t="shared" si="71"/>
        <v>34.68</v>
      </c>
      <c r="Y134">
        <f t="shared" si="72"/>
        <v>35.020000000000003</v>
      </c>
      <c r="Z134">
        <f t="shared" si="73"/>
        <v>35.36</v>
      </c>
      <c r="AA134">
        <f t="shared" si="74"/>
        <v>35.700000000000003</v>
      </c>
    </row>
    <row r="135" spans="1:27" x14ac:dyDescent="0.3">
      <c r="A135">
        <v>2</v>
      </c>
      <c r="B135">
        <v>4</v>
      </c>
      <c r="C135">
        <v>4.3</v>
      </c>
      <c r="E135">
        <f t="shared" si="65"/>
        <v>4.343</v>
      </c>
      <c r="F135">
        <f t="shared" si="66"/>
        <v>4.3860000000000001</v>
      </c>
      <c r="G135">
        <f t="shared" si="67"/>
        <v>4.4290000000000003</v>
      </c>
      <c r="H135">
        <f t="shared" si="68"/>
        <v>4.4719999999999995</v>
      </c>
      <c r="I135">
        <f t="shared" si="69"/>
        <v>4.5149999999999997</v>
      </c>
    </row>
    <row r="136" spans="1:27" x14ac:dyDescent="0.3">
      <c r="A136">
        <v>2</v>
      </c>
      <c r="B136">
        <v>5</v>
      </c>
      <c r="C136">
        <v>5.3</v>
      </c>
      <c r="E136">
        <f t="shared" si="65"/>
        <v>5.3529999999999998</v>
      </c>
      <c r="F136">
        <f t="shared" si="66"/>
        <v>5.4059999999999997</v>
      </c>
      <c r="G136">
        <f t="shared" si="67"/>
        <v>5.4589999999999996</v>
      </c>
      <c r="H136">
        <f t="shared" si="68"/>
        <v>5.5119999999999996</v>
      </c>
      <c r="I136">
        <f t="shared" si="69"/>
        <v>5.5649999999999995</v>
      </c>
      <c r="T136" t="s">
        <v>194</v>
      </c>
      <c r="U136" t="s">
        <v>160</v>
      </c>
      <c r="W136" s="16">
        <f>(W137-U137)/U137*100</f>
        <v>-6.1278180343108987E-2</v>
      </c>
      <c r="X136" s="16">
        <f>(X137-U137)/U137*100</f>
        <v>-0.12135482772411567</v>
      </c>
      <c r="Y136" s="16">
        <f>(Y137-U137)/U137*100</f>
        <v>-0.18026493826881257</v>
      </c>
      <c r="Z136" s="16">
        <f>(Z137-U137)/U137*100</f>
        <v>-0.23804216207978973</v>
      </c>
      <c r="AA136" s="16">
        <f>(AA137-U137)/U137*100</f>
        <v>-0.29471886733885261</v>
      </c>
    </row>
    <row r="137" spans="1:27" x14ac:dyDescent="0.3">
      <c r="A137">
        <v>2</v>
      </c>
      <c r="B137">
        <v>6</v>
      </c>
      <c r="C137">
        <v>4.0999999999999996</v>
      </c>
      <c r="E137">
        <f t="shared" si="65"/>
        <v>4.141</v>
      </c>
      <c r="F137">
        <f t="shared" si="66"/>
        <v>4.1819999999999995</v>
      </c>
      <c r="G137">
        <f t="shared" si="67"/>
        <v>4.2229999999999999</v>
      </c>
      <c r="H137">
        <f t="shared" si="68"/>
        <v>4.2639999999999993</v>
      </c>
      <c r="I137">
        <f t="shared" si="69"/>
        <v>4.3049999999999997</v>
      </c>
      <c r="T137" t="s">
        <v>178</v>
      </c>
      <c r="U137">
        <v>4840.7044030870002</v>
      </c>
      <c r="W137" s="21">
        <v>4837.7381075129997</v>
      </c>
      <c r="X137" s="21">
        <v>4834.8299745980003</v>
      </c>
      <c r="Y137" s="21">
        <v>4831.9783102829997</v>
      </c>
      <c r="Z137" s="21">
        <v>4829.1814856660003</v>
      </c>
      <c r="AA137" s="21">
        <v>4826.4379338990002</v>
      </c>
    </row>
    <row r="138" spans="1:27" x14ac:dyDescent="0.3">
      <c r="A138">
        <v>3</v>
      </c>
      <c r="B138">
        <v>1</v>
      </c>
      <c r="C138">
        <v>4.3</v>
      </c>
      <c r="E138">
        <f>C138+(C138*1%)</f>
        <v>4.343</v>
      </c>
      <c r="F138">
        <f>C138+(C138*2%)</f>
        <v>4.3860000000000001</v>
      </c>
      <c r="G138">
        <f>C138+(C138*3%)</f>
        <v>4.4290000000000003</v>
      </c>
      <c r="H138">
        <f>C138+(C138*4%)</f>
        <v>4.4719999999999995</v>
      </c>
      <c r="I138">
        <f t="shared" si="69"/>
        <v>4.5149999999999997</v>
      </c>
      <c r="W138" s="16">
        <f>(W139-U139)/U139*100</f>
        <v>0</v>
      </c>
      <c r="X138" s="16">
        <f>(X139-U139)/U139*100</f>
        <v>0</v>
      </c>
      <c r="Y138" s="16">
        <f>(Y139-U139)/U139*100</f>
        <v>0</v>
      </c>
      <c r="Z138" s="16">
        <f>(Z139-U139)/U139*100</f>
        <v>0</v>
      </c>
      <c r="AA138" s="16">
        <f>(AA139-U139)/U139*100</f>
        <v>0</v>
      </c>
    </row>
    <row r="139" spans="1:27" x14ac:dyDescent="0.3">
      <c r="A139">
        <v>3</v>
      </c>
      <c r="B139">
        <v>2</v>
      </c>
      <c r="C139">
        <v>3.7</v>
      </c>
      <c r="E139">
        <f t="shared" si="65"/>
        <v>3.7370000000000001</v>
      </c>
      <c r="F139">
        <f t="shared" ref="F139:F143" si="75">C139+(C139*2%)</f>
        <v>3.774</v>
      </c>
      <c r="G139">
        <f t="shared" si="67"/>
        <v>3.8110000000000004</v>
      </c>
      <c r="H139">
        <f t="shared" ref="H139:H143" si="76">C139+(C139*4%)</f>
        <v>3.8480000000000003</v>
      </c>
      <c r="I139">
        <f t="shared" si="69"/>
        <v>3.8850000000000002</v>
      </c>
      <c r="T139" t="s">
        <v>158</v>
      </c>
      <c r="U139">
        <v>815497.45</v>
      </c>
      <c r="W139" s="21">
        <v>815497.45</v>
      </c>
      <c r="X139" s="21">
        <v>815497.45</v>
      </c>
      <c r="Y139" s="21">
        <v>815497.45</v>
      </c>
      <c r="Z139" s="21">
        <v>815497.45</v>
      </c>
      <c r="AA139" s="21">
        <v>815497.45</v>
      </c>
    </row>
    <row r="140" spans="1:27" x14ac:dyDescent="0.3">
      <c r="A140">
        <v>3</v>
      </c>
      <c r="B140">
        <v>3</v>
      </c>
      <c r="C140">
        <v>4.8</v>
      </c>
      <c r="E140">
        <f t="shared" si="65"/>
        <v>4.8479999999999999</v>
      </c>
      <c r="F140">
        <f t="shared" si="75"/>
        <v>4.8959999999999999</v>
      </c>
      <c r="G140">
        <f t="shared" si="67"/>
        <v>4.944</v>
      </c>
      <c r="H140">
        <f t="shared" si="76"/>
        <v>4.992</v>
      </c>
      <c r="I140">
        <f t="shared" si="69"/>
        <v>5.04</v>
      </c>
    </row>
    <row r="141" spans="1:27" x14ac:dyDescent="0.3">
      <c r="A141">
        <v>3</v>
      </c>
      <c r="B141">
        <v>4</v>
      </c>
      <c r="C141">
        <v>5.0999999999999996</v>
      </c>
      <c r="E141">
        <f t="shared" si="65"/>
        <v>5.1509999999999998</v>
      </c>
      <c r="F141">
        <f t="shared" si="75"/>
        <v>5.202</v>
      </c>
      <c r="G141">
        <f t="shared" si="67"/>
        <v>5.2529999999999992</v>
      </c>
      <c r="H141">
        <f t="shared" si="76"/>
        <v>5.3039999999999994</v>
      </c>
      <c r="I141">
        <f t="shared" si="69"/>
        <v>5.3549999999999995</v>
      </c>
    </row>
    <row r="142" spans="1:27" x14ac:dyDescent="0.3">
      <c r="A142">
        <v>3</v>
      </c>
      <c r="B142">
        <v>5</v>
      </c>
      <c r="C142">
        <v>4</v>
      </c>
      <c r="E142">
        <f t="shared" si="65"/>
        <v>4.04</v>
      </c>
      <c r="F142">
        <f t="shared" si="75"/>
        <v>4.08</v>
      </c>
      <c r="G142">
        <f t="shared" si="67"/>
        <v>4.12</v>
      </c>
      <c r="H142">
        <f t="shared" si="76"/>
        <v>4.16</v>
      </c>
      <c r="I142">
        <f t="shared" si="69"/>
        <v>4.2</v>
      </c>
      <c r="U142" t="s">
        <v>161</v>
      </c>
      <c r="W142" s="16">
        <f>(W143-U143)/U143*100</f>
        <v>-5.0780164369032585E-2</v>
      </c>
      <c r="X142" s="16">
        <f>(X143-U143)/U143*100</f>
        <v>-9.940328277278461E-2</v>
      </c>
      <c r="Y142" s="16">
        <f>(Y143-U143)/U143*100</f>
        <v>-0.12984938190027737</v>
      </c>
      <c r="Z142" s="16">
        <f>(Z143-U143)/U143*100</f>
        <v>-0.18693408772733541</v>
      </c>
      <c r="AA142" s="16">
        <f>(AA143-U143)/U143*100</f>
        <v>-0.23838704173352257</v>
      </c>
    </row>
    <row r="143" spans="1:27" x14ac:dyDescent="0.3">
      <c r="A143">
        <v>3</v>
      </c>
      <c r="B143">
        <v>6</v>
      </c>
      <c r="C143">
        <v>5.6</v>
      </c>
      <c r="E143">
        <f t="shared" si="65"/>
        <v>5.6559999999999997</v>
      </c>
      <c r="F143">
        <f t="shared" si="75"/>
        <v>5.7119999999999997</v>
      </c>
      <c r="G143">
        <f t="shared" si="67"/>
        <v>5.7679999999999998</v>
      </c>
      <c r="H143">
        <f t="shared" si="76"/>
        <v>5.8239999999999998</v>
      </c>
      <c r="I143">
        <f t="shared" si="69"/>
        <v>5.88</v>
      </c>
      <c r="T143" t="s">
        <v>178</v>
      </c>
      <c r="U143">
        <v>4741.7772567669999</v>
      </c>
      <c r="W143" s="21">
        <v>4739.3693744820002</v>
      </c>
      <c r="X143" s="21">
        <v>4737.0637745120002</v>
      </c>
      <c r="Y143" s="21">
        <v>4735.620088308</v>
      </c>
      <c r="Z143" s="21">
        <v>4732.9132587100003</v>
      </c>
      <c r="AA143" s="21">
        <v>4730.4734742390001</v>
      </c>
    </row>
    <row r="144" spans="1:27" x14ac:dyDescent="0.3">
      <c r="W144" s="16">
        <f>(W145-U145)/U145*100</f>
        <v>-9.649322843529979E-4</v>
      </c>
      <c r="X144" s="16">
        <f>(X145-U145)/U145*100</f>
        <v>-2.6749388642140306E-3</v>
      </c>
      <c r="Y144" s="16">
        <f>(Y145-U145)/U145*100</f>
        <v>-1.5206844228049897E-2</v>
      </c>
      <c r="Z144" s="16">
        <f>(Z145-U145)/U145*100</f>
        <v>-6.9621696465770608E-3</v>
      </c>
      <c r="AA144" s="16">
        <f>(AA145-U145)/U145*100</f>
        <v>-4.3971597767855121E-3</v>
      </c>
    </row>
    <row r="145" spans="1:27" x14ac:dyDescent="0.3">
      <c r="A145" t="s">
        <v>198</v>
      </c>
      <c r="B145" t="s">
        <v>160</v>
      </c>
      <c r="E145" s="16">
        <f>(E146-B146)/B146*100</f>
        <v>4.1741393550693813E-3</v>
      </c>
      <c r="F145" s="16">
        <f>(F146-B146)/B146*100</f>
        <v>8.3482787101387627E-3</v>
      </c>
      <c r="G145" s="16">
        <f>(G146-B146)/B146*100</f>
        <v>1.252241806519387E-2</v>
      </c>
      <c r="H145" s="16">
        <f>(H146-B146)/B146*100</f>
        <v>1.6696557420263252E-2</v>
      </c>
      <c r="I145" s="16">
        <f>(I146-B146)/B146*100</f>
        <v>2.0870696775332633E-2</v>
      </c>
      <c r="T145" t="s">
        <v>158</v>
      </c>
      <c r="U145">
        <v>818710.3</v>
      </c>
      <c r="W145" s="21">
        <v>818702.4</v>
      </c>
      <c r="X145" s="21">
        <v>818688.4</v>
      </c>
      <c r="Y145" s="21">
        <v>818585.8</v>
      </c>
      <c r="Z145" s="21">
        <v>818653.3</v>
      </c>
      <c r="AA145" s="21">
        <v>818674.3</v>
      </c>
    </row>
    <row r="146" spans="1:27" x14ac:dyDescent="0.3">
      <c r="A146" t="s">
        <v>158</v>
      </c>
      <c r="B146">
        <v>815497.45</v>
      </c>
      <c r="E146" s="21">
        <v>815531.49</v>
      </c>
      <c r="F146" s="21">
        <v>815565.53</v>
      </c>
      <c r="G146" s="21">
        <v>815599.57</v>
      </c>
      <c r="H146" s="21">
        <v>815633.61</v>
      </c>
      <c r="I146" s="21">
        <v>815667.65</v>
      </c>
      <c r="T146" s="22"/>
      <c r="U146" s="22"/>
      <c r="V146" s="22"/>
      <c r="W146" s="22"/>
      <c r="X146" s="22"/>
      <c r="Y146" s="22"/>
      <c r="Z146" s="22"/>
      <c r="AA146" s="22"/>
    </row>
    <row r="147" spans="1:27" x14ac:dyDescent="0.3">
      <c r="A147" t="s">
        <v>159</v>
      </c>
      <c r="B147">
        <v>4840.7044030870002</v>
      </c>
      <c r="E147" s="21">
        <v>4840.7044030870002</v>
      </c>
      <c r="F147" s="21">
        <v>4840.7044030870002</v>
      </c>
      <c r="G147" s="21">
        <v>4840.7044030870002</v>
      </c>
      <c r="H147" s="21">
        <v>4840.7044030870002</v>
      </c>
      <c r="I147" s="21">
        <v>4840.7044030870002</v>
      </c>
    </row>
    <row r="148" spans="1:27" x14ac:dyDescent="0.3">
      <c r="T148" t="s">
        <v>100</v>
      </c>
    </row>
    <row r="149" spans="1:27" x14ac:dyDescent="0.3">
      <c r="T149" s="10" t="s">
        <v>92</v>
      </c>
    </row>
    <row r="150" spans="1:27" x14ac:dyDescent="0.3">
      <c r="B150" t="s">
        <v>161</v>
      </c>
      <c r="E150" s="16">
        <f>(E151-B151)/B151*100</f>
        <v>4.1577588555952978E-3</v>
      </c>
      <c r="F150" s="16">
        <f>(F151-B151)/B151*100</f>
        <v>8.315517711204817E-3</v>
      </c>
      <c r="G150" s="16">
        <f>(G151-B151)/B151*100</f>
        <v>1.2473276566814335E-2</v>
      </c>
      <c r="H150" s="16">
        <f>(H151-B151)/B151*100</f>
        <v>1.6631035422409634E-2</v>
      </c>
      <c r="I150" s="16">
        <f>(I151-B151)/B151*100</f>
        <v>2.0788794278019149E-2</v>
      </c>
    </row>
    <row r="151" spans="1:27" x14ac:dyDescent="0.3">
      <c r="B151">
        <v>818710.3</v>
      </c>
      <c r="E151" s="21">
        <v>818744.34</v>
      </c>
      <c r="F151" s="21">
        <v>818778.38</v>
      </c>
      <c r="G151" s="21">
        <v>818812.42</v>
      </c>
      <c r="H151" s="21">
        <v>818846.46</v>
      </c>
      <c r="I151" s="21">
        <v>818880.5</v>
      </c>
      <c r="T151" t="s">
        <v>55</v>
      </c>
      <c r="U151" t="s">
        <v>101</v>
      </c>
      <c r="W151" s="20">
        <v>0.01</v>
      </c>
      <c r="X151" s="20">
        <v>0.02</v>
      </c>
      <c r="Y151" s="20">
        <v>0.03</v>
      </c>
      <c r="Z151" s="20">
        <v>0.04</v>
      </c>
      <c r="AA151" s="20">
        <v>0.05</v>
      </c>
    </row>
    <row r="152" spans="1:27" x14ac:dyDescent="0.3">
      <c r="B152">
        <v>4741.7772567669999</v>
      </c>
      <c r="E152" s="21">
        <v>4741.7772567669999</v>
      </c>
      <c r="F152" s="21">
        <v>4741.7772567669999</v>
      </c>
      <c r="G152" s="21">
        <v>4741.7772567669999</v>
      </c>
      <c r="H152" s="21">
        <v>4741.7772567669999</v>
      </c>
      <c r="I152" s="21">
        <v>4741.7772567669999</v>
      </c>
      <c r="T152">
        <v>1</v>
      </c>
      <c r="U152">
        <v>35</v>
      </c>
      <c r="W152">
        <f>U152+(U152*1%)</f>
        <v>35.35</v>
      </c>
      <c r="X152">
        <f>U152+(U152*2%)</f>
        <v>35.700000000000003</v>
      </c>
      <c r="Y152">
        <f>U152+(U152*3%)</f>
        <v>36.049999999999997</v>
      </c>
      <c r="Z152">
        <f>U152+(U152*4%)</f>
        <v>36.4</v>
      </c>
      <c r="AA152">
        <f>U152+(U152*5%)</f>
        <v>36.75</v>
      </c>
    </row>
    <row r="153" spans="1:27" x14ac:dyDescent="0.3">
      <c r="A153" s="22"/>
      <c r="B153" s="22"/>
      <c r="C153" s="22"/>
      <c r="D153" s="22"/>
      <c r="E153" s="22"/>
      <c r="F153" s="22"/>
      <c r="G153" s="22"/>
      <c r="H153" s="22"/>
      <c r="I153" s="22"/>
      <c r="T153">
        <v>2</v>
      </c>
      <c r="U153">
        <v>44</v>
      </c>
      <c r="W153">
        <f t="shared" ref="W153:W154" si="77">U153+(U153*1%)</f>
        <v>44.44</v>
      </c>
      <c r="X153">
        <f t="shared" ref="X153:X154" si="78">U153+(U153*2%)</f>
        <v>44.88</v>
      </c>
      <c r="Y153">
        <f t="shared" ref="Y153:Y154" si="79">U153+(U153*3%)</f>
        <v>45.32</v>
      </c>
      <c r="Z153">
        <f t="shared" ref="Z153:Z154" si="80">U153+(U153*4%)</f>
        <v>45.76</v>
      </c>
      <c r="AA153">
        <f t="shared" ref="AA153:AA154" si="81">U153+(U153*5%)</f>
        <v>46.2</v>
      </c>
    </row>
    <row r="154" spans="1:27" x14ac:dyDescent="0.3">
      <c r="T154">
        <v>3</v>
      </c>
      <c r="U154">
        <v>46</v>
      </c>
      <c r="W154">
        <f t="shared" si="77"/>
        <v>46.46</v>
      </c>
      <c r="X154">
        <f t="shared" si="78"/>
        <v>46.92</v>
      </c>
      <c r="Y154">
        <f t="shared" si="79"/>
        <v>47.38</v>
      </c>
      <c r="Z154">
        <f t="shared" si="80"/>
        <v>47.84</v>
      </c>
      <c r="AA154">
        <f t="shared" si="81"/>
        <v>48.3</v>
      </c>
    </row>
    <row r="155" spans="1:27" x14ac:dyDescent="0.3">
      <c r="A155" t="s">
        <v>37</v>
      </c>
    </row>
    <row r="156" spans="1:27" x14ac:dyDescent="0.3">
      <c r="A156" s="10" t="s">
        <v>38</v>
      </c>
      <c r="T156" t="s">
        <v>195</v>
      </c>
      <c r="U156" t="s">
        <v>160</v>
      </c>
      <c r="W156" s="16">
        <f>(W157-U157)/U157*100</f>
        <v>-5.0050313306722587E-3</v>
      </c>
      <c r="X156" s="16">
        <f>(X157-U157)/U157*100</f>
        <v>-9.9119247953653195E-3</v>
      </c>
      <c r="Y156" s="16">
        <f>(Y157-U157)/U157*100</f>
        <v>-1.4723538779712136E-2</v>
      </c>
      <c r="Z156" s="16">
        <f>(Z157-U157)/U157*100</f>
        <v>-1.9442621726704176E-2</v>
      </c>
      <c r="AA156" s="16">
        <f>(AA157-U157)/U157*100</f>
        <v>-2.4071817363138813E-2</v>
      </c>
    </row>
    <row r="157" spans="1:27" x14ac:dyDescent="0.3">
      <c r="A157" s="11" t="s">
        <v>39</v>
      </c>
      <c r="T157" t="s">
        <v>178</v>
      </c>
      <c r="U157">
        <v>4840.7044030870002</v>
      </c>
      <c r="W157" s="21">
        <v>4840.4621243150004</v>
      </c>
      <c r="X157" s="21">
        <v>4840.2245961070003</v>
      </c>
      <c r="Y157" s="21">
        <v>4839.9916800970004</v>
      </c>
      <c r="Z157" s="21">
        <v>4839.7632432410001</v>
      </c>
      <c r="AA157" s="21">
        <v>4839.5391575639997</v>
      </c>
    </row>
    <row r="158" spans="1:27" x14ac:dyDescent="0.3">
      <c r="W158" s="16">
        <f>(W159-U159)/U159*100</f>
        <v>0</v>
      </c>
      <c r="X158" s="16">
        <f>(X159-U159)/U159*100</f>
        <v>0</v>
      </c>
      <c r="Y158" s="16">
        <f>(Y159-U159)/U159*100</f>
        <v>0</v>
      </c>
      <c r="Z158" s="16">
        <f>(Z159-U159)/U159*100</f>
        <v>0</v>
      </c>
      <c r="AA158" s="16">
        <f>(AA159-U159)/U159*100</f>
        <v>0</v>
      </c>
    </row>
    <row r="159" spans="1:27" x14ac:dyDescent="0.3">
      <c r="A159" t="s">
        <v>19</v>
      </c>
      <c r="B159" t="s">
        <v>2</v>
      </c>
      <c r="C159" t="s">
        <v>40</v>
      </c>
      <c r="D159" t="s">
        <v>41</v>
      </c>
      <c r="F159" s="20">
        <v>0.01</v>
      </c>
      <c r="G159" s="20">
        <v>0.02</v>
      </c>
      <c r="H159" s="20">
        <v>0.03</v>
      </c>
      <c r="I159" s="20">
        <v>0.04</v>
      </c>
      <c r="J159" s="20">
        <v>0.05</v>
      </c>
      <c r="T159" t="s">
        <v>158</v>
      </c>
      <c r="U159">
        <v>815497.45</v>
      </c>
      <c r="W159" s="21">
        <v>815497.45</v>
      </c>
      <c r="X159" s="21">
        <v>815497.45</v>
      </c>
      <c r="Y159" s="21">
        <v>815497.45</v>
      </c>
      <c r="Z159" s="21">
        <v>815497.45</v>
      </c>
      <c r="AA159" s="21">
        <v>815497.45</v>
      </c>
    </row>
    <row r="160" spans="1:27" x14ac:dyDescent="0.3">
      <c r="A160">
        <v>1</v>
      </c>
      <c r="B160">
        <v>1</v>
      </c>
      <c r="C160">
        <v>1</v>
      </c>
      <c r="D160">
        <v>9.4</v>
      </c>
      <c r="F160">
        <f>D160+(D160*1%)</f>
        <v>9.4939999999999998</v>
      </c>
      <c r="G160">
        <f>D160+(D160*2%)</f>
        <v>9.588000000000001</v>
      </c>
      <c r="H160">
        <f>D160+(D160*3%)</f>
        <v>9.6820000000000004</v>
      </c>
      <c r="I160">
        <f>D160+(D160*4%)</f>
        <v>9.7759999999999998</v>
      </c>
      <c r="J160">
        <f>D160+(D160*5%)</f>
        <v>9.870000000000001</v>
      </c>
    </row>
    <row r="161" spans="1:27" x14ac:dyDescent="0.3">
      <c r="A161">
        <v>1</v>
      </c>
      <c r="B161">
        <v>1</v>
      </c>
      <c r="C161">
        <v>2</v>
      </c>
      <c r="D161">
        <v>7.5</v>
      </c>
      <c r="F161">
        <f t="shared" ref="F161:F165" si="82">D161+(D161*1%)</f>
        <v>7.5750000000000002</v>
      </c>
      <c r="G161">
        <f t="shared" ref="G161:G171" si="83">D161+(D161*2%)</f>
        <v>7.65</v>
      </c>
      <c r="H161">
        <f t="shared" ref="H161:H171" si="84">D161+(D161*3%)</f>
        <v>7.7249999999999996</v>
      </c>
      <c r="I161">
        <f t="shared" ref="I161:I171" si="85">D161+(D161*4%)</f>
        <v>7.8</v>
      </c>
      <c r="J161">
        <f t="shared" ref="J161:J177" si="86">D161+(D161*5%)</f>
        <v>7.875</v>
      </c>
    </row>
    <row r="162" spans="1:27" x14ac:dyDescent="0.3">
      <c r="A162">
        <v>1</v>
      </c>
      <c r="B162">
        <v>1</v>
      </c>
      <c r="C162">
        <v>3</v>
      </c>
      <c r="D162">
        <v>4.5999999999999996</v>
      </c>
      <c r="F162">
        <f t="shared" si="82"/>
        <v>4.6459999999999999</v>
      </c>
      <c r="G162">
        <f t="shared" si="83"/>
        <v>4.6919999999999993</v>
      </c>
      <c r="H162">
        <f t="shared" si="84"/>
        <v>4.7379999999999995</v>
      </c>
      <c r="I162">
        <f t="shared" si="85"/>
        <v>4.7839999999999998</v>
      </c>
      <c r="J162">
        <f t="shared" si="86"/>
        <v>4.83</v>
      </c>
      <c r="U162" t="s">
        <v>161</v>
      </c>
      <c r="W162" s="16">
        <f>(W163-U163)/U163*100</f>
        <v>-3.9004919249576537E-3</v>
      </c>
      <c r="X162" s="16">
        <f>(X163-U163)/U163*100</f>
        <v>-7.7245036231295815E-3</v>
      </c>
      <c r="Y162" s="16">
        <f>(Y163-U163)/U163*100</f>
        <v>-1.1474262655915286E-2</v>
      </c>
      <c r="Z162" s="16">
        <f>(Z163-U163)/U163*100</f>
        <v>-1.515191096281366E-2</v>
      </c>
      <c r="AA162" s="16">
        <f>(AA163-U163)/U163*100</f>
        <v>-1.8759508805059871E-2</v>
      </c>
    </row>
    <row r="163" spans="1:27" x14ac:dyDescent="0.3">
      <c r="A163">
        <v>1</v>
      </c>
      <c r="B163">
        <v>2</v>
      </c>
      <c r="C163">
        <v>1</v>
      </c>
      <c r="D163">
        <v>9.6</v>
      </c>
      <c r="F163">
        <f t="shared" si="82"/>
        <v>9.6959999999999997</v>
      </c>
      <c r="G163">
        <f t="shared" si="83"/>
        <v>9.7919999999999998</v>
      </c>
      <c r="H163">
        <f>D163+(D163*3%)</f>
        <v>9.8879999999999999</v>
      </c>
      <c r="I163">
        <f t="shared" si="85"/>
        <v>9.984</v>
      </c>
      <c r="J163">
        <f>D163+(D163*5%)</f>
        <v>10.08</v>
      </c>
      <c r="T163" t="s">
        <v>178</v>
      </c>
      <c r="U163">
        <v>4741.7772567669999</v>
      </c>
      <c r="W163" s="21">
        <v>4741.5923041280003</v>
      </c>
      <c r="X163" s="21">
        <v>4741.4109780110002</v>
      </c>
      <c r="Y163" s="21">
        <v>4741.23317279</v>
      </c>
      <c r="Z163" s="21">
        <v>4741.0587868989996</v>
      </c>
      <c r="AA163" s="21">
        <v>4740.8877226450004</v>
      </c>
    </row>
    <row r="164" spans="1:27" x14ac:dyDescent="0.3">
      <c r="A164">
        <v>1</v>
      </c>
      <c r="B164">
        <v>2</v>
      </c>
      <c r="C164">
        <v>2</v>
      </c>
      <c r="D164">
        <v>4.5999999999999996</v>
      </c>
      <c r="F164">
        <f t="shared" si="82"/>
        <v>4.6459999999999999</v>
      </c>
      <c r="G164">
        <f t="shared" si="83"/>
        <v>4.6919999999999993</v>
      </c>
      <c r="H164">
        <f t="shared" si="84"/>
        <v>4.7379999999999995</v>
      </c>
      <c r="I164">
        <f t="shared" si="85"/>
        <v>4.7839999999999998</v>
      </c>
      <c r="J164">
        <f t="shared" si="86"/>
        <v>4.83</v>
      </c>
      <c r="W164" s="16">
        <f>(W165-U165)/U165*100</f>
        <v>3.6642998139879267E-4</v>
      </c>
      <c r="X164" s="16">
        <f>(X165-U165)/U165*100</f>
        <v>3.6642998139879267E-4</v>
      </c>
      <c r="Y164" s="16">
        <f>(Y165-U165)/U165*100</f>
        <v>3.6642998139879267E-4</v>
      </c>
      <c r="Z164" s="16">
        <f>(Z165-U165)/U165*100</f>
        <v>0</v>
      </c>
      <c r="AA164" s="16">
        <f>(AA165-U165)/U165*100</f>
        <v>3.6642998139879267E-4</v>
      </c>
    </row>
    <row r="165" spans="1:27" x14ac:dyDescent="0.3">
      <c r="A165">
        <v>1</v>
      </c>
      <c r="B165">
        <v>2</v>
      </c>
      <c r="C165">
        <v>3</v>
      </c>
      <c r="D165">
        <v>7.8</v>
      </c>
      <c r="F165">
        <f t="shared" si="82"/>
        <v>7.8780000000000001</v>
      </c>
      <c r="G165">
        <f t="shared" si="83"/>
        <v>7.9559999999999995</v>
      </c>
      <c r="H165">
        <f t="shared" si="84"/>
        <v>8.0339999999999989</v>
      </c>
      <c r="I165">
        <f t="shared" si="85"/>
        <v>8.1120000000000001</v>
      </c>
      <c r="J165">
        <f t="shared" si="86"/>
        <v>8.19</v>
      </c>
      <c r="T165" t="s">
        <v>158</v>
      </c>
      <c r="U165">
        <v>818710.3</v>
      </c>
      <c r="W165" s="21">
        <v>818713.3</v>
      </c>
      <c r="X165" s="21">
        <v>818713.3</v>
      </c>
      <c r="Y165" s="21">
        <v>818713.3</v>
      </c>
      <c r="Z165" s="21">
        <v>818710.3</v>
      </c>
      <c r="AA165" s="21">
        <v>818713.3</v>
      </c>
    </row>
    <row r="166" spans="1:27" x14ac:dyDescent="0.3">
      <c r="A166">
        <v>1</v>
      </c>
      <c r="B166">
        <v>3</v>
      </c>
      <c r="C166">
        <v>1</v>
      </c>
      <c r="D166">
        <v>6.7</v>
      </c>
      <c r="F166">
        <f>D166+(D166*1%)</f>
        <v>6.7670000000000003</v>
      </c>
      <c r="G166">
        <f t="shared" si="83"/>
        <v>6.8340000000000005</v>
      </c>
      <c r="H166">
        <f t="shared" si="84"/>
        <v>6.9009999999999998</v>
      </c>
      <c r="I166">
        <f t="shared" si="85"/>
        <v>6.968</v>
      </c>
      <c r="J166">
        <f t="shared" si="86"/>
        <v>7.0350000000000001</v>
      </c>
      <c r="T166" s="22"/>
      <c r="U166" s="22"/>
      <c r="V166" s="22"/>
      <c r="W166" s="22"/>
      <c r="X166" s="22"/>
      <c r="Y166" s="22"/>
      <c r="Z166" s="22"/>
      <c r="AA166" s="22"/>
    </row>
    <row r="167" spans="1:27" x14ac:dyDescent="0.3">
      <c r="A167">
        <v>1</v>
      </c>
      <c r="B167">
        <v>3</v>
      </c>
      <c r="C167">
        <v>2</v>
      </c>
      <c r="D167">
        <v>4.5</v>
      </c>
      <c r="F167">
        <f>D167+(D167*1%)</f>
        <v>4.5449999999999999</v>
      </c>
      <c r="G167">
        <f t="shared" si="83"/>
        <v>4.59</v>
      </c>
      <c r="H167">
        <f t="shared" si="84"/>
        <v>4.6349999999999998</v>
      </c>
      <c r="I167">
        <f t="shared" si="85"/>
        <v>4.68</v>
      </c>
      <c r="J167">
        <f t="shared" si="86"/>
        <v>4.7249999999999996</v>
      </c>
    </row>
    <row r="168" spans="1:27" x14ac:dyDescent="0.3">
      <c r="A168">
        <v>1</v>
      </c>
      <c r="B168">
        <v>3</v>
      </c>
      <c r="C168">
        <v>3</v>
      </c>
      <c r="D168">
        <v>5.7</v>
      </c>
      <c r="F168">
        <f t="shared" ref="F168:F171" si="87">D168+(D168*1%)</f>
        <v>5.7570000000000006</v>
      </c>
      <c r="G168">
        <f t="shared" si="83"/>
        <v>5.8140000000000001</v>
      </c>
      <c r="H168">
        <f t="shared" si="84"/>
        <v>5.8710000000000004</v>
      </c>
      <c r="I168">
        <f t="shared" si="85"/>
        <v>5.9279999999999999</v>
      </c>
      <c r="J168">
        <f t="shared" si="86"/>
        <v>5.9850000000000003</v>
      </c>
      <c r="T168" t="s">
        <v>107</v>
      </c>
    </row>
    <row r="169" spans="1:27" x14ac:dyDescent="0.3">
      <c r="A169">
        <v>1</v>
      </c>
      <c r="B169">
        <v>4</v>
      </c>
      <c r="C169">
        <v>1</v>
      </c>
      <c r="D169">
        <v>6.7</v>
      </c>
      <c r="F169">
        <f t="shared" si="87"/>
        <v>6.7670000000000003</v>
      </c>
      <c r="G169">
        <f t="shared" si="83"/>
        <v>6.8340000000000005</v>
      </c>
      <c r="H169">
        <f t="shared" si="84"/>
        <v>6.9009999999999998</v>
      </c>
      <c r="I169">
        <f t="shared" si="85"/>
        <v>6.968</v>
      </c>
      <c r="J169">
        <f>D169+(D169*5%)</f>
        <v>7.0350000000000001</v>
      </c>
      <c r="T169" s="10" t="s">
        <v>93</v>
      </c>
    </row>
    <row r="170" spans="1:27" x14ac:dyDescent="0.3">
      <c r="A170">
        <v>1</v>
      </c>
      <c r="B170">
        <v>4</v>
      </c>
      <c r="C170">
        <v>2</v>
      </c>
      <c r="D170">
        <v>5.2</v>
      </c>
      <c r="F170">
        <f t="shared" si="87"/>
        <v>5.2519999999999998</v>
      </c>
      <c r="G170">
        <f t="shared" si="83"/>
        <v>5.3040000000000003</v>
      </c>
      <c r="H170">
        <f t="shared" si="84"/>
        <v>5.3559999999999999</v>
      </c>
      <c r="I170">
        <f t="shared" si="85"/>
        <v>5.4080000000000004</v>
      </c>
      <c r="J170">
        <f t="shared" si="86"/>
        <v>5.46</v>
      </c>
    </row>
    <row r="171" spans="1:27" x14ac:dyDescent="0.3">
      <c r="A171">
        <v>1</v>
      </c>
      <c r="B171">
        <v>4</v>
      </c>
      <c r="C171">
        <v>3</v>
      </c>
      <c r="D171">
        <v>7.4</v>
      </c>
      <c r="F171">
        <f t="shared" si="87"/>
        <v>7.4740000000000002</v>
      </c>
      <c r="G171">
        <f t="shared" si="83"/>
        <v>7.548</v>
      </c>
      <c r="H171">
        <f t="shared" si="84"/>
        <v>7.6220000000000008</v>
      </c>
      <c r="I171">
        <f t="shared" si="85"/>
        <v>7.6960000000000006</v>
      </c>
      <c r="J171">
        <f t="shared" si="86"/>
        <v>7.7700000000000005</v>
      </c>
      <c r="T171" t="s">
        <v>72</v>
      </c>
      <c r="U171" t="s">
        <v>102</v>
      </c>
      <c r="W171" s="20">
        <v>0.01</v>
      </c>
      <c r="X171" s="20">
        <v>0.02</v>
      </c>
      <c r="Y171" s="20">
        <v>0.03</v>
      </c>
      <c r="Z171" s="20">
        <v>0.04</v>
      </c>
      <c r="AA171" s="20">
        <v>0.05</v>
      </c>
    </row>
    <row r="172" spans="1:27" x14ac:dyDescent="0.3">
      <c r="A172">
        <v>2</v>
      </c>
      <c r="B172">
        <v>1</v>
      </c>
      <c r="C172">
        <v>1</v>
      </c>
      <c r="D172">
        <v>6.8</v>
      </c>
      <c r="F172">
        <f>D172+(D172*1%)</f>
        <v>6.8679999999999994</v>
      </c>
      <c r="G172">
        <f>D172+(D172*2%)</f>
        <v>6.9359999999999999</v>
      </c>
      <c r="H172">
        <f>D172+(D172*3%)</f>
        <v>7.0039999999999996</v>
      </c>
      <c r="I172">
        <f>D172+(D172*4%)</f>
        <v>7.0720000000000001</v>
      </c>
      <c r="J172">
        <f t="shared" si="86"/>
        <v>7.14</v>
      </c>
      <c r="T172">
        <v>1</v>
      </c>
      <c r="U172">
        <v>43</v>
      </c>
      <c r="W172">
        <f>U172+(U172*1%)</f>
        <v>43.43</v>
      </c>
      <c r="X172">
        <f>U172+(U172*2%)</f>
        <v>43.86</v>
      </c>
      <c r="Y172">
        <f>U172+(U172*3%)</f>
        <v>44.29</v>
      </c>
      <c r="Z172">
        <f>U172+(U172*4%)</f>
        <v>44.72</v>
      </c>
      <c r="AA172">
        <f>U172+(U172*5%)</f>
        <v>45.15</v>
      </c>
    </row>
    <row r="173" spans="1:27" x14ac:dyDescent="0.3">
      <c r="A173">
        <v>2</v>
      </c>
      <c r="B173">
        <v>1</v>
      </c>
      <c r="C173">
        <v>2</v>
      </c>
      <c r="D173">
        <v>7.9</v>
      </c>
      <c r="F173">
        <f t="shared" ref="F173:F177" si="88">D173+(D173*1%)</f>
        <v>7.9790000000000001</v>
      </c>
      <c r="G173">
        <f t="shared" ref="G173:G177" si="89">D173+(D173*2%)</f>
        <v>8.0579999999999998</v>
      </c>
      <c r="H173">
        <f t="shared" ref="H173:H177" si="90">D173+(D173*3%)</f>
        <v>8.1370000000000005</v>
      </c>
      <c r="I173">
        <f t="shared" ref="I173:I177" si="91">D173+(D173*4%)</f>
        <v>8.2160000000000011</v>
      </c>
      <c r="J173">
        <f t="shared" si="86"/>
        <v>8.2949999999999999</v>
      </c>
      <c r="T173">
        <v>2</v>
      </c>
      <c r="U173">
        <v>54</v>
      </c>
      <c r="W173">
        <f t="shared" ref="W173" si="92">U173+(U173*1%)</f>
        <v>54.54</v>
      </c>
      <c r="X173">
        <f t="shared" ref="X173" si="93">U173+(U173*2%)</f>
        <v>55.08</v>
      </c>
      <c r="Y173">
        <f t="shared" ref="Y173" si="94">U173+(U173*3%)</f>
        <v>55.62</v>
      </c>
      <c r="Z173">
        <f t="shared" ref="Z173" si="95">U173+(U173*4%)</f>
        <v>56.16</v>
      </c>
      <c r="AA173">
        <f t="shared" ref="AA173" si="96">U173+(U173*5%)</f>
        <v>56.7</v>
      </c>
    </row>
    <row r="174" spans="1:27" x14ac:dyDescent="0.3">
      <c r="A174">
        <v>2</v>
      </c>
      <c r="B174">
        <v>1</v>
      </c>
      <c r="C174">
        <v>3</v>
      </c>
      <c r="D174">
        <v>5.8</v>
      </c>
      <c r="F174">
        <f t="shared" si="88"/>
        <v>5.8579999999999997</v>
      </c>
      <c r="G174">
        <f t="shared" si="89"/>
        <v>5.9159999999999995</v>
      </c>
      <c r="H174">
        <f t="shared" si="90"/>
        <v>5.9740000000000002</v>
      </c>
      <c r="I174">
        <f t="shared" si="91"/>
        <v>6.032</v>
      </c>
      <c r="J174">
        <f t="shared" si="86"/>
        <v>6.09</v>
      </c>
    </row>
    <row r="175" spans="1:27" x14ac:dyDescent="0.3">
      <c r="A175">
        <v>2</v>
      </c>
      <c r="B175">
        <v>2</v>
      </c>
      <c r="C175">
        <v>1</v>
      </c>
      <c r="D175">
        <v>6.9</v>
      </c>
      <c r="F175">
        <f t="shared" si="88"/>
        <v>6.9690000000000003</v>
      </c>
      <c r="G175">
        <f t="shared" si="89"/>
        <v>7.0380000000000003</v>
      </c>
      <c r="H175">
        <f t="shared" si="90"/>
        <v>7.1070000000000002</v>
      </c>
      <c r="I175">
        <f t="shared" si="91"/>
        <v>7.1760000000000002</v>
      </c>
      <c r="J175">
        <f t="shared" si="86"/>
        <v>7.2450000000000001</v>
      </c>
      <c r="T175" t="s">
        <v>196</v>
      </c>
      <c r="U175" t="s">
        <v>160</v>
      </c>
      <c r="W175" s="16">
        <f>(W176-U176)/U176*100</f>
        <v>-2.3522449321219797E-3</v>
      </c>
      <c r="X175" s="16">
        <f>(X176-U176)/U176*100</f>
        <v>-4.6583674032300579E-3</v>
      </c>
      <c r="Y175" s="16">
        <f>(Y176-U176)/U176*100</f>
        <v>-6.9197108128847872E-3</v>
      </c>
      <c r="Z175" s="16">
        <f>(Z176-U176)/U176*100</f>
        <v>-9.1375668325837239E-3</v>
      </c>
      <c r="AA175" s="16">
        <f>(AA176-U176)/U176*100</f>
        <v>-1.1313177988125056E-2</v>
      </c>
    </row>
    <row r="176" spans="1:27" x14ac:dyDescent="0.3">
      <c r="A176">
        <v>2</v>
      </c>
      <c r="B176">
        <v>2</v>
      </c>
      <c r="C176">
        <v>2</v>
      </c>
      <c r="D176">
        <v>9.1</v>
      </c>
      <c r="F176">
        <f t="shared" si="88"/>
        <v>9.1909999999999989</v>
      </c>
      <c r="G176">
        <f t="shared" si="89"/>
        <v>9.282</v>
      </c>
      <c r="H176">
        <f t="shared" si="90"/>
        <v>9.3729999999999993</v>
      </c>
      <c r="I176">
        <f t="shared" si="91"/>
        <v>9.4640000000000004</v>
      </c>
      <c r="J176">
        <f t="shared" si="86"/>
        <v>9.5549999999999997</v>
      </c>
      <c r="T176" t="s">
        <v>178</v>
      </c>
      <c r="U176">
        <v>4840.7044030870002</v>
      </c>
      <c r="W176" s="21">
        <v>4840.5905378629996</v>
      </c>
      <c r="X176" s="21">
        <v>4840.478905291</v>
      </c>
      <c r="Y176" s="21">
        <v>4840.369440341</v>
      </c>
      <c r="Z176" s="21">
        <v>4840.2620804870003</v>
      </c>
      <c r="AA176" s="21">
        <v>4840.1567655819999</v>
      </c>
    </row>
    <row r="177" spans="1:27" x14ac:dyDescent="0.3">
      <c r="A177">
        <v>2</v>
      </c>
      <c r="B177">
        <v>2</v>
      </c>
      <c r="C177">
        <v>3</v>
      </c>
      <c r="D177">
        <v>8.4</v>
      </c>
      <c r="F177">
        <f t="shared" si="88"/>
        <v>8.484</v>
      </c>
      <c r="G177">
        <f t="shared" si="89"/>
        <v>8.5679999999999996</v>
      </c>
      <c r="H177">
        <f t="shared" si="90"/>
        <v>8.652000000000001</v>
      </c>
      <c r="I177">
        <f t="shared" si="91"/>
        <v>8.7360000000000007</v>
      </c>
      <c r="J177">
        <f t="shared" si="86"/>
        <v>8.82</v>
      </c>
      <c r="W177" s="16">
        <f>(W178-U178)/U178*100</f>
        <v>0</v>
      </c>
      <c r="X177" s="16">
        <f>(X178-U178)/U178*100</f>
        <v>0</v>
      </c>
      <c r="Y177" s="16">
        <f>(Y178-U178)/U178*100</f>
        <v>0</v>
      </c>
      <c r="Z177" s="16">
        <f>(Z178-U178)/U178*100</f>
        <v>0</v>
      </c>
      <c r="AA177" s="16">
        <f>(AA178-U178)/U178*100</f>
        <v>0</v>
      </c>
    </row>
    <row r="178" spans="1:27" x14ac:dyDescent="0.3">
      <c r="A178">
        <v>2</v>
      </c>
      <c r="B178">
        <v>3</v>
      </c>
      <c r="C178">
        <v>1</v>
      </c>
      <c r="D178">
        <v>6.8</v>
      </c>
      <c r="F178">
        <f>D178+(D178*1%)</f>
        <v>6.8679999999999994</v>
      </c>
      <c r="G178">
        <f t="shared" ref="G178:G183" si="97">D178+(D178*2%)</f>
        <v>6.9359999999999999</v>
      </c>
      <c r="H178">
        <f t="shared" ref="H178:H183" si="98">D178+(D178*3%)</f>
        <v>7.0039999999999996</v>
      </c>
      <c r="I178">
        <f t="shared" ref="I178:I183" si="99">D178+(D178*4%)</f>
        <v>7.0720000000000001</v>
      </c>
      <c r="J178">
        <f t="shared" ref="J178:J183" si="100">D178+(D178*5%)</f>
        <v>7.14</v>
      </c>
      <c r="T178" t="s">
        <v>158</v>
      </c>
      <c r="U178">
        <v>815497.45</v>
      </c>
      <c r="W178" s="21">
        <v>815497.45</v>
      </c>
      <c r="X178" s="21">
        <v>815497.45</v>
      </c>
      <c r="Y178" s="21">
        <v>815497.45</v>
      </c>
      <c r="Z178" s="21">
        <v>815497.45</v>
      </c>
      <c r="AA178" s="21">
        <v>815497.45</v>
      </c>
    </row>
    <row r="179" spans="1:27" x14ac:dyDescent="0.3">
      <c r="A179">
        <v>2</v>
      </c>
      <c r="B179">
        <v>3</v>
      </c>
      <c r="C179">
        <v>2</v>
      </c>
      <c r="D179">
        <v>4.9000000000000004</v>
      </c>
      <c r="F179">
        <f t="shared" ref="F179:F183" si="101">D179+(D179*1%)</f>
        <v>4.9490000000000007</v>
      </c>
      <c r="G179">
        <f t="shared" si="97"/>
        <v>4.9980000000000002</v>
      </c>
      <c r="H179">
        <f t="shared" si="98"/>
        <v>5.0470000000000006</v>
      </c>
      <c r="I179">
        <f t="shared" si="99"/>
        <v>5.0960000000000001</v>
      </c>
      <c r="J179">
        <f t="shared" si="100"/>
        <v>5.1450000000000005</v>
      </c>
    </row>
    <row r="180" spans="1:27" x14ac:dyDescent="0.3">
      <c r="A180">
        <v>2</v>
      </c>
      <c r="B180">
        <v>3</v>
      </c>
      <c r="C180">
        <v>3</v>
      </c>
      <c r="D180">
        <v>8.1</v>
      </c>
      <c r="F180">
        <f t="shared" si="101"/>
        <v>8.1809999999999992</v>
      </c>
      <c r="G180">
        <f t="shared" si="97"/>
        <v>8.2620000000000005</v>
      </c>
      <c r="H180">
        <f t="shared" si="98"/>
        <v>8.343</v>
      </c>
      <c r="I180">
        <f t="shared" si="99"/>
        <v>8.4239999999999995</v>
      </c>
      <c r="J180">
        <f t="shared" si="100"/>
        <v>8.504999999999999</v>
      </c>
    </row>
    <row r="181" spans="1:27" x14ac:dyDescent="0.3">
      <c r="A181">
        <v>2</v>
      </c>
      <c r="B181">
        <v>4</v>
      </c>
      <c r="C181">
        <v>1</v>
      </c>
      <c r="D181">
        <v>5.7</v>
      </c>
      <c r="F181">
        <f t="shared" si="101"/>
        <v>5.7570000000000006</v>
      </c>
      <c r="G181">
        <f t="shared" si="97"/>
        <v>5.8140000000000001</v>
      </c>
      <c r="H181">
        <f>D181+(D181*3%)</f>
        <v>5.8710000000000004</v>
      </c>
      <c r="I181">
        <f>D181+(D181*4%)</f>
        <v>5.9279999999999999</v>
      </c>
      <c r="J181">
        <f>D181+(D181*5%)</f>
        <v>5.9850000000000003</v>
      </c>
      <c r="U181" t="s">
        <v>161</v>
      </c>
      <c r="W181" s="16">
        <f>(W182-U182)/U182*100</f>
        <v>-1.9947438033840578E-3</v>
      </c>
      <c r="X181" s="16">
        <f>(X182-U182)/U182*100</f>
        <v>-3.9503749724260273E-3</v>
      </c>
      <c r="Y181" s="16">
        <f>(Y182-U182)/U182*100</f>
        <v>-5.868032721336524E-3</v>
      </c>
      <c r="Z181" s="16">
        <f>(Z182-U182)/U182*100</f>
        <v>-7.748812441059935E-3</v>
      </c>
      <c r="AA181" s="16">
        <f>(AA182-U182)/U182*100</f>
        <v>-9.5937677661032776E-3</v>
      </c>
    </row>
    <row r="182" spans="1:27" x14ac:dyDescent="0.3">
      <c r="A182">
        <v>2</v>
      </c>
      <c r="B182">
        <v>4</v>
      </c>
      <c r="C182">
        <v>2</v>
      </c>
      <c r="D182">
        <v>8.5</v>
      </c>
      <c r="F182">
        <f t="shared" si="101"/>
        <v>8.5850000000000009</v>
      </c>
      <c r="G182">
        <f t="shared" si="97"/>
        <v>8.67</v>
      </c>
      <c r="H182">
        <f t="shared" si="98"/>
        <v>8.7550000000000008</v>
      </c>
      <c r="I182">
        <f t="shared" si="99"/>
        <v>8.84</v>
      </c>
      <c r="J182">
        <f t="shared" si="100"/>
        <v>8.9250000000000007</v>
      </c>
      <c r="T182" t="s">
        <v>178</v>
      </c>
      <c r="U182">
        <v>4741.7772567669999</v>
      </c>
      <c r="W182" s="21">
        <v>4741.6826704590003</v>
      </c>
      <c r="X182" s="21">
        <v>4741.5899387850004</v>
      </c>
      <c r="Y182" s="21">
        <v>4741.4990077259999</v>
      </c>
      <c r="Z182" s="21">
        <v>4741.4098253410002</v>
      </c>
      <c r="AA182" s="21">
        <v>4741.3223416689998</v>
      </c>
    </row>
    <row r="183" spans="1:27" x14ac:dyDescent="0.3">
      <c r="A183">
        <v>2</v>
      </c>
      <c r="B183">
        <v>4</v>
      </c>
      <c r="C183">
        <v>3</v>
      </c>
      <c r="D183">
        <v>6.9</v>
      </c>
      <c r="F183">
        <f t="shared" si="101"/>
        <v>6.9690000000000003</v>
      </c>
      <c r="G183">
        <f t="shared" si="97"/>
        <v>7.0380000000000003</v>
      </c>
      <c r="H183">
        <f t="shared" si="98"/>
        <v>7.1070000000000002</v>
      </c>
      <c r="I183">
        <f t="shared" si="99"/>
        <v>7.1760000000000002</v>
      </c>
      <c r="J183">
        <f t="shared" si="100"/>
        <v>7.2450000000000001</v>
      </c>
      <c r="W183" s="16">
        <f>(W184-U184)/U184*100</f>
        <v>0</v>
      </c>
      <c r="X183" s="16">
        <f>(X184-U184)/U184*100</f>
        <v>0</v>
      </c>
      <c r="Y183" s="16">
        <f>(Y184-U184)/U184*100</f>
        <v>0</v>
      </c>
      <c r="Z183" s="16">
        <f>(Z184-U184)/U184*100</f>
        <v>0</v>
      </c>
      <c r="AA183" s="16">
        <f>(AA184-U184)/U184*100</f>
        <v>0</v>
      </c>
    </row>
    <row r="184" spans="1:27" x14ac:dyDescent="0.3">
      <c r="T184" t="s">
        <v>158</v>
      </c>
      <c r="U184">
        <v>818710.3</v>
      </c>
      <c r="W184" s="21">
        <v>818710.3</v>
      </c>
      <c r="X184" s="21">
        <v>818710.3</v>
      </c>
      <c r="Y184" s="21">
        <v>818710.3</v>
      </c>
      <c r="Z184" s="21">
        <v>818710.3</v>
      </c>
      <c r="AA184" s="21">
        <v>818710.3</v>
      </c>
    </row>
    <row r="185" spans="1:27" x14ac:dyDescent="0.3">
      <c r="A185" t="s">
        <v>220</v>
      </c>
      <c r="B185" t="s">
        <v>160</v>
      </c>
      <c r="F185" s="16">
        <f>(F186-B186)/B186*100</f>
        <v>8.9951231607281901E-3</v>
      </c>
      <c r="G185" s="16">
        <f>(G186-B186)/B186*100</f>
        <v>1.7990246321442104E-2</v>
      </c>
      <c r="H185" s="16">
        <f>(H186-B186)/B186*100</f>
        <v>2.6985369482156022E-2</v>
      </c>
      <c r="I185" s="16">
        <f>(I186-B186)/B186*100</f>
        <v>3.5980492642869934E-2</v>
      </c>
      <c r="J185" s="16">
        <f>(J186-B186)/B186*100</f>
        <v>4.4975615803583849E-2</v>
      </c>
      <c r="T185" s="22"/>
      <c r="U185" s="22"/>
      <c r="V185" s="22"/>
      <c r="W185" s="22"/>
      <c r="X185" s="22"/>
      <c r="Y185" s="22"/>
      <c r="Z185" s="22"/>
      <c r="AA185" s="22"/>
    </row>
    <row r="186" spans="1:27" x14ac:dyDescent="0.3">
      <c r="A186" t="s">
        <v>158</v>
      </c>
      <c r="B186">
        <v>815497.45</v>
      </c>
      <c r="F186" s="21">
        <v>815570.80500000005</v>
      </c>
      <c r="G186" s="21">
        <v>815644.16000000003</v>
      </c>
      <c r="H186" s="21">
        <v>815717.51500000001</v>
      </c>
      <c r="I186" s="21">
        <v>815790.87</v>
      </c>
      <c r="J186" s="21">
        <v>815864.22499999998</v>
      </c>
    </row>
    <row r="187" spans="1:27" x14ac:dyDescent="0.3">
      <c r="A187" t="s">
        <v>159</v>
      </c>
      <c r="B187">
        <v>4840.7044030870002</v>
      </c>
      <c r="F187" s="21">
        <v>4840.7044030870002</v>
      </c>
      <c r="G187" s="21">
        <v>4840.7044030870002</v>
      </c>
      <c r="H187" s="21">
        <v>4840.7044030870002</v>
      </c>
      <c r="I187" s="21">
        <v>4840.7044030870002</v>
      </c>
      <c r="J187" s="21">
        <v>4840.7044030870002</v>
      </c>
      <c r="T187" t="s">
        <v>103</v>
      </c>
    </row>
    <row r="188" spans="1:27" x14ac:dyDescent="0.3">
      <c r="T188" s="10" t="s">
        <v>94</v>
      </c>
    </row>
    <row r="190" spans="1:27" x14ac:dyDescent="0.3">
      <c r="B190" t="s">
        <v>161</v>
      </c>
      <c r="F190" s="16">
        <f>(F191-B191)/B191*100</f>
        <v>1.1784143915131249E-2</v>
      </c>
      <c r="G190" s="16">
        <f>(G191-B191)/B191*100</f>
        <v>2.3568287830262498E-2</v>
      </c>
      <c r="H190" s="16">
        <f>(H191-B191)/B191*100</f>
        <v>3.5352431745393743E-2</v>
      </c>
      <c r="I190" s="16">
        <f>(I191-B191)/B191*100</f>
        <v>4.7173218658656341E-2</v>
      </c>
      <c r="J190" s="16">
        <f>(J191-B191)/B191*100</f>
        <v>5.8957362573787593E-2</v>
      </c>
      <c r="T190" t="s">
        <v>67</v>
      </c>
      <c r="U190" t="s">
        <v>104</v>
      </c>
      <c r="W190" s="20">
        <v>0.01</v>
      </c>
      <c r="X190" s="20">
        <v>0.02</v>
      </c>
      <c r="Y190" s="20">
        <v>0.03</v>
      </c>
      <c r="Z190" s="20">
        <v>0.04</v>
      </c>
      <c r="AA190" s="20">
        <v>0.05</v>
      </c>
    </row>
    <row r="191" spans="1:27" x14ac:dyDescent="0.3">
      <c r="B191">
        <v>818710.3</v>
      </c>
      <c r="F191" s="21">
        <v>818806.77800000005</v>
      </c>
      <c r="G191" s="21">
        <v>818903.25600000005</v>
      </c>
      <c r="H191" s="21">
        <v>818999.73400000005</v>
      </c>
      <c r="I191" s="21">
        <v>819096.51199999999</v>
      </c>
      <c r="J191" s="21">
        <v>819192.99</v>
      </c>
      <c r="T191">
        <v>1</v>
      </c>
      <c r="U191">
        <v>44</v>
      </c>
      <c r="W191">
        <f>U191+(U191*1%)</f>
        <v>44.44</v>
      </c>
      <c r="X191">
        <f>U191+(U191*2%)</f>
        <v>44.88</v>
      </c>
      <c r="Y191">
        <f>U191+(U191*3%)</f>
        <v>45.32</v>
      </c>
      <c r="Z191">
        <f>U191+(U191*4%)</f>
        <v>45.76</v>
      </c>
      <c r="AA191">
        <f>U191+(U191*5%)</f>
        <v>46.2</v>
      </c>
    </row>
    <row r="192" spans="1:27" x14ac:dyDescent="0.3">
      <c r="B192">
        <v>4741.7772567669999</v>
      </c>
      <c r="F192" s="21">
        <v>4741.7772567669999</v>
      </c>
      <c r="G192" s="21">
        <v>4741.7772567669999</v>
      </c>
      <c r="H192" s="21">
        <v>4741.7772567669999</v>
      </c>
      <c r="I192" s="21">
        <v>4741.7772567669999</v>
      </c>
      <c r="J192" s="21">
        <v>4741.7772567669999</v>
      </c>
      <c r="T192">
        <v>2</v>
      </c>
      <c r="U192">
        <v>31</v>
      </c>
      <c r="W192">
        <f t="shared" ref="W192" si="102">U192+(U192*1%)</f>
        <v>31.31</v>
      </c>
      <c r="X192">
        <f t="shared" ref="X192" si="103">U192+(U192*2%)</f>
        <v>31.62</v>
      </c>
      <c r="Y192">
        <f t="shared" ref="Y192" si="104">U192+(U192*3%)</f>
        <v>31.93</v>
      </c>
      <c r="Z192">
        <f t="shared" ref="Z192" si="105">U192+(U192*4%)</f>
        <v>32.24</v>
      </c>
      <c r="AA192">
        <f t="shared" ref="AA192" si="106">U192+(U192*5%)</f>
        <v>32.549999999999997</v>
      </c>
    </row>
    <row r="193" spans="1:27" x14ac:dyDescent="0.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T193">
        <v>3</v>
      </c>
      <c r="U193">
        <v>42</v>
      </c>
      <c r="W193">
        <f>U193+(U193*1%)</f>
        <v>42.42</v>
      </c>
      <c r="X193">
        <f>U193+(U193*2%)</f>
        <v>42.84</v>
      </c>
      <c r="Y193">
        <f>U193+(U193*3%)</f>
        <v>43.26</v>
      </c>
      <c r="Z193">
        <f>U193+(U193*4%)</f>
        <v>43.68</v>
      </c>
      <c r="AA193">
        <f>U193+(U193*5%)</f>
        <v>44.1</v>
      </c>
    </row>
    <row r="195" spans="1:27" x14ac:dyDescent="0.3">
      <c r="A195" t="s">
        <v>42</v>
      </c>
      <c r="T195" t="s">
        <v>197</v>
      </c>
      <c r="U195" t="s">
        <v>160</v>
      </c>
      <c r="W195" s="16">
        <f>(W196-U196)/U196*100</f>
        <v>-3.7303315377941841E-3</v>
      </c>
      <c r="X195" s="16">
        <f>(X196-U196)/U196*100</f>
        <v>-7.3875192993089643E-3</v>
      </c>
      <c r="Y195" s="16">
        <f>(Y196-U196)/U196*100</f>
        <v>-1.0973693718246913E-2</v>
      </c>
      <c r="Z195" s="16">
        <f>(Z196-U196)/U196*100</f>
        <v>-1.4490903236161139E-2</v>
      </c>
      <c r="AA195" s="16">
        <f>(AA196-U196)/U196*100</f>
        <v>-1.7941118289445557E-2</v>
      </c>
    </row>
    <row r="196" spans="1:27" x14ac:dyDescent="0.3">
      <c r="A196" s="10" t="s">
        <v>43</v>
      </c>
      <c r="T196" t="s">
        <v>178</v>
      </c>
      <c r="U196">
        <v>4840.7044030870002</v>
      </c>
      <c r="W196" s="21">
        <v>4840.5238287640004</v>
      </c>
      <c r="X196" s="21">
        <v>4840.3467951149996</v>
      </c>
      <c r="Y196" s="21">
        <v>4840.1731990119997</v>
      </c>
      <c r="Z196" s="21">
        <v>4840.0029412960002</v>
      </c>
      <c r="AA196" s="21">
        <v>4839.8359265839999</v>
      </c>
    </row>
    <row r="197" spans="1:27" x14ac:dyDescent="0.3">
      <c r="A197" s="11" t="s">
        <v>44</v>
      </c>
      <c r="W197" s="16">
        <f>(W198-U198)/U198*100</f>
        <v>0</v>
      </c>
      <c r="X197" s="16">
        <f>(X198-U198)/U198*100</f>
        <v>0</v>
      </c>
      <c r="Y197" s="16">
        <f>(Y198-U198)/U198*100</f>
        <v>0</v>
      </c>
      <c r="Z197" s="16">
        <f>(Z198-U198)/U198*100</f>
        <v>0</v>
      </c>
      <c r="AA197" s="16">
        <f>(AA198-U198)/U198*100</f>
        <v>0</v>
      </c>
    </row>
    <row r="198" spans="1:27" x14ac:dyDescent="0.3">
      <c r="A198" s="11" t="s">
        <v>45</v>
      </c>
      <c r="T198" t="s">
        <v>158</v>
      </c>
      <c r="U198">
        <v>815497.45</v>
      </c>
      <c r="W198" s="21">
        <v>815497.45</v>
      </c>
      <c r="X198" s="21">
        <v>815497.45</v>
      </c>
      <c r="Y198" s="21">
        <v>815497.45</v>
      </c>
      <c r="Z198" s="21">
        <v>815497.45</v>
      </c>
      <c r="AA198" s="21">
        <v>815497.45</v>
      </c>
    </row>
    <row r="199" spans="1:27" x14ac:dyDescent="0.3">
      <c r="A199" s="11" t="s">
        <v>46</v>
      </c>
    </row>
    <row r="200" spans="1:27" x14ac:dyDescent="0.3">
      <c r="A200" s="11" t="s">
        <v>47</v>
      </c>
    </row>
    <row r="201" spans="1:27" x14ac:dyDescent="0.3">
      <c r="A201" s="11" t="s">
        <v>48</v>
      </c>
      <c r="U201" t="s">
        <v>161</v>
      </c>
      <c r="W201" s="16">
        <f>(W202-U202)/U202*100</f>
        <v>-4.6686613059627812E-4</v>
      </c>
      <c r="X201" s="16">
        <f>(X202-U202)/U202*100</f>
        <v>-2.6504537474932501E-3</v>
      </c>
      <c r="Y201" s="16">
        <f>(Y202-U202)/U202*100</f>
        <v>-4.3033593302736831E-3</v>
      </c>
      <c r="Z201" s="16">
        <f>(Z202-U202)/U202*100</f>
        <v>-6.0421083379909165E-3</v>
      </c>
      <c r="AA201" s="16">
        <f>(AA202-U202)/U202*100</f>
        <v>-7.0550905680941481E-4</v>
      </c>
    </row>
    <row r="202" spans="1:27" x14ac:dyDescent="0.3">
      <c r="A202" s="11" t="s">
        <v>49</v>
      </c>
      <c r="T202" t="s">
        <v>178</v>
      </c>
      <c r="U202">
        <v>4741.7772567669999</v>
      </c>
      <c r="W202" s="21">
        <v>4741.7551190149998</v>
      </c>
      <c r="X202" s="21">
        <v>4741.6515781540002</v>
      </c>
      <c r="Y202" s="21">
        <v>4741.573201053</v>
      </c>
      <c r="Z202" s="21">
        <v>4741.4907534479999</v>
      </c>
      <c r="AA202" s="21">
        <v>4741.7438030989997</v>
      </c>
    </row>
    <row r="203" spans="1:27" x14ac:dyDescent="0.3">
      <c r="A203" s="11" t="s">
        <v>50</v>
      </c>
      <c r="W203" s="16">
        <f>(W204-U204)/U204*100</f>
        <v>-1.9909362322724613E-3</v>
      </c>
      <c r="X203" s="16">
        <f>(X204-U204)/U204*100</f>
        <v>-1.8687929051395304E-3</v>
      </c>
      <c r="Y203" s="16">
        <f>(Y204-U204)/U204*100</f>
        <v>-2.0397935631284773E-3</v>
      </c>
      <c r="Z203" s="16">
        <f>(Z204-U204)/U204*100</f>
        <v>-2.0397935631284773E-3</v>
      </c>
      <c r="AA203" s="16">
        <f>(AA204-U204)/U204*100</f>
        <v>-7.9881735944965244E-3</v>
      </c>
    </row>
    <row r="204" spans="1:27" x14ac:dyDescent="0.3">
      <c r="A204" s="11" t="s">
        <v>51</v>
      </c>
      <c r="T204" t="s">
        <v>158</v>
      </c>
      <c r="U204">
        <v>818710.3</v>
      </c>
      <c r="W204" s="21">
        <v>818694</v>
      </c>
      <c r="X204" s="21">
        <v>818695</v>
      </c>
      <c r="Y204" s="21">
        <v>818693.6</v>
      </c>
      <c r="Z204" s="21">
        <v>818693.6</v>
      </c>
      <c r="AA204" s="21">
        <v>818644.9</v>
      </c>
    </row>
    <row r="205" spans="1:27" x14ac:dyDescent="0.3">
      <c r="A205" s="11" t="s">
        <v>52</v>
      </c>
      <c r="T205" s="22"/>
      <c r="U205" s="22"/>
      <c r="V205" s="22"/>
      <c r="W205" s="22"/>
      <c r="X205" s="22"/>
      <c r="Y205" s="22"/>
      <c r="Z205" s="22"/>
      <c r="AA205" s="22"/>
    </row>
    <row r="206" spans="1:27" x14ac:dyDescent="0.3">
      <c r="A206" s="11" t="s">
        <v>53</v>
      </c>
    </row>
    <row r="207" spans="1:27" x14ac:dyDescent="0.3">
      <c r="A207" s="11" t="s">
        <v>54</v>
      </c>
      <c r="T207" t="s">
        <v>105</v>
      </c>
    </row>
    <row r="208" spans="1:27" x14ac:dyDescent="0.3">
      <c r="T208" s="10" t="s">
        <v>95</v>
      </c>
    </row>
    <row r="209" spans="1:28" x14ac:dyDescent="0.3">
      <c r="A209" s="11" t="s">
        <v>2</v>
      </c>
      <c r="B209" t="s">
        <v>28</v>
      </c>
      <c r="C209" t="s">
        <v>55</v>
      </c>
      <c r="D209" t="s">
        <v>10</v>
      </c>
      <c r="E209" t="s">
        <v>56</v>
      </c>
      <c r="G209" s="20">
        <v>0.01</v>
      </c>
      <c r="H209" s="20">
        <v>0.02</v>
      </c>
      <c r="I209" s="20">
        <v>0.03</v>
      </c>
      <c r="J209" s="20">
        <v>0.04</v>
      </c>
      <c r="K209" s="20">
        <v>0.05</v>
      </c>
      <c r="L209" s="20">
        <v>0.06</v>
      </c>
      <c r="T209" s="11" t="s">
        <v>96</v>
      </c>
    </row>
    <row r="210" spans="1:28" x14ac:dyDescent="0.3">
      <c r="A210">
        <v>1</v>
      </c>
      <c r="B210">
        <v>1</v>
      </c>
      <c r="C210">
        <v>1</v>
      </c>
      <c r="D210">
        <v>1</v>
      </c>
      <c r="E210">
        <v>8.6</v>
      </c>
      <c r="G210">
        <f>E210+(E210*1%)</f>
        <v>8.6859999999999999</v>
      </c>
      <c r="H210">
        <f>E210+(E210*2%)</f>
        <v>8.7720000000000002</v>
      </c>
      <c r="I210">
        <f>E210+(E210*3%)</f>
        <v>8.8580000000000005</v>
      </c>
      <c r="J210">
        <f>E210+(E210*4%)</f>
        <v>8.9439999999999991</v>
      </c>
      <c r="K210">
        <f>E210+(E210*5%)</f>
        <v>9.0299999999999994</v>
      </c>
      <c r="L210">
        <f>E210+(E210*6%)</f>
        <v>9.1159999999999997</v>
      </c>
      <c r="T210" s="11" t="s">
        <v>97</v>
      </c>
    </row>
    <row r="211" spans="1:28" x14ac:dyDescent="0.3">
      <c r="A211">
        <v>1</v>
      </c>
      <c r="B211">
        <v>1</v>
      </c>
      <c r="C211">
        <v>1</v>
      </c>
      <c r="D211">
        <v>2</v>
      </c>
      <c r="E211">
        <v>7.2</v>
      </c>
      <c r="G211">
        <f t="shared" ref="G211:G215" si="107">E211+(E211*1%)</f>
        <v>7.2720000000000002</v>
      </c>
      <c r="H211">
        <f t="shared" ref="H211:H221" si="108">E211+(E211*2%)</f>
        <v>7.3440000000000003</v>
      </c>
      <c r="I211">
        <f t="shared" ref="I211:I221" si="109">E211+(E211*3%)</f>
        <v>7.4160000000000004</v>
      </c>
      <c r="J211">
        <f t="shared" ref="J211:J221" si="110">E211+(E211*4%)</f>
        <v>7.4880000000000004</v>
      </c>
      <c r="K211">
        <f t="shared" ref="K211:K233" si="111">E211+(E211*5%)</f>
        <v>7.5600000000000005</v>
      </c>
      <c r="L211">
        <f t="shared" ref="L211:L274" si="112">E211+(E211*6%)</f>
        <v>7.6320000000000006</v>
      </c>
    </row>
    <row r="212" spans="1:28" x14ac:dyDescent="0.3">
      <c r="A212">
        <v>1</v>
      </c>
      <c r="B212">
        <v>1</v>
      </c>
      <c r="C212">
        <v>1</v>
      </c>
      <c r="D212">
        <v>3</v>
      </c>
      <c r="E212">
        <v>9.3000000000000007</v>
      </c>
      <c r="G212">
        <f t="shared" si="107"/>
        <v>9.3930000000000007</v>
      </c>
      <c r="H212">
        <f t="shared" si="108"/>
        <v>9.4860000000000007</v>
      </c>
      <c r="I212">
        <f t="shared" si="109"/>
        <v>9.5790000000000006</v>
      </c>
      <c r="J212">
        <f t="shared" si="110"/>
        <v>9.6720000000000006</v>
      </c>
      <c r="K212">
        <f t="shared" si="111"/>
        <v>9.7650000000000006</v>
      </c>
      <c r="L212">
        <f t="shared" si="112"/>
        <v>9.8580000000000005</v>
      </c>
      <c r="T212" t="s">
        <v>28</v>
      </c>
      <c r="U212" t="s">
        <v>10</v>
      </c>
      <c r="V212" t="s">
        <v>106</v>
      </c>
      <c r="X212" s="20">
        <v>0.01</v>
      </c>
      <c r="Y212" s="20">
        <v>0.02</v>
      </c>
      <c r="Z212" s="20">
        <v>0.03</v>
      </c>
      <c r="AA212" s="20">
        <v>0.04</v>
      </c>
      <c r="AB212" s="20">
        <v>0.05</v>
      </c>
    </row>
    <row r="213" spans="1:28" x14ac:dyDescent="0.3">
      <c r="A213">
        <v>1</v>
      </c>
      <c r="B213">
        <v>1</v>
      </c>
      <c r="C213">
        <v>1</v>
      </c>
      <c r="D213">
        <v>4</v>
      </c>
      <c r="E213">
        <v>5.6</v>
      </c>
      <c r="G213">
        <f t="shared" si="107"/>
        <v>5.6559999999999997</v>
      </c>
      <c r="H213">
        <f t="shared" si="108"/>
        <v>5.7119999999999997</v>
      </c>
      <c r="I213">
        <f t="shared" si="109"/>
        <v>5.7679999999999998</v>
      </c>
      <c r="J213">
        <f t="shared" si="110"/>
        <v>5.8239999999999998</v>
      </c>
      <c r="K213">
        <f t="shared" si="111"/>
        <v>5.88</v>
      </c>
      <c r="L213">
        <f t="shared" si="112"/>
        <v>5.9359999999999999</v>
      </c>
      <c r="T213">
        <v>1</v>
      </c>
      <c r="U213">
        <v>1</v>
      </c>
      <c r="V213">
        <v>0.5</v>
      </c>
      <c r="X213">
        <f>V213+(V213*1%)</f>
        <v>0.505</v>
      </c>
      <c r="Y213">
        <f>V213+(V213*2%)</f>
        <v>0.51</v>
      </c>
      <c r="Z213">
        <f>V213+(V213*3%)</f>
        <v>0.51500000000000001</v>
      </c>
      <c r="AA213">
        <f>V213+(V213*4%)</f>
        <v>0.52</v>
      </c>
      <c r="AB213">
        <f>V213+(V213*5%)</f>
        <v>0.52500000000000002</v>
      </c>
    </row>
    <row r="214" spans="1:28" x14ac:dyDescent="0.3">
      <c r="A214">
        <v>1</v>
      </c>
      <c r="B214">
        <v>1</v>
      </c>
      <c r="C214">
        <v>1</v>
      </c>
      <c r="D214">
        <v>5</v>
      </c>
      <c r="E214">
        <v>6.5</v>
      </c>
      <c r="G214">
        <f t="shared" si="107"/>
        <v>6.5650000000000004</v>
      </c>
      <c r="H214">
        <f t="shared" si="108"/>
        <v>6.63</v>
      </c>
      <c r="I214">
        <f t="shared" si="109"/>
        <v>6.6950000000000003</v>
      </c>
      <c r="J214">
        <f t="shared" si="110"/>
        <v>6.76</v>
      </c>
      <c r="K214">
        <f t="shared" si="111"/>
        <v>6.8250000000000002</v>
      </c>
      <c r="L214">
        <f t="shared" si="112"/>
        <v>6.89</v>
      </c>
      <c r="T214">
        <v>1</v>
      </c>
      <c r="U214">
        <v>2</v>
      </c>
      <c r="V214">
        <v>0</v>
      </c>
      <c r="X214">
        <f t="shared" ref="X214" si="113">V214+(V214*1%)</f>
        <v>0</v>
      </c>
      <c r="Y214">
        <f t="shared" ref="Y214" si="114">V214+(V214*2%)</f>
        <v>0</v>
      </c>
      <c r="Z214">
        <f t="shared" ref="Z214" si="115">V214+(V214*3%)</f>
        <v>0</v>
      </c>
      <c r="AA214">
        <f t="shared" ref="AA214" si="116">V214+(V214*4%)</f>
        <v>0</v>
      </c>
      <c r="AB214">
        <f t="shared" ref="AB214" si="117">V214+(V214*5%)</f>
        <v>0</v>
      </c>
    </row>
    <row r="215" spans="1:28" x14ac:dyDescent="0.3">
      <c r="A215">
        <v>1</v>
      </c>
      <c r="B215">
        <v>1</v>
      </c>
      <c r="C215">
        <v>1</v>
      </c>
      <c r="D215">
        <v>6</v>
      </c>
      <c r="E215">
        <v>7.3</v>
      </c>
      <c r="G215">
        <f t="shared" si="107"/>
        <v>7.3730000000000002</v>
      </c>
      <c r="H215">
        <f t="shared" si="108"/>
        <v>7.4459999999999997</v>
      </c>
      <c r="I215">
        <f t="shared" si="109"/>
        <v>7.5190000000000001</v>
      </c>
      <c r="J215">
        <f t="shared" si="110"/>
        <v>7.5919999999999996</v>
      </c>
      <c r="K215">
        <f t="shared" si="111"/>
        <v>7.665</v>
      </c>
      <c r="L215">
        <f t="shared" si="112"/>
        <v>7.7379999999999995</v>
      </c>
      <c r="T215">
        <v>1</v>
      </c>
      <c r="U215">
        <v>3</v>
      </c>
      <c r="V215">
        <v>0.1</v>
      </c>
      <c r="X215">
        <f>V215+(V215*1%)</f>
        <v>0.10100000000000001</v>
      </c>
      <c r="Y215">
        <f>V215+(V215*2%)</f>
        <v>0.10200000000000001</v>
      </c>
      <c r="Z215">
        <f>V215+(V215*3%)</f>
        <v>0.10300000000000001</v>
      </c>
      <c r="AA215">
        <f>V215+(V215*4%)</f>
        <v>0.10400000000000001</v>
      </c>
      <c r="AB215">
        <f>V215+(V215*5%)</f>
        <v>0.10500000000000001</v>
      </c>
    </row>
    <row r="216" spans="1:28" x14ac:dyDescent="0.3">
      <c r="A216">
        <v>1</v>
      </c>
      <c r="B216">
        <v>1</v>
      </c>
      <c r="C216">
        <v>2</v>
      </c>
      <c r="D216">
        <v>1</v>
      </c>
      <c r="E216">
        <v>5.8</v>
      </c>
      <c r="G216">
        <f>E216+(E216*1%)</f>
        <v>5.8579999999999997</v>
      </c>
      <c r="H216">
        <f t="shared" si="108"/>
        <v>5.9159999999999995</v>
      </c>
      <c r="I216">
        <f t="shared" si="109"/>
        <v>5.9740000000000002</v>
      </c>
      <c r="J216">
        <f t="shared" si="110"/>
        <v>6.032</v>
      </c>
      <c r="K216">
        <f>E216+(E216*5%)</f>
        <v>6.09</v>
      </c>
      <c r="L216">
        <f t="shared" si="112"/>
        <v>6.1479999999999997</v>
      </c>
      <c r="T216">
        <v>1</v>
      </c>
      <c r="U216">
        <v>4</v>
      </c>
      <c r="V216">
        <v>0.7</v>
      </c>
      <c r="X216">
        <f t="shared" ref="X216:X230" si="118">V216+(V216*1%)</f>
        <v>0.70699999999999996</v>
      </c>
      <c r="Y216">
        <f t="shared" ref="Y216:Y230" si="119">V216+(V216*2%)</f>
        <v>0.71399999999999997</v>
      </c>
      <c r="Z216">
        <f t="shared" ref="Z216:Z230" si="120">V216+(V216*3%)</f>
        <v>0.72099999999999997</v>
      </c>
      <c r="AA216">
        <f t="shared" ref="AA216:AA230" si="121">V216+(V216*4%)</f>
        <v>0.72799999999999998</v>
      </c>
      <c r="AB216">
        <f t="shared" ref="AB216:AB230" si="122">V216+(V216*5%)</f>
        <v>0.73499999999999999</v>
      </c>
    </row>
    <row r="217" spans="1:28" x14ac:dyDescent="0.3">
      <c r="A217">
        <v>1</v>
      </c>
      <c r="B217">
        <v>1</v>
      </c>
      <c r="C217">
        <v>2</v>
      </c>
      <c r="D217">
        <v>2</v>
      </c>
      <c r="E217">
        <v>7.8</v>
      </c>
      <c r="G217">
        <f>E217+(E217*1%)</f>
        <v>7.8780000000000001</v>
      </c>
      <c r="H217">
        <f t="shared" si="108"/>
        <v>7.9559999999999995</v>
      </c>
      <c r="I217">
        <f t="shared" si="109"/>
        <v>8.0339999999999989</v>
      </c>
      <c r="J217">
        <f t="shared" si="110"/>
        <v>8.1120000000000001</v>
      </c>
      <c r="K217">
        <f t="shared" si="111"/>
        <v>8.19</v>
      </c>
      <c r="L217">
        <f t="shared" si="112"/>
        <v>8.2680000000000007</v>
      </c>
      <c r="T217">
        <v>1</v>
      </c>
      <c r="U217">
        <v>5</v>
      </c>
      <c r="V217">
        <v>0</v>
      </c>
      <c r="X217">
        <f t="shared" si="118"/>
        <v>0</v>
      </c>
      <c r="Y217">
        <f t="shared" si="119"/>
        <v>0</v>
      </c>
      <c r="Z217">
        <f t="shared" si="120"/>
        <v>0</v>
      </c>
      <c r="AA217">
        <f t="shared" si="121"/>
        <v>0</v>
      </c>
      <c r="AB217">
        <f t="shared" si="122"/>
        <v>0</v>
      </c>
    </row>
    <row r="218" spans="1:28" x14ac:dyDescent="0.3">
      <c r="A218">
        <v>1</v>
      </c>
      <c r="B218">
        <v>1</v>
      </c>
      <c r="C218">
        <v>2</v>
      </c>
      <c r="D218">
        <v>3</v>
      </c>
      <c r="E218">
        <v>6.8</v>
      </c>
      <c r="G218">
        <f t="shared" ref="G218:G221" si="123">E218+(E218*1%)</f>
        <v>6.8679999999999994</v>
      </c>
      <c r="H218">
        <f t="shared" si="108"/>
        <v>6.9359999999999999</v>
      </c>
      <c r="I218">
        <f t="shared" si="109"/>
        <v>7.0039999999999996</v>
      </c>
      <c r="J218">
        <f t="shared" si="110"/>
        <v>7.0720000000000001</v>
      </c>
      <c r="K218">
        <f t="shared" si="111"/>
        <v>7.14</v>
      </c>
      <c r="L218">
        <f t="shared" si="112"/>
        <v>7.2080000000000002</v>
      </c>
      <c r="T218">
        <v>1</v>
      </c>
      <c r="U218">
        <v>6</v>
      </c>
      <c r="V218">
        <v>0</v>
      </c>
      <c r="X218">
        <f t="shared" si="118"/>
        <v>0</v>
      </c>
      <c r="Y218">
        <f t="shared" si="119"/>
        <v>0</v>
      </c>
      <c r="Z218">
        <f t="shared" si="120"/>
        <v>0</v>
      </c>
      <c r="AA218">
        <f t="shared" si="121"/>
        <v>0</v>
      </c>
      <c r="AB218">
        <f t="shared" si="122"/>
        <v>0</v>
      </c>
    </row>
    <row r="219" spans="1:28" x14ac:dyDescent="0.3">
      <c r="A219">
        <v>1</v>
      </c>
      <c r="B219">
        <v>1</v>
      </c>
      <c r="C219">
        <v>2</v>
      </c>
      <c r="D219">
        <v>4</v>
      </c>
      <c r="E219">
        <v>4.5</v>
      </c>
      <c r="G219">
        <f t="shared" si="123"/>
        <v>4.5449999999999999</v>
      </c>
      <c r="H219">
        <f t="shared" si="108"/>
        <v>4.59</v>
      </c>
      <c r="I219">
        <f t="shared" si="109"/>
        <v>4.6349999999999998</v>
      </c>
      <c r="J219">
        <f t="shared" si="110"/>
        <v>4.68</v>
      </c>
      <c r="K219">
        <f t="shared" si="111"/>
        <v>4.7249999999999996</v>
      </c>
      <c r="L219">
        <f t="shared" si="112"/>
        <v>4.7699999999999996</v>
      </c>
      <c r="T219">
        <v>2</v>
      </c>
      <c r="U219">
        <v>1</v>
      </c>
      <c r="V219">
        <v>0.5</v>
      </c>
      <c r="X219">
        <f t="shared" si="118"/>
        <v>0.505</v>
      </c>
      <c r="Y219">
        <f t="shared" si="119"/>
        <v>0.51</v>
      </c>
      <c r="Z219">
        <f t="shared" si="120"/>
        <v>0.51500000000000001</v>
      </c>
      <c r="AA219">
        <f t="shared" si="121"/>
        <v>0.52</v>
      </c>
      <c r="AB219">
        <f t="shared" si="122"/>
        <v>0.52500000000000002</v>
      </c>
    </row>
    <row r="220" spans="1:28" x14ac:dyDescent="0.3">
      <c r="A220">
        <v>1</v>
      </c>
      <c r="B220">
        <v>1</v>
      </c>
      <c r="C220">
        <v>2</v>
      </c>
      <c r="D220">
        <v>5</v>
      </c>
      <c r="E220">
        <v>8.1</v>
      </c>
      <c r="G220">
        <f t="shared" si="123"/>
        <v>8.1809999999999992</v>
      </c>
      <c r="H220">
        <f t="shared" si="108"/>
        <v>8.2620000000000005</v>
      </c>
      <c r="I220">
        <f t="shared" si="109"/>
        <v>8.343</v>
      </c>
      <c r="J220">
        <f t="shared" si="110"/>
        <v>8.4239999999999995</v>
      </c>
      <c r="K220">
        <f t="shared" si="111"/>
        <v>8.504999999999999</v>
      </c>
      <c r="L220">
        <f t="shared" si="112"/>
        <v>8.5860000000000003</v>
      </c>
      <c r="T220">
        <v>2</v>
      </c>
      <c r="U220">
        <v>2</v>
      </c>
      <c r="V220">
        <v>0</v>
      </c>
      <c r="X220">
        <f t="shared" si="118"/>
        <v>0</v>
      </c>
      <c r="Y220">
        <f t="shared" si="119"/>
        <v>0</v>
      </c>
      <c r="Z220">
        <f t="shared" si="120"/>
        <v>0</v>
      </c>
      <c r="AA220">
        <f t="shared" si="121"/>
        <v>0</v>
      </c>
      <c r="AB220">
        <f t="shared" si="122"/>
        <v>0</v>
      </c>
    </row>
    <row r="221" spans="1:28" x14ac:dyDescent="0.3">
      <c r="A221">
        <v>1</v>
      </c>
      <c r="B221">
        <v>1</v>
      </c>
      <c r="C221">
        <v>2</v>
      </c>
      <c r="D221">
        <v>6</v>
      </c>
      <c r="E221">
        <v>6.4</v>
      </c>
      <c r="G221">
        <f t="shared" si="123"/>
        <v>6.4640000000000004</v>
      </c>
      <c r="H221">
        <f t="shared" si="108"/>
        <v>6.5280000000000005</v>
      </c>
      <c r="I221">
        <f t="shared" si="109"/>
        <v>6.5920000000000005</v>
      </c>
      <c r="J221">
        <f t="shared" si="110"/>
        <v>6.6560000000000006</v>
      </c>
      <c r="K221">
        <f t="shared" si="111"/>
        <v>6.7200000000000006</v>
      </c>
      <c r="L221">
        <f t="shared" si="112"/>
        <v>6.7840000000000007</v>
      </c>
      <c r="T221">
        <v>2</v>
      </c>
      <c r="U221">
        <v>3</v>
      </c>
      <c r="V221">
        <v>0.5</v>
      </c>
      <c r="X221">
        <f t="shared" si="118"/>
        <v>0.505</v>
      </c>
      <c r="Y221">
        <f t="shared" si="119"/>
        <v>0.51</v>
      </c>
      <c r="Z221">
        <f t="shared" si="120"/>
        <v>0.51500000000000001</v>
      </c>
      <c r="AA221">
        <f t="shared" si="121"/>
        <v>0.52</v>
      </c>
      <c r="AB221">
        <f t="shared" si="122"/>
        <v>0.52500000000000002</v>
      </c>
    </row>
    <row r="222" spans="1:28" x14ac:dyDescent="0.3">
      <c r="A222">
        <v>1</v>
      </c>
      <c r="B222">
        <v>1</v>
      </c>
      <c r="C222">
        <v>3</v>
      </c>
      <c r="D222">
        <v>1</v>
      </c>
      <c r="E222">
        <v>7.3</v>
      </c>
      <c r="G222">
        <f>E222+(E222*1%)</f>
        <v>7.3730000000000002</v>
      </c>
      <c r="H222">
        <f>E222+(E222*2%)</f>
        <v>7.4459999999999997</v>
      </c>
      <c r="I222">
        <f>E222+(E222*3%)</f>
        <v>7.5190000000000001</v>
      </c>
      <c r="J222">
        <f>E222+(E222*4%)</f>
        <v>7.5919999999999996</v>
      </c>
      <c r="K222">
        <f t="shared" si="111"/>
        <v>7.665</v>
      </c>
      <c r="L222">
        <f t="shared" si="112"/>
        <v>7.7379999999999995</v>
      </c>
      <c r="T222">
        <v>2</v>
      </c>
      <c r="U222">
        <v>4</v>
      </c>
      <c r="V222">
        <v>0.6</v>
      </c>
      <c r="X222">
        <f t="shared" si="118"/>
        <v>0.60599999999999998</v>
      </c>
      <c r="Y222">
        <f t="shared" si="119"/>
        <v>0.61199999999999999</v>
      </c>
      <c r="Z222">
        <f t="shared" si="120"/>
        <v>0.61799999999999999</v>
      </c>
      <c r="AA222">
        <f t="shared" si="121"/>
        <v>0.624</v>
      </c>
      <c r="AB222">
        <f t="shared" si="122"/>
        <v>0.63</v>
      </c>
    </row>
    <row r="223" spans="1:28" x14ac:dyDescent="0.3">
      <c r="A223">
        <v>1</v>
      </c>
      <c r="B223">
        <v>1</v>
      </c>
      <c r="C223">
        <v>3</v>
      </c>
      <c r="D223">
        <v>2</v>
      </c>
      <c r="E223">
        <v>8.4</v>
      </c>
      <c r="G223">
        <f t="shared" ref="G223:G233" si="124">E223+(E223*1%)</f>
        <v>8.484</v>
      </c>
      <c r="H223">
        <f t="shared" ref="H223:H233" si="125">E223+(E223*2%)</f>
        <v>8.5679999999999996</v>
      </c>
      <c r="I223">
        <f t="shared" ref="I223:I233" si="126">E223+(E223*3%)</f>
        <v>8.652000000000001</v>
      </c>
      <c r="J223">
        <f t="shared" ref="J223:J230" si="127">E223+(E223*4%)</f>
        <v>8.7360000000000007</v>
      </c>
      <c r="K223">
        <f t="shared" si="111"/>
        <v>8.82</v>
      </c>
      <c r="L223">
        <f t="shared" si="112"/>
        <v>8.9039999999999999</v>
      </c>
      <c r="T223">
        <v>2</v>
      </c>
      <c r="U223">
        <v>5</v>
      </c>
      <c r="V223">
        <v>0</v>
      </c>
      <c r="X223">
        <f t="shared" si="118"/>
        <v>0</v>
      </c>
      <c r="Y223">
        <f t="shared" si="119"/>
        <v>0</v>
      </c>
      <c r="Z223">
        <f t="shared" si="120"/>
        <v>0</v>
      </c>
      <c r="AA223">
        <f t="shared" si="121"/>
        <v>0</v>
      </c>
      <c r="AB223">
        <f t="shared" si="122"/>
        <v>0</v>
      </c>
    </row>
    <row r="224" spans="1:28" x14ac:dyDescent="0.3">
      <c r="A224">
        <v>1</v>
      </c>
      <c r="B224">
        <v>1</v>
      </c>
      <c r="C224">
        <v>3</v>
      </c>
      <c r="D224">
        <v>3</v>
      </c>
      <c r="E224">
        <v>5.5</v>
      </c>
      <c r="G224">
        <f t="shared" si="124"/>
        <v>5.5549999999999997</v>
      </c>
      <c r="H224">
        <f t="shared" si="125"/>
        <v>5.61</v>
      </c>
      <c r="I224">
        <f t="shared" si="126"/>
        <v>5.665</v>
      </c>
      <c r="J224">
        <f t="shared" si="127"/>
        <v>5.72</v>
      </c>
      <c r="K224">
        <f t="shared" si="111"/>
        <v>5.7750000000000004</v>
      </c>
      <c r="L224">
        <f t="shared" si="112"/>
        <v>5.83</v>
      </c>
      <c r="T224">
        <v>2</v>
      </c>
      <c r="U224">
        <v>6</v>
      </c>
      <c r="V224">
        <v>0</v>
      </c>
      <c r="X224">
        <f t="shared" si="118"/>
        <v>0</v>
      </c>
      <c r="Y224">
        <f t="shared" si="119"/>
        <v>0</v>
      </c>
      <c r="Z224">
        <f t="shared" si="120"/>
        <v>0</v>
      </c>
      <c r="AA224">
        <f t="shared" si="121"/>
        <v>0</v>
      </c>
      <c r="AB224">
        <f t="shared" si="122"/>
        <v>0</v>
      </c>
    </row>
    <row r="225" spans="1:28" x14ac:dyDescent="0.3">
      <c r="A225">
        <v>1</v>
      </c>
      <c r="B225">
        <v>1</v>
      </c>
      <c r="C225">
        <v>3</v>
      </c>
      <c r="D225">
        <v>4</v>
      </c>
      <c r="E225">
        <v>7.6</v>
      </c>
      <c r="G225">
        <f t="shared" si="124"/>
        <v>7.6759999999999993</v>
      </c>
      <c r="H225">
        <f t="shared" si="125"/>
        <v>7.7519999999999998</v>
      </c>
      <c r="I225">
        <f t="shared" si="126"/>
        <v>7.8279999999999994</v>
      </c>
      <c r="J225">
        <f t="shared" si="127"/>
        <v>7.9039999999999999</v>
      </c>
      <c r="K225">
        <f t="shared" si="111"/>
        <v>7.9799999999999995</v>
      </c>
      <c r="L225">
        <f t="shared" si="112"/>
        <v>8.0559999999999992</v>
      </c>
      <c r="T225">
        <v>3</v>
      </c>
      <c r="U225">
        <v>1</v>
      </c>
      <c r="V225">
        <v>0.4</v>
      </c>
      <c r="X225">
        <f t="shared" si="118"/>
        <v>0.40400000000000003</v>
      </c>
      <c r="Y225">
        <f t="shared" si="119"/>
        <v>0.40800000000000003</v>
      </c>
      <c r="Z225">
        <f t="shared" si="120"/>
        <v>0.41200000000000003</v>
      </c>
      <c r="AA225">
        <f t="shared" si="121"/>
        <v>0.41600000000000004</v>
      </c>
      <c r="AB225">
        <f t="shared" si="122"/>
        <v>0.42000000000000004</v>
      </c>
    </row>
    <row r="226" spans="1:28" x14ac:dyDescent="0.3">
      <c r="A226">
        <v>1</v>
      </c>
      <c r="B226">
        <v>1</v>
      </c>
      <c r="C226">
        <v>3</v>
      </c>
      <c r="D226">
        <v>5</v>
      </c>
      <c r="E226">
        <v>5.4</v>
      </c>
      <c r="G226">
        <f t="shared" si="124"/>
        <v>5.4540000000000006</v>
      </c>
      <c r="H226">
        <f t="shared" si="125"/>
        <v>5.508</v>
      </c>
      <c r="I226">
        <f t="shared" si="126"/>
        <v>5.5620000000000003</v>
      </c>
      <c r="J226">
        <f t="shared" si="127"/>
        <v>5.6160000000000005</v>
      </c>
      <c r="K226">
        <f t="shared" si="111"/>
        <v>5.67</v>
      </c>
      <c r="L226">
        <f t="shared" si="112"/>
        <v>5.7240000000000002</v>
      </c>
      <c r="T226">
        <v>3</v>
      </c>
      <c r="U226">
        <v>2</v>
      </c>
      <c r="V226">
        <v>0</v>
      </c>
      <c r="X226">
        <f t="shared" si="118"/>
        <v>0</v>
      </c>
      <c r="Y226">
        <f t="shared" si="119"/>
        <v>0</v>
      </c>
      <c r="Z226">
        <f t="shared" si="120"/>
        <v>0</v>
      </c>
      <c r="AA226">
        <f t="shared" si="121"/>
        <v>0</v>
      </c>
      <c r="AB226">
        <f t="shared" si="122"/>
        <v>0</v>
      </c>
    </row>
    <row r="227" spans="1:28" x14ac:dyDescent="0.3">
      <c r="A227">
        <v>1</v>
      </c>
      <c r="B227">
        <v>1</v>
      </c>
      <c r="C227">
        <v>3</v>
      </c>
      <c r="D227">
        <v>6</v>
      </c>
      <c r="E227">
        <v>8.1999999999999993</v>
      </c>
      <c r="G227">
        <f t="shared" si="124"/>
        <v>8.282</v>
      </c>
      <c r="H227">
        <f t="shared" si="125"/>
        <v>8.363999999999999</v>
      </c>
      <c r="I227">
        <f t="shared" si="126"/>
        <v>8.4459999999999997</v>
      </c>
      <c r="J227">
        <f t="shared" si="127"/>
        <v>8.5279999999999987</v>
      </c>
      <c r="K227">
        <f t="shared" si="111"/>
        <v>8.61</v>
      </c>
      <c r="L227">
        <f t="shared" si="112"/>
        <v>8.6919999999999984</v>
      </c>
      <c r="T227">
        <v>3</v>
      </c>
      <c r="U227">
        <v>3</v>
      </c>
      <c r="V227">
        <v>0.3</v>
      </c>
      <c r="X227">
        <f t="shared" si="118"/>
        <v>0.30299999999999999</v>
      </c>
      <c r="Y227">
        <f t="shared" si="119"/>
        <v>0.30599999999999999</v>
      </c>
      <c r="Z227">
        <f t="shared" si="120"/>
        <v>0.309</v>
      </c>
      <c r="AA227">
        <f t="shared" si="121"/>
        <v>0.312</v>
      </c>
      <c r="AB227">
        <f t="shared" si="122"/>
        <v>0.315</v>
      </c>
    </row>
    <row r="228" spans="1:28" x14ac:dyDescent="0.3">
      <c r="A228">
        <v>1</v>
      </c>
      <c r="B228">
        <v>2</v>
      </c>
      <c r="C228">
        <v>1</v>
      </c>
      <c r="D228">
        <v>1</v>
      </c>
      <c r="E228">
        <v>4.7</v>
      </c>
      <c r="G228">
        <f t="shared" si="124"/>
        <v>4.7469999999999999</v>
      </c>
      <c r="H228">
        <f t="shared" si="125"/>
        <v>4.7940000000000005</v>
      </c>
      <c r="I228">
        <f t="shared" si="126"/>
        <v>4.8410000000000002</v>
      </c>
      <c r="J228">
        <f t="shared" si="127"/>
        <v>4.8879999999999999</v>
      </c>
      <c r="K228">
        <f t="shared" si="111"/>
        <v>4.9350000000000005</v>
      </c>
      <c r="L228">
        <f t="shared" si="112"/>
        <v>4.9820000000000002</v>
      </c>
      <c r="T228">
        <v>3</v>
      </c>
      <c r="U228">
        <v>4</v>
      </c>
      <c r="V228">
        <v>0.6</v>
      </c>
      <c r="X228">
        <f t="shared" si="118"/>
        <v>0.60599999999999998</v>
      </c>
      <c r="Y228">
        <f t="shared" si="119"/>
        <v>0.61199999999999999</v>
      </c>
      <c r="Z228">
        <f t="shared" si="120"/>
        <v>0.61799999999999999</v>
      </c>
      <c r="AA228">
        <f t="shared" si="121"/>
        <v>0.624</v>
      </c>
      <c r="AB228">
        <f t="shared" si="122"/>
        <v>0.63</v>
      </c>
    </row>
    <row r="229" spans="1:28" x14ac:dyDescent="0.3">
      <c r="A229">
        <v>1</v>
      </c>
      <c r="B229">
        <v>2</v>
      </c>
      <c r="C229">
        <v>1</v>
      </c>
      <c r="D229">
        <v>2</v>
      </c>
      <c r="E229">
        <v>7.5</v>
      </c>
      <c r="G229">
        <f t="shared" si="124"/>
        <v>7.5750000000000002</v>
      </c>
      <c r="H229">
        <f t="shared" si="125"/>
        <v>7.65</v>
      </c>
      <c r="I229">
        <f t="shared" si="126"/>
        <v>7.7249999999999996</v>
      </c>
      <c r="J229">
        <f t="shared" si="127"/>
        <v>7.8</v>
      </c>
      <c r="K229">
        <f t="shared" si="111"/>
        <v>7.875</v>
      </c>
      <c r="L229">
        <f t="shared" si="112"/>
        <v>7.95</v>
      </c>
      <c r="T229">
        <v>3</v>
      </c>
      <c r="U229">
        <v>5</v>
      </c>
      <c r="V229">
        <v>0</v>
      </c>
      <c r="X229">
        <f t="shared" si="118"/>
        <v>0</v>
      </c>
      <c r="Y229">
        <f t="shared" si="119"/>
        <v>0</v>
      </c>
      <c r="Z229">
        <f t="shared" si="120"/>
        <v>0</v>
      </c>
      <c r="AA229">
        <f t="shared" si="121"/>
        <v>0</v>
      </c>
      <c r="AB229">
        <f t="shared" si="122"/>
        <v>0</v>
      </c>
    </row>
    <row r="230" spans="1:28" x14ac:dyDescent="0.3">
      <c r="A230">
        <v>1</v>
      </c>
      <c r="B230">
        <v>2</v>
      </c>
      <c r="C230">
        <v>1</v>
      </c>
      <c r="D230">
        <v>3</v>
      </c>
      <c r="E230">
        <v>5.7</v>
      </c>
      <c r="G230">
        <f t="shared" si="124"/>
        <v>5.7570000000000006</v>
      </c>
      <c r="H230">
        <f t="shared" si="125"/>
        <v>5.8140000000000001</v>
      </c>
      <c r="I230">
        <f t="shared" si="126"/>
        <v>5.8710000000000004</v>
      </c>
      <c r="J230">
        <f t="shared" si="127"/>
        <v>5.9279999999999999</v>
      </c>
      <c r="K230">
        <f t="shared" si="111"/>
        <v>5.9850000000000003</v>
      </c>
      <c r="L230">
        <f t="shared" si="112"/>
        <v>6.0419999999999998</v>
      </c>
      <c r="T230">
        <v>3</v>
      </c>
      <c r="U230">
        <v>6</v>
      </c>
      <c r="V230">
        <v>0</v>
      </c>
      <c r="X230">
        <f t="shared" si="118"/>
        <v>0</v>
      </c>
      <c r="Y230">
        <f t="shared" si="119"/>
        <v>0</v>
      </c>
      <c r="Z230">
        <f t="shared" si="120"/>
        <v>0</v>
      </c>
      <c r="AA230">
        <f t="shared" si="121"/>
        <v>0</v>
      </c>
      <c r="AB230">
        <f t="shared" si="122"/>
        <v>0</v>
      </c>
    </row>
    <row r="231" spans="1:28" x14ac:dyDescent="0.3">
      <c r="A231">
        <v>1</v>
      </c>
      <c r="B231">
        <v>2</v>
      </c>
      <c r="C231">
        <v>1</v>
      </c>
      <c r="D231">
        <v>4</v>
      </c>
      <c r="E231">
        <v>7.2</v>
      </c>
      <c r="G231">
        <f t="shared" si="124"/>
        <v>7.2720000000000002</v>
      </c>
      <c r="H231">
        <f t="shared" si="125"/>
        <v>7.3440000000000003</v>
      </c>
      <c r="I231">
        <f t="shared" si="126"/>
        <v>7.4160000000000004</v>
      </c>
      <c r="J231">
        <f>E231+(E231*4%)</f>
        <v>7.4880000000000004</v>
      </c>
      <c r="K231">
        <f t="shared" si="111"/>
        <v>7.5600000000000005</v>
      </c>
      <c r="L231">
        <f t="shared" si="112"/>
        <v>7.6320000000000006</v>
      </c>
    </row>
    <row r="232" spans="1:28" x14ac:dyDescent="0.3">
      <c r="A232">
        <v>1</v>
      </c>
      <c r="B232">
        <v>2</v>
      </c>
      <c r="C232">
        <v>1</v>
      </c>
      <c r="D232">
        <v>5</v>
      </c>
      <c r="E232">
        <v>5.3</v>
      </c>
      <c r="G232">
        <f t="shared" si="124"/>
        <v>5.3529999999999998</v>
      </c>
      <c r="H232">
        <f t="shared" si="125"/>
        <v>5.4059999999999997</v>
      </c>
      <c r="I232">
        <f t="shared" si="126"/>
        <v>5.4589999999999996</v>
      </c>
      <c r="J232">
        <f t="shared" ref="J232:J238" si="128">E232+(E232*4%)</f>
        <v>5.5119999999999996</v>
      </c>
      <c r="K232">
        <f t="shared" si="111"/>
        <v>5.5649999999999995</v>
      </c>
      <c r="L232">
        <f t="shared" si="112"/>
        <v>5.6179999999999994</v>
      </c>
      <c r="T232" t="s">
        <v>201</v>
      </c>
      <c r="U232" t="s">
        <v>160</v>
      </c>
      <c r="X232" s="16">
        <f>(X233-U233)/U233*100</f>
        <v>6.5837525587546589E-2</v>
      </c>
      <c r="Y232" s="16">
        <f>(Y233-U233)/U233*100</f>
        <v>0.13167505117509318</v>
      </c>
      <c r="Z232" s="16">
        <f>(Z233-U233)/U233*100</f>
        <v>0.19751257676263978</v>
      </c>
      <c r="AA232" s="16">
        <f>(AA233-U233)/U233*100</f>
        <v>0.26335010235018635</v>
      </c>
      <c r="AB232" s="16">
        <f>(AB233-U233)/U233*100</f>
        <v>0.32918762793773293</v>
      </c>
    </row>
    <row r="233" spans="1:28" x14ac:dyDescent="0.3">
      <c r="A233">
        <v>1</v>
      </c>
      <c r="B233">
        <v>2</v>
      </c>
      <c r="C233">
        <v>1</v>
      </c>
      <c r="D233">
        <v>6</v>
      </c>
      <c r="E233">
        <v>9.4</v>
      </c>
      <c r="G233">
        <f t="shared" si="124"/>
        <v>9.4939999999999998</v>
      </c>
      <c r="H233">
        <f t="shared" si="125"/>
        <v>9.588000000000001</v>
      </c>
      <c r="I233">
        <f t="shared" si="126"/>
        <v>9.6820000000000004</v>
      </c>
      <c r="J233">
        <f t="shared" si="128"/>
        <v>9.7759999999999998</v>
      </c>
      <c r="K233">
        <f t="shared" si="111"/>
        <v>9.870000000000001</v>
      </c>
      <c r="L233">
        <f t="shared" si="112"/>
        <v>9.9640000000000004</v>
      </c>
      <c r="T233" t="s">
        <v>178</v>
      </c>
      <c r="U233">
        <v>4840.7044030870002</v>
      </c>
      <c r="X233" s="21">
        <v>4843.8914030870001</v>
      </c>
      <c r="Y233" s="21">
        <v>4847.078403087</v>
      </c>
      <c r="Z233" s="21">
        <v>4850.2654030869999</v>
      </c>
      <c r="AA233" s="21">
        <v>4853.4524030869998</v>
      </c>
      <c r="AB233" s="21">
        <v>4856.6394030869997</v>
      </c>
    </row>
    <row r="234" spans="1:28" x14ac:dyDescent="0.3">
      <c r="A234">
        <v>1</v>
      </c>
      <c r="B234">
        <v>2</v>
      </c>
      <c r="C234">
        <v>2</v>
      </c>
      <c r="D234">
        <v>1</v>
      </c>
      <c r="E234">
        <v>5.5</v>
      </c>
      <c r="G234">
        <f t="shared" ref="G234:G297" si="129">E234+(E234*1%)</f>
        <v>5.5549999999999997</v>
      </c>
      <c r="H234">
        <f t="shared" ref="H234:H297" si="130">E234+(E234*2%)</f>
        <v>5.61</v>
      </c>
      <c r="I234">
        <f t="shared" ref="I234:I297" si="131">E234+(E234*3%)</f>
        <v>5.665</v>
      </c>
      <c r="J234">
        <f t="shared" si="128"/>
        <v>5.72</v>
      </c>
      <c r="K234">
        <f t="shared" ref="K234:K297" si="132">E234+(E234*5%)</f>
        <v>5.7750000000000004</v>
      </c>
      <c r="L234">
        <f t="shared" si="112"/>
        <v>5.83</v>
      </c>
      <c r="X234" s="16">
        <f>(X235-U235)/U235*100</f>
        <v>0</v>
      </c>
      <c r="Y234" s="16">
        <f>(Y235-U235)/U235*100</f>
        <v>0</v>
      </c>
      <c r="Z234" s="16">
        <f>(Z235-U235)/U235*100</f>
        <v>0</v>
      </c>
      <c r="AA234" s="16">
        <f>(AA235-U235)/U235*100</f>
        <v>0</v>
      </c>
      <c r="AB234" s="16">
        <f>(AB235-U235)/U235*100</f>
        <v>0</v>
      </c>
    </row>
    <row r="235" spans="1:28" x14ac:dyDescent="0.3">
      <c r="A235">
        <v>1</v>
      </c>
      <c r="B235">
        <v>2</v>
      </c>
      <c r="C235">
        <v>2</v>
      </c>
      <c r="D235">
        <v>2</v>
      </c>
      <c r="E235">
        <v>6.6</v>
      </c>
      <c r="G235">
        <f t="shared" si="129"/>
        <v>6.6659999999999995</v>
      </c>
      <c r="H235">
        <f t="shared" si="130"/>
        <v>6.7319999999999993</v>
      </c>
      <c r="I235">
        <f t="shared" si="131"/>
        <v>6.798</v>
      </c>
      <c r="J235">
        <f t="shared" si="128"/>
        <v>6.8639999999999999</v>
      </c>
      <c r="K235">
        <f t="shared" si="132"/>
        <v>6.93</v>
      </c>
      <c r="L235">
        <f t="shared" si="112"/>
        <v>6.9959999999999996</v>
      </c>
      <c r="T235" t="s">
        <v>158</v>
      </c>
      <c r="U235">
        <v>815497.45</v>
      </c>
      <c r="X235" s="21">
        <v>815497.45</v>
      </c>
      <c r="Y235" s="21">
        <v>815497.45</v>
      </c>
      <c r="Z235" s="21">
        <v>815497.45</v>
      </c>
      <c r="AA235" s="21">
        <v>815497.45</v>
      </c>
      <c r="AB235" s="21">
        <v>815497.45</v>
      </c>
    </row>
    <row r="236" spans="1:28" x14ac:dyDescent="0.3">
      <c r="A236">
        <v>1</v>
      </c>
      <c r="B236">
        <v>2</v>
      </c>
      <c r="C236">
        <v>2</v>
      </c>
      <c r="D236">
        <v>3</v>
      </c>
      <c r="E236">
        <v>7.2</v>
      </c>
      <c r="G236">
        <f t="shared" si="129"/>
        <v>7.2720000000000002</v>
      </c>
      <c r="H236">
        <f t="shared" si="130"/>
        <v>7.3440000000000003</v>
      </c>
      <c r="I236">
        <f t="shared" si="131"/>
        <v>7.4160000000000004</v>
      </c>
      <c r="J236">
        <f t="shared" si="128"/>
        <v>7.4880000000000004</v>
      </c>
      <c r="K236">
        <f t="shared" si="132"/>
        <v>7.5600000000000005</v>
      </c>
      <c r="L236">
        <f t="shared" si="112"/>
        <v>7.6320000000000006</v>
      </c>
    </row>
    <row r="237" spans="1:28" x14ac:dyDescent="0.3">
      <c r="A237">
        <v>1</v>
      </c>
      <c r="B237">
        <v>2</v>
      </c>
      <c r="C237">
        <v>2</v>
      </c>
      <c r="D237">
        <v>4</v>
      </c>
      <c r="E237">
        <v>8.5</v>
      </c>
      <c r="G237">
        <f t="shared" si="129"/>
        <v>8.5850000000000009</v>
      </c>
      <c r="H237">
        <f t="shared" si="130"/>
        <v>8.67</v>
      </c>
      <c r="I237">
        <f t="shared" si="131"/>
        <v>8.7550000000000008</v>
      </c>
      <c r="J237">
        <f t="shared" si="128"/>
        <v>8.84</v>
      </c>
      <c r="K237">
        <f t="shared" si="132"/>
        <v>8.9250000000000007</v>
      </c>
      <c r="L237">
        <f t="shared" si="112"/>
        <v>9.01</v>
      </c>
    </row>
    <row r="238" spans="1:28" x14ac:dyDescent="0.3">
      <c r="A238">
        <v>1</v>
      </c>
      <c r="B238">
        <v>2</v>
      </c>
      <c r="C238">
        <v>2</v>
      </c>
      <c r="D238">
        <v>5</v>
      </c>
      <c r="E238">
        <v>4.7</v>
      </c>
      <c r="G238">
        <f t="shared" si="129"/>
        <v>4.7469999999999999</v>
      </c>
      <c r="H238">
        <f t="shared" si="130"/>
        <v>4.7940000000000005</v>
      </c>
      <c r="I238">
        <f t="shared" si="131"/>
        <v>4.8410000000000002</v>
      </c>
      <c r="J238">
        <f t="shared" si="128"/>
        <v>4.8879999999999999</v>
      </c>
      <c r="K238">
        <f t="shared" si="132"/>
        <v>4.9350000000000005</v>
      </c>
      <c r="L238">
        <f t="shared" si="112"/>
        <v>4.9820000000000002</v>
      </c>
      <c r="U238" t="s">
        <v>161</v>
      </c>
      <c r="X238" s="16">
        <f>(X239-U239)/U239*100</f>
        <v>6.8585303798467806E-2</v>
      </c>
      <c r="Y238" s="16">
        <f>(Y239-U239)/U239*100</f>
        <v>0.13579639000990307</v>
      </c>
      <c r="Z238" s="16">
        <f>(Z239-U239)/U239*100</f>
        <v>0.20300747622133833</v>
      </c>
      <c r="AA238" s="16">
        <f>(AA239-U239)/U239*100</f>
        <v>0.27021856243277359</v>
      </c>
      <c r="AB238" s="16">
        <f>(AB239-U239)/U239*100</f>
        <v>0.33705463336961955</v>
      </c>
    </row>
    <row r="239" spans="1:28" x14ac:dyDescent="0.3">
      <c r="A239">
        <v>1</v>
      </c>
      <c r="B239">
        <v>2</v>
      </c>
      <c r="C239">
        <v>2</v>
      </c>
      <c r="D239">
        <v>6</v>
      </c>
      <c r="E239">
        <v>6.3</v>
      </c>
      <c r="G239">
        <f t="shared" si="129"/>
        <v>6.3629999999999995</v>
      </c>
      <c r="H239">
        <f t="shared" si="130"/>
        <v>6.4260000000000002</v>
      </c>
      <c r="I239">
        <f t="shared" si="131"/>
        <v>6.4889999999999999</v>
      </c>
      <c r="J239">
        <f t="shared" ref="J239:J302" si="133">E239+(E239*4%)</f>
        <v>6.5519999999999996</v>
      </c>
      <c r="K239">
        <f t="shared" si="132"/>
        <v>6.6150000000000002</v>
      </c>
      <c r="L239">
        <f t="shared" si="112"/>
        <v>6.6779999999999999</v>
      </c>
      <c r="T239" t="s">
        <v>178</v>
      </c>
      <c r="U239">
        <v>4741.7772567669999</v>
      </c>
      <c r="X239" s="21">
        <v>4745.0294191040002</v>
      </c>
      <c r="Y239" s="21">
        <v>4748.2164191040001</v>
      </c>
      <c r="Z239" s="21">
        <v>4751.403419104</v>
      </c>
      <c r="AA239" s="21">
        <v>4754.5904191039999</v>
      </c>
      <c r="AB239" s="21">
        <v>4757.7596367149999</v>
      </c>
    </row>
    <row r="240" spans="1:28" x14ac:dyDescent="0.3">
      <c r="A240">
        <v>1</v>
      </c>
      <c r="B240">
        <v>2</v>
      </c>
      <c r="C240">
        <v>3</v>
      </c>
      <c r="D240">
        <v>1</v>
      </c>
      <c r="E240">
        <v>6.6</v>
      </c>
      <c r="G240">
        <f t="shared" si="129"/>
        <v>6.6659999999999995</v>
      </c>
      <c r="H240">
        <f t="shared" si="130"/>
        <v>6.7319999999999993</v>
      </c>
      <c r="I240">
        <f t="shared" si="131"/>
        <v>6.798</v>
      </c>
      <c r="J240">
        <f t="shared" si="133"/>
        <v>6.8639999999999999</v>
      </c>
      <c r="K240">
        <f t="shared" si="132"/>
        <v>6.93</v>
      </c>
      <c r="L240">
        <f t="shared" si="112"/>
        <v>6.9959999999999996</v>
      </c>
      <c r="X240" s="16">
        <f>(X241-U241)/U241*100</f>
        <v>-1.9909362322724613E-3</v>
      </c>
      <c r="Y240" s="16">
        <f>(Y241-U241)/U241*100</f>
        <v>-1.9909362322724613E-3</v>
      </c>
      <c r="Z240" s="16">
        <f>(Z241-U241)/U241*100</f>
        <v>-1.9909362322724613E-3</v>
      </c>
      <c r="AA240" s="16">
        <f>(AA241-U241)/U241*100</f>
        <v>-1.9909362322724613E-3</v>
      </c>
      <c r="AB240" s="16">
        <f>(AB241-U241)/U241*100</f>
        <v>-1.8687929051395304E-3</v>
      </c>
    </row>
    <row r="241" spans="1:28" x14ac:dyDescent="0.3">
      <c r="A241">
        <v>1</v>
      </c>
      <c r="B241">
        <v>2</v>
      </c>
      <c r="C241">
        <v>3</v>
      </c>
      <c r="D241">
        <v>2</v>
      </c>
      <c r="E241">
        <v>7.7</v>
      </c>
      <c r="G241">
        <f t="shared" si="129"/>
        <v>7.7770000000000001</v>
      </c>
      <c r="H241">
        <f t="shared" si="130"/>
        <v>7.8540000000000001</v>
      </c>
      <c r="I241">
        <f t="shared" si="131"/>
        <v>7.931</v>
      </c>
      <c r="J241">
        <f t="shared" si="133"/>
        <v>8.0080000000000009</v>
      </c>
      <c r="K241">
        <f t="shared" si="132"/>
        <v>8.0850000000000009</v>
      </c>
      <c r="L241">
        <f t="shared" si="112"/>
        <v>8.1620000000000008</v>
      </c>
      <c r="T241" t="s">
        <v>158</v>
      </c>
      <c r="U241">
        <v>818710.3</v>
      </c>
      <c r="X241" s="21">
        <v>818694</v>
      </c>
      <c r="Y241" s="21">
        <v>818694</v>
      </c>
      <c r="Z241" s="21">
        <v>818694</v>
      </c>
      <c r="AA241" s="21">
        <v>818694</v>
      </c>
      <c r="AB241" s="21">
        <v>818695</v>
      </c>
    </row>
    <row r="242" spans="1:28" x14ac:dyDescent="0.3">
      <c r="A242">
        <v>1</v>
      </c>
      <c r="B242">
        <v>2</v>
      </c>
      <c r="C242">
        <v>3</v>
      </c>
      <c r="D242">
        <v>3</v>
      </c>
      <c r="E242">
        <v>4.3</v>
      </c>
      <c r="G242">
        <f t="shared" si="129"/>
        <v>4.343</v>
      </c>
      <c r="H242">
        <f t="shared" si="130"/>
        <v>4.3860000000000001</v>
      </c>
      <c r="I242">
        <f t="shared" si="131"/>
        <v>4.4290000000000003</v>
      </c>
      <c r="J242">
        <f t="shared" si="133"/>
        <v>4.4719999999999995</v>
      </c>
      <c r="K242">
        <f t="shared" si="132"/>
        <v>4.5149999999999997</v>
      </c>
      <c r="L242">
        <f t="shared" si="112"/>
        <v>4.5579999999999998</v>
      </c>
      <c r="T242" s="22"/>
      <c r="U242" s="22"/>
      <c r="V242" s="22"/>
      <c r="W242" s="22"/>
      <c r="X242" s="22"/>
      <c r="Y242" s="22"/>
      <c r="Z242" s="22"/>
      <c r="AA242" s="22"/>
      <c r="AB242" s="22"/>
    </row>
    <row r="243" spans="1:28" x14ac:dyDescent="0.3">
      <c r="A243">
        <v>1</v>
      </c>
      <c r="B243">
        <v>2</v>
      </c>
      <c r="C243">
        <v>3</v>
      </c>
      <c r="D243">
        <v>4</v>
      </c>
      <c r="E243">
        <v>7.6</v>
      </c>
      <c r="G243">
        <f t="shared" si="129"/>
        <v>7.6759999999999993</v>
      </c>
      <c r="H243">
        <f t="shared" si="130"/>
        <v>7.7519999999999998</v>
      </c>
      <c r="I243">
        <f t="shared" si="131"/>
        <v>7.8279999999999994</v>
      </c>
      <c r="J243">
        <f t="shared" si="133"/>
        <v>7.9039999999999999</v>
      </c>
      <c r="K243">
        <f t="shared" si="132"/>
        <v>7.9799999999999995</v>
      </c>
      <c r="L243">
        <f t="shared" si="112"/>
        <v>8.0559999999999992</v>
      </c>
    </row>
    <row r="244" spans="1:28" x14ac:dyDescent="0.3">
      <c r="A244">
        <v>1</v>
      </c>
      <c r="B244">
        <v>2</v>
      </c>
      <c r="C244">
        <v>3</v>
      </c>
      <c r="D244">
        <v>5</v>
      </c>
      <c r="E244">
        <v>4.8</v>
      </c>
      <c r="G244">
        <f t="shared" si="129"/>
        <v>4.8479999999999999</v>
      </c>
      <c r="H244">
        <f t="shared" si="130"/>
        <v>4.8959999999999999</v>
      </c>
      <c r="I244">
        <f t="shared" si="131"/>
        <v>4.944</v>
      </c>
      <c r="J244">
        <f t="shared" si="133"/>
        <v>4.992</v>
      </c>
      <c r="K244">
        <f t="shared" si="132"/>
        <v>5.04</v>
      </c>
      <c r="L244">
        <f t="shared" si="112"/>
        <v>5.0880000000000001</v>
      </c>
      <c r="T244" t="s">
        <v>179</v>
      </c>
    </row>
    <row r="245" spans="1:28" x14ac:dyDescent="0.3">
      <c r="A245">
        <v>1</v>
      </c>
      <c r="B245">
        <v>2</v>
      </c>
      <c r="C245">
        <v>3</v>
      </c>
      <c r="D245">
        <v>6</v>
      </c>
      <c r="E245">
        <v>6.5</v>
      </c>
      <c r="G245">
        <f t="shared" si="129"/>
        <v>6.5650000000000004</v>
      </c>
      <c r="H245">
        <f t="shared" si="130"/>
        <v>6.63</v>
      </c>
      <c r="I245">
        <f t="shared" si="131"/>
        <v>6.6950000000000003</v>
      </c>
      <c r="J245">
        <f t="shared" si="133"/>
        <v>6.76</v>
      </c>
      <c r="K245">
        <f t="shared" si="132"/>
        <v>6.8250000000000002</v>
      </c>
      <c r="L245">
        <f t="shared" si="112"/>
        <v>6.89</v>
      </c>
      <c r="T245" s="1" t="s">
        <v>183</v>
      </c>
    </row>
    <row r="246" spans="1:28" x14ac:dyDescent="0.3">
      <c r="A246">
        <v>1</v>
      </c>
      <c r="B246">
        <v>3</v>
      </c>
      <c r="C246">
        <v>1</v>
      </c>
      <c r="D246">
        <v>1</v>
      </c>
      <c r="E246">
        <v>6.6</v>
      </c>
      <c r="G246">
        <f t="shared" si="129"/>
        <v>6.6659999999999995</v>
      </c>
      <c r="H246">
        <f t="shared" si="130"/>
        <v>6.7319999999999993</v>
      </c>
      <c r="I246">
        <f t="shared" si="131"/>
        <v>6.798</v>
      </c>
      <c r="J246">
        <f t="shared" si="133"/>
        <v>6.8639999999999999</v>
      </c>
      <c r="K246">
        <f t="shared" si="132"/>
        <v>6.93</v>
      </c>
      <c r="L246">
        <f t="shared" si="112"/>
        <v>6.9959999999999996</v>
      </c>
    </row>
    <row r="247" spans="1:28" x14ac:dyDescent="0.3">
      <c r="A247">
        <v>1</v>
      </c>
      <c r="B247">
        <v>3</v>
      </c>
      <c r="C247">
        <v>1</v>
      </c>
      <c r="D247">
        <v>2</v>
      </c>
      <c r="E247">
        <v>4.3</v>
      </c>
      <c r="G247">
        <f t="shared" si="129"/>
        <v>4.343</v>
      </c>
      <c r="H247">
        <f t="shared" si="130"/>
        <v>4.3860000000000001</v>
      </c>
      <c r="I247">
        <f t="shared" si="131"/>
        <v>4.4290000000000003</v>
      </c>
      <c r="J247">
        <f t="shared" si="133"/>
        <v>4.4719999999999995</v>
      </c>
      <c r="K247">
        <f t="shared" si="132"/>
        <v>4.5149999999999997</v>
      </c>
      <c r="L247">
        <f t="shared" si="112"/>
        <v>4.5579999999999998</v>
      </c>
      <c r="T247" t="s">
        <v>19</v>
      </c>
      <c r="U247" t="s">
        <v>180</v>
      </c>
      <c r="W247" s="20">
        <v>0.01</v>
      </c>
      <c r="X247" s="20">
        <v>0.02</v>
      </c>
      <c r="Y247" s="20">
        <v>0.03</v>
      </c>
      <c r="Z247" s="20">
        <v>0.04</v>
      </c>
      <c r="AA247" s="20">
        <v>0.05</v>
      </c>
    </row>
    <row r="248" spans="1:28" x14ac:dyDescent="0.3">
      <c r="A248">
        <v>1</v>
      </c>
      <c r="B248">
        <v>3</v>
      </c>
      <c r="C248">
        <v>1</v>
      </c>
      <c r="D248">
        <v>3</v>
      </c>
      <c r="E248">
        <v>7.6</v>
      </c>
      <c r="G248">
        <f t="shared" si="129"/>
        <v>7.6759999999999993</v>
      </c>
      <c r="H248">
        <f t="shared" si="130"/>
        <v>7.7519999999999998</v>
      </c>
      <c r="I248">
        <f t="shared" si="131"/>
        <v>7.8279999999999994</v>
      </c>
      <c r="J248">
        <f t="shared" si="133"/>
        <v>7.9039999999999999</v>
      </c>
      <c r="K248">
        <f t="shared" si="132"/>
        <v>7.9799999999999995</v>
      </c>
      <c r="L248">
        <f t="shared" si="112"/>
        <v>8.0559999999999992</v>
      </c>
      <c r="T248">
        <v>1</v>
      </c>
      <c r="U248">
        <v>2.2999999999999998</v>
      </c>
      <c r="W248">
        <f>U248+(U248*1%)</f>
        <v>2.323</v>
      </c>
      <c r="X248">
        <f>U248+(U248*2%)</f>
        <v>2.3459999999999996</v>
      </c>
      <c r="Y248">
        <f>U248+(U248*3%)</f>
        <v>2.3689999999999998</v>
      </c>
      <c r="Z248">
        <f>U248+(U248*4%)</f>
        <v>2.3919999999999999</v>
      </c>
      <c r="AA248">
        <f>U248+(U248*5%)</f>
        <v>2.415</v>
      </c>
    </row>
    <row r="249" spans="1:28" x14ac:dyDescent="0.3">
      <c r="A249">
        <v>1</v>
      </c>
      <c r="B249">
        <v>3</v>
      </c>
      <c r="C249">
        <v>1</v>
      </c>
      <c r="D249">
        <v>4</v>
      </c>
      <c r="E249">
        <v>9.4</v>
      </c>
      <c r="G249">
        <f t="shared" si="129"/>
        <v>9.4939999999999998</v>
      </c>
      <c r="H249">
        <f t="shared" si="130"/>
        <v>9.588000000000001</v>
      </c>
      <c r="I249">
        <f t="shared" si="131"/>
        <v>9.6820000000000004</v>
      </c>
      <c r="J249">
        <f t="shared" si="133"/>
        <v>9.7759999999999998</v>
      </c>
      <c r="K249">
        <f t="shared" si="132"/>
        <v>9.870000000000001</v>
      </c>
      <c r="L249">
        <f t="shared" si="112"/>
        <v>9.9640000000000004</v>
      </c>
      <c r="T249">
        <v>2</v>
      </c>
      <c r="U249">
        <v>2.2000000000000002</v>
      </c>
      <c r="W249">
        <f t="shared" ref="W249" si="134">U249+(U249*1%)</f>
        <v>2.222</v>
      </c>
      <c r="X249">
        <f t="shared" ref="X249" si="135">U249+(U249*2%)</f>
        <v>2.2440000000000002</v>
      </c>
      <c r="Y249">
        <f t="shared" ref="Y249" si="136">U249+(U249*3%)</f>
        <v>2.266</v>
      </c>
      <c r="Z249">
        <f t="shared" ref="Z249" si="137">U249+(U249*4%)</f>
        <v>2.2880000000000003</v>
      </c>
      <c r="AA249">
        <f t="shared" ref="AA249" si="138">U249+(U249*5%)</f>
        <v>2.31</v>
      </c>
    </row>
    <row r="250" spans="1:28" x14ac:dyDescent="0.3">
      <c r="A250">
        <v>1</v>
      </c>
      <c r="B250">
        <v>3</v>
      </c>
      <c r="C250">
        <v>1</v>
      </c>
      <c r="D250">
        <v>5</v>
      </c>
      <c r="E250">
        <v>3.6</v>
      </c>
      <c r="G250">
        <f t="shared" si="129"/>
        <v>3.6360000000000001</v>
      </c>
      <c r="H250">
        <f t="shared" si="130"/>
        <v>3.6720000000000002</v>
      </c>
      <c r="I250">
        <f t="shared" si="131"/>
        <v>3.7080000000000002</v>
      </c>
      <c r="J250">
        <f t="shared" si="133"/>
        <v>3.7440000000000002</v>
      </c>
      <c r="K250">
        <f t="shared" si="132"/>
        <v>3.7800000000000002</v>
      </c>
      <c r="L250">
        <f t="shared" si="112"/>
        <v>3.8160000000000003</v>
      </c>
    </row>
    <row r="251" spans="1:28" x14ac:dyDescent="0.3">
      <c r="A251">
        <v>1</v>
      </c>
      <c r="B251">
        <v>3</v>
      </c>
      <c r="C251">
        <v>1</v>
      </c>
      <c r="D251">
        <v>6</v>
      </c>
      <c r="E251">
        <v>6.8</v>
      </c>
      <c r="G251">
        <f t="shared" si="129"/>
        <v>6.8679999999999994</v>
      </c>
      <c r="H251">
        <f t="shared" si="130"/>
        <v>6.9359999999999999</v>
      </c>
      <c r="I251">
        <f t="shared" si="131"/>
        <v>7.0039999999999996</v>
      </c>
      <c r="J251">
        <f t="shared" si="133"/>
        <v>7.0720000000000001</v>
      </c>
      <c r="K251">
        <f t="shared" si="132"/>
        <v>7.14</v>
      </c>
      <c r="L251">
        <f t="shared" si="112"/>
        <v>7.2080000000000002</v>
      </c>
      <c r="T251" t="s">
        <v>199</v>
      </c>
      <c r="U251" t="s">
        <v>160</v>
      </c>
      <c r="W251" s="16">
        <f>(W252-U252)/U252*100</f>
        <v>0.65670194568640405</v>
      </c>
      <c r="X251" s="16">
        <f>(X252-U252)/U252*100</f>
        <v>1.3134038913728081</v>
      </c>
      <c r="Y251" s="16">
        <f>(Y252-U252)/U252*100</f>
        <v>1.9701058370592308</v>
      </c>
      <c r="Z251" s="16">
        <f>(Z252-U252)/U252*100</f>
        <v>2.6268077827456349</v>
      </c>
      <c r="AA251" s="16">
        <f>(AA252-U252)/U252*100</f>
        <v>3.2835097284320387</v>
      </c>
    </row>
    <row r="252" spans="1:28" x14ac:dyDescent="0.3">
      <c r="A252">
        <v>1</v>
      </c>
      <c r="B252">
        <v>3</v>
      </c>
      <c r="C252">
        <v>2</v>
      </c>
      <c r="D252">
        <v>1</v>
      </c>
      <c r="E252">
        <v>4.3</v>
      </c>
      <c r="G252">
        <f t="shared" si="129"/>
        <v>4.343</v>
      </c>
      <c r="H252">
        <f t="shared" si="130"/>
        <v>4.3860000000000001</v>
      </c>
      <c r="I252">
        <f t="shared" si="131"/>
        <v>4.4290000000000003</v>
      </c>
      <c r="J252">
        <f t="shared" si="133"/>
        <v>4.4719999999999995</v>
      </c>
      <c r="K252">
        <f t="shared" si="132"/>
        <v>4.5149999999999997</v>
      </c>
      <c r="L252">
        <f t="shared" si="112"/>
        <v>4.5579999999999998</v>
      </c>
      <c r="T252" t="s">
        <v>178</v>
      </c>
      <c r="U252">
        <v>4840.7044030870002</v>
      </c>
      <c r="W252" s="21">
        <v>4872.4934030869999</v>
      </c>
      <c r="X252" s="25">
        <v>4904.2824030869997</v>
      </c>
      <c r="Y252" s="21">
        <v>4936.0714030870004</v>
      </c>
      <c r="Z252" s="21">
        <v>4967.8604030870001</v>
      </c>
      <c r="AA252" s="21">
        <v>4999.6494030869999</v>
      </c>
    </row>
    <row r="253" spans="1:28" x14ac:dyDescent="0.3">
      <c r="A253">
        <v>1</v>
      </c>
      <c r="B253">
        <v>3</v>
      </c>
      <c r="C253">
        <v>2</v>
      </c>
      <c r="D253">
        <v>2</v>
      </c>
      <c r="E253">
        <v>7.3</v>
      </c>
      <c r="G253">
        <f t="shared" si="129"/>
        <v>7.3730000000000002</v>
      </c>
      <c r="H253">
        <f t="shared" si="130"/>
        <v>7.4459999999999997</v>
      </c>
      <c r="I253">
        <f t="shared" si="131"/>
        <v>7.5190000000000001</v>
      </c>
      <c r="J253">
        <f t="shared" si="133"/>
        <v>7.5919999999999996</v>
      </c>
      <c r="K253">
        <f t="shared" si="132"/>
        <v>7.665</v>
      </c>
      <c r="L253">
        <f t="shared" si="112"/>
        <v>7.7379999999999995</v>
      </c>
      <c r="W253" s="16">
        <f>(W254-U254)/U254*100</f>
        <v>0</v>
      </c>
      <c r="X253" s="16">
        <f>(X254-U254)/U254*100</f>
        <v>0</v>
      </c>
      <c r="Y253" s="16">
        <f>(Y254-U254)/U254*100</f>
        <v>0</v>
      </c>
      <c r="Z253" s="16">
        <f>(Z254-U254)/U254*100</f>
        <v>0</v>
      </c>
      <c r="AA253" s="16">
        <f>(AA254-U254)/U254*100</f>
        <v>0</v>
      </c>
    </row>
    <row r="254" spans="1:28" x14ac:dyDescent="0.3">
      <c r="A254">
        <v>1</v>
      </c>
      <c r="B254">
        <v>3</v>
      </c>
      <c r="C254">
        <v>2</v>
      </c>
      <c r="D254">
        <v>3</v>
      </c>
      <c r="E254">
        <v>3.5</v>
      </c>
      <c r="G254">
        <f t="shared" si="129"/>
        <v>3.5350000000000001</v>
      </c>
      <c r="H254">
        <f t="shared" si="130"/>
        <v>3.57</v>
      </c>
      <c r="I254">
        <f t="shared" si="131"/>
        <v>3.605</v>
      </c>
      <c r="J254">
        <f t="shared" si="133"/>
        <v>3.64</v>
      </c>
      <c r="K254">
        <f t="shared" si="132"/>
        <v>3.6749999999999998</v>
      </c>
      <c r="L254">
        <f t="shared" si="112"/>
        <v>3.71</v>
      </c>
      <c r="T254" t="s">
        <v>158</v>
      </c>
      <c r="U254">
        <v>815497.45</v>
      </c>
      <c r="W254" s="21">
        <v>815497.45</v>
      </c>
      <c r="X254" s="21">
        <v>815497.45</v>
      </c>
      <c r="Y254" s="21">
        <v>815497.45</v>
      </c>
      <c r="Z254" s="21">
        <v>815497.45</v>
      </c>
      <c r="AA254" s="21">
        <v>815497.45</v>
      </c>
    </row>
    <row r="255" spans="1:28" x14ac:dyDescent="0.3">
      <c r="A255">
        <v>1</v>
      </c>
      <c r="B255">
        <v>3</v>
      </c>
      <c r="C255">
        <v>2</v>
      </c>
      <c r="D255">
        <v>4</v>
      </c>
      <c r="E255">
        <v>6.6</v>
      </c>
      <c r="G255">
        <f t="shared" si="129"/>
        <v>6.6659999999999995</v>
      </c>
      <c r="H255">
        <f t="shared" si="130"/>
        <v>6.7319999999999993</v>
      </c>
      <c r="I255">
        <f t="shared" si="131"/>
        <v>6.798</v>
      </c>
      <c r="J255">
        <f t="shared" si="133"/>
        <v>6.8639999999999999</v>
      </c>
      <c r="K255">
        <f t="shared" si="132"/>
        <v>6.93</v>
      </c>
      <c r="L255">
        <f t="shared" si="112"/>
        <v>6.9959999999999996</v>
      </c>
    </row>
    <row r="256" spans="1:28" x14ac:dyDescent="0.3">
      <c r="A256">
        <v>1</v>
      </c>
      <c r="B256">
        <v>3</v>
      </c>
      <c r="C256">
        <v>2</v>
      </c>
      <c r="D256">
        <v>5</v>
      </c>
      <c r="E256">
        <v>8.3000000000000007</v>
      </c>
      <c r="G256">
        <f t="shared" si="129"/>
        <v>8.3830000000000009</v>
      </c>
      <c r="H256">
        <f t="shared" si="130"/>
        <v>8.4660000000000011</v>
      </c>
      <c r="I256">
        <f t="shared" si="131"/>
        <v>8.5490000000000013</v>
      </c>
      <c r="J256">
        <f t="shared" si="133"/>
        <v>8.6320000000000014</v>
      </c>
      <c r="K256">
        <f t="shared" si="132"/>
        <v>8.7149999999999999</v>
      </c>
      <c r="L256">
        <f t="shared" si="112"/>
        <v>8.798</v>
      </c>
    </row>
    <row r="257" spans="1:29" x14ac:dyDescent="0.3">
      <c r="A257">
        <v>1</v>
      </c>
      <c r="B257">
        <v>3</v>
      </c>
      <c r="C257">
        <v>2</v>
      </c>
      <c r="D257">
        <v>6</v>
      </c>
      <c r="E257">
        <v>9.3000000000000007</v>
      </c>
      <c r="G257">
        <f t="shared" si="129"/>
        <v>9.3930000000000007</v>
      </c>
      <c r="H257">
        <f t="shared" si="130"/>
        <v>9.4860000000000007</v>
      </c>
      <c r="I257">
        <f t="shared" si="131"/>
        <v>9.5790000000000006</v>
      </c>
      <c r="J257">
        <f t="shared" si="133"/>
        <v>9.6720000000000006</v>
      </c>
      <c r="K257">
        <f t="shared" si="132"/>
        <v>9.7650000000000006</v>
      </c>
      <c r="L257">
        <f t="shared" si="112"/>
        <v>9.8580000000000005</v>
      </c>
      <c r="U257" t="s">
        <v>161</v>
      </c>
      <c r="W257" s="16">
        <f>(W258-U258)/U258*100</f>
        <v>0.67809696109434803</v>
      </c>
      <c r="X257" s="16">
        <f>(X258-U258)/U258*100</f>
        <v>1.3444080631586763</v>
      </c>
      <c r="Y257" s="16">
        <f>(Y258-U258)/U258*100</f>
        <v>2.0169993989386441</v>
      </c>
      <c r="Z257" s="16">
        <f>(Z258-U258)/U258*100</f>
        <v>2.6910195084321704</v>
      </c>
      <c r="AA257" s="16">
        <f>(AA258-U258)/U258*100</f>
        <v>3.3624536730497527</v>
      </c>
    </row>
    <row r="258" spans="1:29" x14ac:dyDescent="0.3">
      <c r="A258">
        <v>1</v>
      </c>
      <c r="B258">
        <v>3</v>
      </c>
      <c r="C258">
        <v>3</v>
      </c>
      <c r="D258">
        <v>1</v>
      </c>
      <c r="E258">
        <v>4.3</v>
      </c>
      <c r="G258">
        <f>E258+(E258*1%)</f>
        <v>4.343</v>
      </c>
      <c r="H258">
        <f t="shared" si="130"/>
        <v>4.3860000000000001</v>
      </c>
      <c r="I258">
        <f>E258+(E258*3%)</f>
        <v>4.4290000000000003</v>
      </c>
      <c r="J258">
        <f t="shared" si="133"/>
        <v>4.4719999999999995</v>
      </c>
      <c r="K258">
        <f t="shared" si="132"/>
        <v>4.5149999999999997</v>
      </c>
      <c r="L258">
        <f t="shared" si="112"/>
        <v>4.5579999999999998</v>
      </c>
      <c r="T258" t="s">
        <v>178</v>
      </c>
      <c r="U258">
        <v>4741.7772567669999</v>
      </c>
      <c r="W258" s="21">
        <v>4773.9311042469999</v>
      </c>
      <c r="X258" s="21">
        <v>4805.5260925439998</v>
      </c>
      <c r="Y258" s="21">
        <v>4837.4188755349996</v>
      </c>
      <c r="Z258" s="21">
        <v>4869.3794077929997</v>
      </c>
      <c r="AA258" s="21">
        <v>4901.2173203049997</v>
      </c>
    </row>
    <row r="259" spans="1:29" x14ac:dyDescent="0.3">
      <c r="A259">
        <v>1</v>
      </c>
      <c r="B259">
        <v>3</v>
      </c>
      <c r="C259">
        <v>3</v>
      </c>
      <c r="D259">
        <v>2</v>
      </c>
      <c r="E259">
        <v>6.4</v>
      </c>
      <c r="G259">
        <f t="shared" si="129"/>
        <v>6.4640000000000004</v>
      </c>
      <c r="H259">
        <f t="shared" si="130"/>
        <v>6.5280000000000005</v>
      </c>
      <c r="I259">
        <f t="shared" si="131"/>
        <v>6.5920000000000005</v>
      </c>
      <c r="J259">
        <f t="shared" si="133"/>
        <v>6.6560000000000006</v>
      </c>
      <c r="K259">
        <f t="shared" si="132"/>
        <v>6.7200000000000006</v>
      </c>
      <c r="L259">
        <f t="shared" si="112"/>
        <v>6.7840000000000007</v>
      </c>
      <c r="W259" s="16">
        <f>(W260-U260)/U260*100</f>
        <v>-5.1910914031495625E-3</v>
      </c>
      <c r="X259" s="16">
        <f>(X260-U260)/U260*100</f>
        <v>-3.7620144756999596E-3</v>
      </c>
      <c r="Y259" s="16">
        <f>(Y260-U260)/U260*100</f>
        <v>-7.255313631698939E-3</v>
      </c>
      <c r="Z259" s="16">
        <f>(Z260-U260)/U260*100</f>
        <v>-1.0785255785843486E-2</v>
      </c>
      <c r="AA259" s="16">
        <f>(AA260-U260)/U260*100</f>
        <v>-1.0895184780265969E-2</v>
      </c>
    </row>
    <row r="260" spans="1:29" x14ac:dyDescent="0.3">
      <c r="A260">
        <v>1</v>
      </c>
      <c r="B260">
        <v>3</v>
      </c>
      <c r="C260">
        <v>3</v>
      </c>
      <c r="D260">
        <v>3</v>
      </c>
      <c r="E260">
        <v>8.3000000000000007</v>
      </c>
      <c r="G260">
        <f t="shared" si="129"/>
        <v>8.3830000000000009</v>
      </c>
      <c r="H260">
        <f t="shared" si="130"/>
        <v>8.4660000000000011</v>
      </c>
      <c r="I260">
        <f t="shared" si="131"/>
        <v>8.5490000000000013</v>
      </c>
      <c r="J260">
        <f t="shared" si="133"/>
        <v>8.6320000000000014</v>
      </c>
      <c r="K260">
        <f t="shared" si="132"/>
        <v>8.7149999999999999</v>
      </c>
      <c r="L260">
        <f t="shared" si="112"/>
        <v>8.798</v>
      </c>
      <c r="T260" t="s">
        <v>158</v>
      </c>
      <c r="U260">
        <v>818710.3</v>
      </c>
      <c r="W260" s="21">
        <v>818667.8</v>
      </c>
      <c r="X260" s="21">
        <v>818679.5</v>
      </c>
      <c r="Y260" s="21">
        <v>818650.9</v>
      </c>
      <c r="Z260" s="21">
        <v>818622</v>
      </c>
      <c r="AA260" s="21">
        <v>818621.1</v>
      </c>
    </row>
    <row r="261" spans="1:29" x14ac:dyDescent="0.3">
      <c r="A261">
        <v>1</v>
      </c>
      <c r="B261">
        <v>3</v>
      </c>
      <c r="C261">
        <v>3</v>
      </c>
      <c r="D261">
        <v>4</v>
      </c>
      <c r="E261">
        <v>4.5</v>
      </c>
      <c r="G261">
        <f t="shared" si="129"/>
        <v>4.5449999999999999</v>
      </c>
      <c r="H261">
        <f t="shared" si="130"/>
        <v>4.59</v>
      </c>
      <c r="I261">
        <f t="shared" si="131"/>
        <v>4.6349999999999998</v>
      </c>
      <c r="J261">
        <f t="shared" si="133"/>
        <v>4.68</v>
      </c>
      <c r="K261">
        <f t="shared" si="132"/>
        <v>4.7249999999999996</v>
      </c>
      <c r="L261">
        <f t="shared" si="112"/>
        <v>4.7699999999999996</v>
      </c>
      <c r="T261" s="22"/>
      <c r="U261" s="22"/>
      <c r="V261" s="22"/>
      <c r="W261" s="22"/>
      <c r="X261" s="22"/>
      <c r="Y261" s="22"/>
      <c r="Z261" s="22"/>
      <c r="AA261" s="22"/>
      <c r="AB261" s="22"/>
    </row>
    <row r="262" spans="1:29" x14ac:dyDescent="0.3">
      <c r="A262">
        <v>1</v>
      </c>
      <c r="B262">
        <v>3</v>
      </c>
      <c r="C262">
        <v>3</v>
      </c>
      <c r="D262">
        <v>5</v>
      </c>
      <c r="E262">
        <v>7.2</v>
      </c>
      <c r="G262">
        <f t="shared" si="129"/>
        <v>7.2720000000000002</v>
      </c>
      <c r="H262">
        <f t="shared" si="130"/>
        <v>7.3440000000000003</v>
      </c>
      <c r="I262">
        <f t="shared" si="131"/>
        <v>7.4160000000000004</v>
      </c>
      <c r="J262">
        <f t="shared" si="133"/>
        <v>7.4880000000000004</v>
      </c>
      <c r="K262">
        <f t="shared" si="132"/>
        <v>7.5600000000000005</v>
      </c>
      <c r="L262">
        <f t="shared" si="112"/>
        <v>7.6320000000000006</v>
      </c>
    </row>
    <row r="263" spans="1:29" x14ac:dyDescent="0.3">
      <c r="A263">
        <v>1</v>
      </c>
      <c r="B263">
        <v>3</v>
      </c>
      <c r="C263">
        <v>3</v>
      </c>
      <c r="D263">
        <v>6</v>
      </c>
      <c r="E263">
        <v>9.6</v>
      </c>
      <c r="G263">
        <f t="shared" si="129"/>
        <v>9.6959999999999997</v>
      </c>
      <c r="H263">
        <f t="shared" si="130"/>
        <v>9.7919999999999998</v>
      </c>
      <c r="I263">
        <f t="shared" si="131"/>
        <v>9.8879999999999999</v>
      </c>
      <c r="J263">
        <f t="shared" si="133"/>
        <v>9.984</v>
      </c>
      <c r="K263">
        <f t="shared" si="132"/>
        <v>10.08</v>
      </c>
      <c r="L263">
        <f t="shared" si="112"/>
        <v>10.176</v>
      </c>
      <c r="T263" t="s">
        <v>181</v>
      </c>
    </row>
    <row r="264" spans="1:29" x14ac:dyDescent="0.3">
      <c r="A264">
        <v>2</v>
      </c>
      <c r="B264">
        <v>1</v>
      </c>
      <c r="C264">
        <v>1</v>
      </c>
      <c r="D264">
        <v>1</v>
      </c>
      <c r="E264">
        <v>4.5</v>
      </c>
      <c r="G264">
        <f t="shared" si="129"/>
        <v>4.5449999999999999</v>
      </c>
      <c r="H264">
        <f>E264+(E264*2%)</f>
        <v>4.59</v>
      </c>
      <c r="I264">
        <f t="shared" si="131"/>
        <v>4.6349999999999998</v>
      </c>
      <c r="J264">
        <f t="shared" si="133"/>
        <v>4.68</v>
      </c>
      <c r="K264">
        <f t="shared" si="132"/>
        <v>4.7249999999999996</v>
      </c>
      <c r="L264">
        <f t="shared" si="112"/>
        <v>4.7699999999999996</v>
      </c>
      <c r="T264" s="10" t="s">
        <v>184</v>
      </c>
    </row>
    <row r="265" spans="1:29" x14ac:dyDescent="0.3">
      <c r="A265">
        <v>2</v>
      </c>
      <c r="B265">
        <v>1</v>
      </c>
      <c r="C265">
        <v>1</v>
      </c>
      <c r="D265">
        <v>2</v>
      </c>
      <c r="E265">
        <v>6.6</v>
      </c>
      <c r="G265">
        <f t="shared" si="129"/>
        <v>6.6659999999999995</v>
      </c>
      <c r="H265">
        <f t="shared" si="130"/>
        <v>6.7319999999999993</v>
      </c>
      <c r="I265">
        <f t="shared" si="131"/>
        <v>6.798</v>
      </c>
      <c r="J265">
        <f t="shared" si="133"/>
        <v>6.8639999999999999</v>
      </c>
      <c r="K265">
        <f t="shared" si="132"/>
        <v>6.93</v>
      </c>
      <c r="L265">
        <f t="shared" si="112"/>
        <v>6.9959999999999996</v>
      </c>
      <c r="T265" s="11" t="s">
        <v>185</v>
      </c>
    </row>
    <row r="266" spans="1:29" x14ac:dyDescent="0.3">
      <c r="A266">
        <v>2</v>
      </c>
      <c r="B266">
        <v>1</v>
      </c>
      <c r="C266">
        <v>1</v>
      </c>
      <c r="D266">
        <v>3</v>
      </c>
      <c r="E266">
        <v>7.4</v>
      </c>
      <c r="G266">
        <f t="shared" si="129"/>
        <v>7.4740000000000002</v>
      </c>
      <c r="H266">
        <f t="shared" si="130"/>
        <v>7.548</v>
      </c>
      <c r="I266">
        <f t="shared" si="131"/>
        <v>7.6220000000000008</v>
      </c>
      <c r="J266">
        <f t="shared" si="133"/>
        <v>7.6960000000000006</v>
      </c>
      <c r="K266">
        <f t="shared" si="132"/>
        <v>7.7700000000000005</v>
      </c>
      <c r="L266">
        <f t="shared" si="112"/>
        <v>7.8440000000000003</v>
      </c>
      <c r="T266" s="11" t="s">
        <v>186</v>
      </c>
    </row>
    <row r="267" spans="1:29" x14ac:dyDescent="0.3">
      <c r="A267">
        <v>2</v>
      </c>
      <c r="B267">
        <v>1</v>
      </c>
      <c r="C267">
        <v>1</v>
      </c>
      <c r="D267">
        <v>4</v>
      </c>
      <c r="E267">
        <v>3.4</v>
      </c>
      <c r="G267">
        <f t="shared" si="129"/>
        <v>3.4339999999999997</v>
      </c>
      <c r="H267">
        <f t="shared" si="130"/>
        <v>3.468</v>
      </c>
      <c r="I267">
        <f t="shared" si="131"/>
        <v>3.5019999999999998</v>
      </c>
      <c r="J267">
        <f t="shared" si="133"/>
        <v>3.536</v>
      </c>
      <c r="K267">
        <f t="shared" si="132"/>
        <v>3.57</v>
      </c>
      <c r="L267">
        <f t="shared" si="112"/>
        <v>3.6040000000000001</v>
      </c>
      <c r="T267" s="11" t="s">
        <v>187</v>
      </c>
    </row>
    <row r="268" spans="1:29" x14ac:dyDescent="0.3">
      <c r="A268">
        <v>2</v>
      </c>
      <c r="B268">
        <v>1</v>
      </c>
      <c r="C268">
        <v>1</v>
      </c>
      <c r="D268">
        <v>5</v>
      </c>
      <c r="E268">
        <v>6.1</v>
      </c>
      <c r="G268">
        <f t="shared" si="129"/>
        <v>6.1609999999999996</v>
      </c>
      <c r="H268">
        <f t="shared" si="130"/>
        <v>6.2219999999999995</v>
      </c>
      <c r="I268">
        <f t="shared" si="131"/>
        <v>6.2829999999999995</v>
      </c>
      <c r="J268">
        <f t="shared" si="133"/>
        <v>6.3439999999999994</v>
      </c>
      <c r="K268">
        <f t="shared" si="132"/>
        <v>6.4049999999999994</v>
      </c>
      <c r="L268">
        <f t="shared" si="112"/>
        <v>6.4659999999999993</v>
      </c>
    </row>
    <row r="269" spans="1:29" x14ac:dyDescent="0.3">
      <c r="A269">
        <v>2</v>
      </c>
      <c r="B269">
        <v>1</v>
      </c>
      <c r="C269">
        <v>1</v>
      </c>
      <c r="D269">
        <v>6</v>
      </c>
      <c r="E269">
        <v>6.5</v>
      </c>
      <c r="G269">
        <f t="shared" si="129"/>
        <v>6.5650000000000004</v>
      </c>
      <c r="H269">
        <f t="shared" si="130"/>
        <v>6.63</v>
      </c>
      <c r="I269">
        <f t="shared" si="131"/>
        <v>6.6950000000000003</v>
      </c>
      <c r="J269">
        <f t="shared" si="133"/>
        <v>6.76</v>
      </c>
      <c r="K269">
        <f t="shared" si="132"/>
        <v>6.8250000000000002</v>
      </c>
      <c r="L269">
        <f t="shared" si="112"/>
        <v>6.89</v>
      </c>
      <c r="T269" s="11" t="s">
        <v>2</v>
      </c>
      <c r="U269" t="s">
        <v>10</v>
      </c>
      <c r="V269" t="s">
        <v>182</v>
      </c>
      <c r="X269" s="20">
        <v>0.01</v>
      </c>
      <c r="Y269" s="20">
        <v>0.02</v>
      </c>
      <c r="Z269" s="20">
        <v>0.03</v>
      </c>
      <c r="AA269" s="20">
        <v>0.04</v>
      </c>
      <c r="AB269" s="20">
        <v>0.05</v>
      </c>
      <c r="AC269" s="20">
        <v>0.06</v>
      </c>
    </row>
    <row r="270" spans="1:29" x14ac:dyDescent="0.3">
      <c r="A270">
        <v>2</v>
      </c>
      <c r="B270">
        <v>1</v>
      </c>
      <c r="C270">
        <v>2</v>
      </c>
      <c r="D270">
        <v>1</v>
      </c>
      <c r="E270">
        <v>5.5</v>
      </c>
      <c r="G270">
        <f t="shared" si="129"/>
        <v>5.5549999999999997</v>
      </c>
      <c r="H270">
        <f t="shared" si="130"/>
        <v>5.61</v>
      </c>
      <c r="I270">
        <f t="shared" si="131"/>
        <v>5.665</v>
      </c>
      <c r="J270">
        <f t="shared" si="133"/>
        <v>5.72</v>
      </c>
      <c r="K270">
        <f t="shared" si="132"/>
        <v>5.7750000000000004</v>
      </c>
      <c r="L270">
        <f t="shared" si="112"/>
        <v>5.83</v>
      </c>
      <c r="T270">
        <v>1</v>
      </c>
      <c r="U270">
        <v>1</v>
      </c>
      <c r="V270">
        <v>1.8</v>
      </c>
      <c r="X270">
        <f>V270+(V270*1%)</f>
        <v>1.8180000000000001</v>
      </c>
      <c r="Y270">
        <f>V270+(V270*2%)</f>
        <v>1.8360000000000001</v>
      </c>
      <c r="Z270">
        <f>V270+(V270*3%)</f>
        <v>1.8540000000000001</v>
      </c>
      <c r="AA270">
        <f>V270+(V270*4%)</f>
        <v>1.8720000000000001</v>
      </c>
      <c r="AB270">
        <f>V270+(V270*5%)</f>
        <v>1.8900000000000001</v>
      </c>
      <c r="AC270">
        <f>V270+(V270*6%)</f>
        <v>1.9080000000000001</v>
      </c>
    </row>
    <row r="271" spans="1:29" x14ac:dyDescent="0.3">
      <c r="A271">
        <v>2</v>
      </c>
      <c r="B271">
        <v>1</v>
      </c>
      <c r="C271">
        <v>2</v>
      </c>
      <c r="D271">
        <v>2</v>
      </c>
      <c r="E271">
        <v>6.6</v>
      </c>
      <c r="G271">
        <f t="shared" si="129"/>
        <v>6.6659999999999995</v>
      </c>
      <c r="H271">
        <f t="shared" si="130"/>
        <v>6.7319999999999993</v>
      </c>
      <c r="I271">
        <f t="shared" si="131"/>
        <v>6.798</v>
      </c>
      <c r="J271">
        <f t="shared" si="133"/>
        <v>6.8639999999999999</v>
      </c>
      <c r="K271">
        <f t="shared" si="132"/>
        <v>6.93</v>
      </c>
      <c r="L271">
        <f t="shared" si="112"/>
        <v>6.9959999999999996</v>
      </c>
      <c r="T271">
        <v>1</v>
      </c>
      <c r="U271">
        <v>2</v>
      </c>
      <c r="V271">
        <v>1.3</v>
      </c>
      <c r="X271">
        <f t="shared" ref="X271" si="139">V271+(V271*1%)</f>
        <v>1.3129999999999999</v>
      </c>
      <c r="Y271">
        <f t="shared" ref="Y271" si="140">V271+(V271*2%)</f>
        <v>1.3260000000000001</v>
      </c>
      <c r="Z271">
        <f t="shared" ref="Z271" si="141">V271+(V271*3%)</f>
        <v>1.339</v>
      </c>
      <c r="AA271">
        <f t="shared" ref="AA271" si="142">V271+(V271*4%)</f>
        <v>1.3520000000000001</v>
      </c>
      <c r="AB271">
        <f t="shared" ref="AB271" si="143">V271+(V271*5%)</f>
        <v>1.365</v>
      </c>
      <c r="AC271">
        <f t="shared" ref="AC271:AC293" si="144">V271+(V271*6%)</f>
        <v>1.3780000000000001</v>
      </c>
    </row>
    <row r="272" spans="1:29" x14ac:dyDescent="0.3">
      <c r="A272">
        <v>2</v>
      </c>
      <c r="B272">
        <v>1</v>
      </c>
      <c r="C272">
        <v>2</v>
      </c>
      <c r="D272">
        <v>3</v>
      </c>
      <c r="E272">
        <v>4.7</v>
      </c>
      <c r="G272">
        <f t="shared" si="129"/>
        <v>4.7469999999999999</v>
      </c>
      <c r="H272">
        <f t="shared" si="130"/>
        <v>4.7940000000000005</v>
      </c>
      <c r="I272">
        <f t="shared" si="131"/>
        <v>4.8410000000000002</v>
      </c>
      <c r="J272">
        <f t="shared" si="133"/>
        <v>4.8879999999999999</v>
      </c>
      <c r="K272">
        <f t="shared" si="132"/>
        <v>4.9350000000000005</v>
      </c>
      <c r="L272">
        <f t="shared" si="112"/>
        <v>4.9820000000000002</v>
      </c>
      <c r="T272">
        <v>1</v>
      </c>
      <c r="U272">
        <v>3</v>
      </c>
      <c r="V272">
        <v>1.4</v>
      </c>
      <c r="X272">
        <f>V272+(V272*1%)</f>
        <v>1.4139999999999999</v>
      </c>
      <c r="Y272">
        <f>V272+(V272*2%)</f>
        <v>1.4279999999999999</v>
      </c>
      <c r="Z272">
        <f>V272+(V272*3%)</f>
        <v>1.4419999999999999</v>
      </c>
      <c r="AA272">
        <f>V272+(V272*4%)</f>
        <v>1.456</v>
      </c>
      <c r="AB272">
        <f>V272+(V272*5%)</f>
        <v>1.47</v>
      </c>
      <c r="AC272">
        <f t="shared" si="144"/>
        <v>1.484</v>
      </c>
    </row>
    <row r="273" spans="1:29" x14ac:dyDescent="0.3">
      <c r="A273">
        <v>2</v>
      </c>
      <c r="B273">
        <v>1</v>
      </c>
      <c r="C273">
        <v>2</v>
      </c>
      <c r="D273">
        <v>4</v>
      </c>
      <c r="E273">
        <v>5.2</v>
      </c>
      <c r="G273">
        <f t="shared" si="129"/>
        <v>5.2519999999999998</v>
      </c>
      <c r="H273">
        <f t="shared" si="130"/>
        <v>5.3040000000000003</v>
      </c>
      <c r="I273">
        <f t="shared" si="131"/>
        <v>5.3559999999999999</v>
      </c>
      <c r="J273">
        <f t="shared" si="133"/>
        <v>5.4080000000000004</v>
      </c>
      <c r="K273">
        <f t="shared" si="132"/>
        <v>5.46</v>
      </c>
      <c r="L273">
        <f t="shared" si="112"/>
        <v>5.5120000000000005</v>
      </c>
      <c r="T273">
        <v>1</v>
      </c>
      <c r="U273">
        <v>4</v>
      </c>
      <c r="V273">
        <v>1.7</v>
      </c>
      <c r="X273">
        <f t="shared" ref="X273:X287" si="145">V273+(V273*1%)</f>
        <v>1.7169999999999999</v>
      </c>
      <c r="Y273">
        <f t="shared" ref="Y273:Y287" si="146">V273+(V273*2%)</f>
        <v>1.734</v>
      </c>
      <c r="Z273">
        <f t="shared" ref="Z273:Z287" si="147">V273+(V273*3%)</f>
        <v>1.7509999999999999</v>
      </c>
      <c r="AA273">
        <f t="shared" ref="AA273:AA287" si="148">V273+(V273*4%)</f>
        <v>1.768</v>
      </c>
      <c r="AB273">
        <f t="shared" ref="AB273:AB287" si="149">V273+(V273*5%)</f>
        <v>1.7849999999999999</v>
      </c>
      <c r="AC273">
        <f t="shared" si="144"/>
        <v>1.802</v>
      </c>
    </row>
    <row r="274" spans="1:29" x14ac:dyDescent="0.3">
      <c r="A274">
        <v>2</v>
      </c>
      <c r="B274">
        <v>1</v>
      </c>
      <c r="C274">
        <v>2</v>
      </c>
      <c r="D274">
        <v>5</v>
      </c>
      <c r="E274">
        <v>6.3</v>
      </c>
      <c r="G274">
        <f t="shared" si="129"/>
        <v>6.3629999999999995</v>
      </c>
      <c r="H274">
        <f t="shared" si="130"/>
        <v>6.4260000000000002</v>
      </c>
      <c r="I274">
        <f t="shared" si="131"/>
        <v>6.4889999999999999</v>
      </c>
      <c r="J274">
        <f t="shared" si="133"/>
        <v>6.5519999999999996</v>
      </c>
      <c r="K274">
        <f t="shared" si="132"/>
        <v>6.6150000000000002</v>
      </c>
      <c r="L274">
        <f t="shared" si="112"/>
        <v>6.6779999999999999</v>
      </c>
      <c r="T274">
        <v>1</v>
      </c>
      <c r="U274">
        <v>5</v>
      </c>
      <c r="V274">
        <v>1</v>
      </c>
      <c r="X274">
        <f t="shared" si="145"/>
        <v>1.01</v>
      </c>
      <c r="Y274">
        <f t="shared" si="146"/>
        <v>1.02</v>
      </c>
      <c r="Z274">
        <f t="shared" si="147"/>
        <v>1.03</v>
      </c>
      <c r="AA274">
        <f t="shared" si="148"/>
        <v>1.04</v>
      </c>
      <c r="AB274">
        <f t="shared" si="149"/>
        <v>1.05</v>
      </c>
      <c r="AC274">
        <f t="shared" si="144"/>
        <v>1.06</v>
      </c>
    </row>
    <row r="275" spans="1:29" x14ac:dyDescent="0.3">
      <c r="A275">
        <v>2</v>
      </c>
      <c r="B275">
        <v>1</v>
      </c>
      <c r="C275">
        <v>2</v>
      </c>
      <c r="D275">
        <v>6</v>
      </c>
      <c r="E275">
        <v>5.8</v>
      </c>
      <c r="G275">
        <f t="shared" si="129"/>
        <v>5.8579999999999997</v>
      </c>
      <c r="H275">
        <f t="shared" si="130"/>
        <v>5.9159999999999995</v>
      </c>
      <c r="I275">
        <f t="shared" si="131"/>
        <v>5.9740000000000002</v>
      </c>
      <c r="J275">
        <f t="shared" si="133"/>
        <v>6.032</v>
      </c>
      <c r="K275">
        <f t="shared" si="132"/>
        <v>6.09</v>
      </c>
      <c r="L275">
        <f t="shared" ref="L275:L338" si="150">E275+(E275*6%)</f>
        <v>6.1479999999999997</v>
      </c>
      <c r="T275">
        <v>1</v>
      </c>
      <c r="U275">
        <v>6</v>
      </c>
      <c r="V275">
        <v>1.2</v>
      </c>
      <c r="X275">
        <f t="shared" si="145"/>
        <v>1.212</v>
      </c>
      <c r="Y275">
        <f t="shared" si="146"/>
        <v>1.224</v>
      </c>
      <c r="Z275">
        <f t="shared" si="147"/>
        <v>1.236</v>
      </c>
      <c r="AA275">
        <f t="shared" si="148"/>
        <v>1.248</v>
      </c>
      <c r="AB275">
        <f t="shared" si="149"/>
        <v>1.26</v>
      </c>
      <c r="AC275">
        <f t="shared" si="144"/>
        <v>1.272</v>
      </c>
    </row>
    <row r="276" spans="1:29" x14ac:dyDescent="0.3">
      <c r="A276">
        <v>2</v>
      </c>
      <c r="B276">
        <v>1</v>
      </c>
      <c r="C276">
        <v>3</v>
      </c>
      <c r="D276">
        <v>1</v>
      </c>
      <c r="E276">
        <v>5.8</v>
      </c>
      <c r="G276">
        <f t="shared" si="129"/>
        <v>5.8579999999999997</v>
      </c>
      <c r="H276">
        <f t="shared" si="130"/>
        <v>5.9159999999999995</v>
      </c>
      <c r="I276">
        <f t="shared" si="131"/>
        <v>5.9740000000000002</v>
      </c>
      <c r="J276">
        <f t="shared" si="133"/>
        <v>6.032</v>
      </c>
      <c r="K276">
        <f t="shared" si="132"/>
        <v>6.09</v>
      </c>
      <c r="L276">
        <f t="shared" si="150"/>
        <v>6.1479999999999997</v>
      </c>
      <c r="T276">
        <v>2</v>
      </c>
      <c r="U276">
        <v>1</v>
      </c>
      <c r="V276">
        <v>1.3</v>
      </c>
      <c r="X276">
        <f t="shared" si="145"/>
        <v>1.3129999999999999</v>
      </c>
      <c r="Y276">
        <f t="shared" si="146"/>
        <v>1.3260000000000001</v>
      </c>
      <c r="Z276">
        <f t="shared" si="147"/>
        <v>1.339</v>
      </c>
      <c r="AA276">
        <f t="shared" si="148"/>
        <v>1.3520000000000001</v>
      </c>
      <c r="AB276">
        <f t="shared" si="149"/>
        <v>1.365</v>
      </c>
      <c r="AC276">
        <f t="shared" si="144"/>
        <v>1.3780000000000001</v>
      </c>
    </row>
    <row r="277" spans="1:29" x14ac:dyDescent="0.3">
      <c r="A277">
        <v>2</v>
      </c>
      <c r="B277">
        <v>1</v>
      </c>
      <c r="C277">
        <v>3</v>
      </c>
      <c r="D277">
        <v>2</v>
      </c>
      <c r="E277">
        <v>7.9</v>
      </c>
      <c r="G277">
        <f t="shared" si="129"/>
        <v>7.9790000000000001</v>
      </c>
      <c r="H277">
        <f t="shared" si="130"/>
        <v>8.0579999999999998</v>
      </c>
      <c r="I277">
        <f t="shared" si="131"/>
        <v>8.1370000000000005</v>
      </c>
      <c r="J277">
        <f t="shared" si="133"/>
        <v>8.2160000000000011</v>
      </c>
      <c r="K277">
        <f t="shared" si="132"/>
        <v>8.2949999999999999</v>
      </c>
      <c r="L277">
        <f t="shared" si="150"/>
        <v>8.3740000000000006</v>
      </c>
      <c r="T277">
        <v>2</v>
      </c>
      <c r="U277">
        <v>2</v>
      </c>
      <c r="V277">
        <v>1.7</v>
      </c>
      <c r="X277">
        <f t="shared" si="145"/>
        <v>1.7169999999999999</v>
      </c>
      <c r="Y277">
        <f t="shared" si="146"/>
        <v>1.734</v>
      </c>
      <c r="Z277">
        <f t="shared" si="147"/>
        <v>1.7509999999999999</v>
      </c>
      <c r="AA277">
        <f t="shared" si="148"/>
        <v>1.768</v>
      </c>
      <c r="AB277">
        <f t="shared" si="149"/>
        <v>1.7849999999999999</v>
      </c>
      <c r="AC277">
        <f t="shared" si="144"/>
        <v>1.802</v>
      </c>
    </row>
    <row r="278" spans="1:29" x14ac:dyDescent="0.3">
      <c r="A278">
        <v>2</v>
      </c>
      <c r="B278">
        <v>1</v>
      </c>
      <c r="C278">
        <v>3</v>
      </c>
      <c r="D278">
        <v>3</v>
      </c>
      <c r="E278">
        <v>5.9</v>
      </c>
      <c r="G278">
        <f t="shared" si="129"/>
        <v>5.9590000000000005</v>
      </c>
      <c r="H278">
        <f t="shared" si="130"/>
        <v>6.0180000000000007</v>
      </c>
      <c r="I278">
        <f t="shared" si="131"/>
        <v>6.077</v>
      </c>
      <c r="J278">
        <f t="shared" si="133"/>
        <v>6.1360000000000001</v>
      </c>
      <c r="K278">
        <f t="shared" si="132"/>
        <v>6.1950000000000003</v>
      </c>
      <c r="L278">
        <f t="shared" si="150"/>
        <v>6.2540000000000004</v>
      </c>
      <c r="T278">
        <v>2</v>
      </c>
      <c r="U278">
        <v>3</v>
      </c>
      <c r="V278">
        <v>1.3</v>
      </c>
      <c r="X278">
        <f t="shared" si="145"/>
        <v>1.3129999999999999</v>
      </c>
      <c r="Y278">
        <f t="shared" si="146"/>
        <v>1.3260000000000001</v>
      </c>
      <c r="Z278">
        <f t="shared" si="147"/>
        <v>1.339</v>
      </c>
      <c r="AA278">
        <f t="shared" si="148"/>
        <v>1.3520000000000001</v>
      </c>
      <c r="AB278">
        <f t="shared" si="149"/>
        <v>1.365</v>
      </c>
      <c r="AC278">
        <f t="shared" si="144"/>
        <v>1.3780000000000001</v>
      </c>
    </row>
    <row r="279" spans="1:29" x14ac:dyDescent="0.3">
      <c r="A279">
        <v>2</v>
      </c>
      <c r="B279">
        <v>1</v>
      </c>
      <c r="C279">
        <v>3</v>
      </c>
      <c r="D279">
        <v>4</v>
      </c>
      <c r="E279">
        <v>4.3</v>
      </c>
      <c r="G279">
        <f t="shared" si="129"/>
        <v>4.343</v>
      </c>
      <c r="H279">
        <f t="shared" si="130"/>
        <v>4.3860000000000001</v>
      </c>
      <c r="I279">
        <f t="shared" si="131"/>
        <v>4.4290000000000003</v>
      </c>
      <c r="J279">
        <f t="shared" si="133"/>
        <v>4.4719999999999995</v>
      </c>
      <c r="K279">
        <f t="shared" si="132"/>
        <v>4.5149999999999997</v>
      </c>
      <c r="L279">
        <f t="shared" si="150"/>
        <v>4.5579999999999998</v>
      </c>
      <c r="T279">
        <v>2</v>
      </c>
      <c r="U279">
        <v>4</v>
      </c>
      <c r="V279">
        <v>1.4</v>
      </c>
      <c r="X279">
        <f t="shared" si="145"/>
        <v>1.4139999999999999</v>
      </c>
      <c r="Y279">
        <f t="shared" si="146"/>
        <v>1.4279999999999999</v>
      </c>
      <c r="Z279">
        <f t="shared" si="147"/>
        <v>1.4419999999999999</v>
      </c>
      <c r="AA279">
        <f t="shared" si="148"/>
        <v>1.456</v>
      </c>
      <c r="AB279">
        <f t="shared" si="149"/>
        <v>1.47</v>
      </c>
      <c r="AC279">
        <f t="shared" si="144"/>
        <v>1.484</v>
      </c>
    </row>
    <row r="280" spans="1:29" x14ac:dyDescent="0.3">
      <c r="A280">
        <v>2</v>
      </c>
      <c r="B280">
        <v>1</v>
      </c>
      <c r="C280">
        <v>3</v>
      </c>
      <c r="D280">
        <v>5</v>
      </c>
      <c r="E280">
        <v>5.5</v>
      </c>
      <c r="G280">
        <f t="shared" si="129"/>
        <v>5.5549999999999997</v>
      </c>
      <c r="H280">
        <f t="shared" si="130"/>
        <v>5.61</v>
      </c>
      <c r="I280">
        <f t="shared" si="131"/>
        <v>5.665</v>
      </c>
      <c r="J280">
        <f t="shared" si="133"/>
        <v>5.72</v>
      </c>
      <c r="K280">
        <f t="shared" si="132"/>
        <v>5.7750000000000004</v>
      </c>
      <c r="L280">
        <f t="shared" si="150"/>
        <v>5.83</v>
      </c>
      <c r="T280">
        <v>2</v>
      </c>
      <c r="U280">
        <v>5</v>
      </c>
      <c r="V280">
        <v>1.1000000000000001</v>
      </c>
      <c r="X280">
        <f t="shared" si="145"/>
        <v>1.111</v>
      </c>
      <c r="Y280">
        <f t="shared" si="146"/>
        <v>1.1220000000000001</v>
      </c>
      <c r="Z280">
        <f t="shared" si="147"/>
        <v>1.133</v>
      </c>
      <c r="AA280">
        <f t="shared" si="148"/>
        <v>1.1440000000000001</v>
      </c>
      <c r="AB280">
        <f t="shared" si="149"/>
        <v>1.155</v>
      </c>
      <c r="AC280">
        <f t="shared" si="144"/>
        <v>1.1660000000000001</v>
      </c>
    </row>
    <row r="281" spans="1:29" x14ac:dyDescent="0.3">
      <c r="A281">
        <v>2</v>
      </c>
      <c r="B281">
        <v>1</v>
      </c>
      <c r="C281">
        <v>3</v>
      </c>
      <c r="D281">
        <v>6</v>
      </c>
      <c r="E281">
        <v>9.1</v>
      </c>
      <c r="G281">
        <f t="shared" si="129"/>
        <v>9.1909999999999989</v>
      </c>
      <c r="H281">
        <f t="shared" si="130"/>
        <v>9.282</v>
      </c>
      <c r="I281">
        <f t="shared" si="131"/>
        <v>9.3729999999999993</v>
      </c>
      <c r="J281">
        <f t="shared" si="133"/>
        <v>9.4640000000000004</v>
      </c>
      <c r="K281">
        <f t="shared" si="132"/>
        <v>9.5549999999999997</v>
      </c>
      <c r="L281">
        <f t="shared" si="150"/>
        <v>9.645999999999999</v>
      </c>
      <c r="T281">
        <v>2</v>
      </c>
      <c r="U281">
        <v>6</v>
      </c>
      <c r="V281">
        <v>1.8</v>
      </c>
      <c r="X281">
        <f t="shared" si="145"/>
        <v>1.8180000000000001</v>
      </c>
      <c r="Y281">
        <f t="shared" si="146"/>
        <v>1.8360000000000001</v>
      </c>
      <c r="Z281">
        <f t="shared" si="147"/>
        <v>1.8540000000000001</v>
      </c>
      <c r="AA281">
        <f t="shared" si="148"/>
        <v>1.8720000000000001</v>
      </c>
      <c r="AB281">
        <f t="shared" si="149"/>
        <v>1.8900000000000001</v>
      </c>
      <c r="AC281">
        <f t="shared" si="144"/>
        <v>1.9080000000000001</v>
      </c>
    </row>
    <row r="282" spans="1:29" x14ac:dyDescent="0.3">
      <c r="A282">
        <v>2</v>
      </c>
      <c r="B282">
        <v>2</v>
      </c>
      <c r="C282">
        <v>1</v>
      </c>
      <c r="D282">
        <v>1</v>
      </c>
      <c r="E282">
        <v>4.4000000000000004</v>
      </c>
      <c r="G282">
        <f t="shared" si="129"/>
        <v>4.444</v>
      </c>
      <c r="H282">
        <f t="shared" si="130"/>
        <v>4.4880000000000004</v>
      </c>
      <c r="I282">
        <f t="shared" si="131"/>
        <v>4.532</v>
      </c>
      <c r="J282">
        <f t="shared" si="133"/>
        <v>4.5760000000000005</v>
      </c>
      <c r="K282">
        <f t="shared" si="132"/>
        <v>4.62</v>
      </c>
      <c r="L282">
        <f t="shared" si="150"/>
        <v>4.6640000000000006</v>
      </c>
      <c r="T282">
        <v>3</v>
      </c>
      <c r="U282">
        <v>1</v>
      </c>
      <c r="V282">
        <v>1.6</v>
      </c>
      <c r="X282">
        <f t="shared" si="145"/>
        <v>1.6160000000000001</v>
      </c>
      <c r="Y282">
        <f t="shared" si="146"/>
        <v>1.6320000000000001</v>
      </c>
      <c r="Z282">
        <f t="shared" si="147"/>
        <v>1.6480000000000001</v>
      </c>
      <c r="AA282">
        <f t="shared" si="148"/>
        <v>1.6640000000000001</v>
      </c>
      <c r="AB282">
        <f t="shared" si="149"/>
        <v>1.6800000000000002</v>
      </c>
      <c r="AC282">
        <f t="shared" si="144"/>
        <v>1.6960000000000002</v>
      </c>
    </row>
    <row r="283" spans="1:29" x14ac:dyDescent="0.3">
      <c r="A283">
        <v>2</v>
      </c>
      <c r="B283">
        <v>2</v>
      </c>
      <c r="C283">
        <v>1</v>
      </c>
      <c r="D283">
        <v>2</v>
      </c>
      <c r="E283">
        <v>6.5</v>
      </c>
      <c r="G283">
        <f t="shared" si="129"/>
        <v>6.5650000000000004</v>
      </c>
      <c r="H283">
        <f t="shared" si="130"/>
        <v>6.63</v>
      </c>
      <c r="I283">
        <f t="shared" si="131"/>
        <v>6.6950000000000003</v>
      </c>
      <c r="J283">
        <f t="shared" si="133"/>
        <v>6.76</v>
      </c>
      <c r="K283">
        <f t="shared" si="132"/>
        <v>6.8250000000000002</v>
      </c>
      <c r="L283">
        <f t="shared" si="150"/>
        <v>6.89</v>
      </c>
      <c r="T283">
        <v>3</v>
      </c>
      <c r="U283">
        <v>2</v>
      </c>
      <c r="V283">
        <v>1.2</v>
      </c>
      <c r="X283">
        <f t="shared" si="145"/>
        <v>1.212</v>
      </c>
      <c r="Y283">
        <f t="shared" si="146"/>
        <v>1.224</v>
      </c>
      <c r="Z283">
        <f t="shared" si="147"/>
        <v>1.236</v>
      </c>
      <c r="AA283">
        <f t="shared" si="148"/>
        <v>1.248</v>
      </c>
      <c r="AB283">
        <f t="shared" si="149"/>
        <v>1.26</v>
      </c>
      <c r="AC283">
        <f t="shared" si="144"/>
        <v>1.272</v>
      </c>
    </row>
    <row r="284" spans="1:29" x14ac:dyDescent="0.3">
      <c r="A284">
        <v>2</v>
      </c>
      <c r="B284">
        <v>2</v>
      </c>
      <c r="C284">
        <v>1</v>
      </c>
      <c r="D284">
        <v>3</v>
      </c>
      <c r="E284">
        <v>3.5</v>
      </c>
      <c r="G284">
        <f t="shared" si="129"/>
        <v>3.5350000000000001</v>
      </c>
      <c r="H284">
        <f t="shared" si="130"/>
        <v>3.57</v>
      </c>
      <c r="I284">
        <f t="shared" si="131"/>
        <v>3.605</v>
      </c>
      <c r="J284">
        <f t="shared" si="133"/>
        <v>3.64</v>
      </c>
      <c r="K284">
        <f t="shared" si="132"/>
        <v>3.6749999999999998</v>
      </c>
      <c r="L284">
        <f t="shared" si="150"/>
        <v>3.71</v>
      </c>
      <c r="T284">
        <v>3</v>
      </c>
      <c r="U284">
        <v>3</v>
      </c>
      <c r="V284">
        <v>1.1000000000000001</v>
      </c>
      <c r="X284">
        <f t="shared" si="145"/>
        <v>1.111</v>
      </c>
      <c r="Y284">
        <f t="shared" si="146"/>
        <v>1.1220000000000001</v>
      </c>
      <c r="Z284">
        <f t="shared" si="147"/>
        <v>1.133</v>
      </c>
      <c r="AA284">
        <f t="shared" si="148"/>
        <v>1.1440000000000001</v>
      </c>
      <c r="AB284">
        <f t="shared" si="149"/>
        <v>1.155</v>
      </c>
      <c r="AC284">
        <f t="shared" si="144"/>
        <v>1.1660000000000001</v>
      </c>
    </row>
    <row r="285" spans="1:29" x14ac:dyDescent="0.3">
      <c r="A285">
        <v>2</v>
      </c>
      <c r="B285">
        <v>2</v>
      </c>
      <c r="C285">
        <v>1</v>
      </c>
      <c r="D285">
        <v>4</v>
      </c>
      <c r="E285">
        <v>6.2</v>
      </c>
      <c r="G285">
        <f t="shared" si="129"/>
        <v>6.2620000000000005</v>
      </c>
      <c r="H285">
        <f t="shared" si="130"/>
        <v>6.3239999999999998</v>
      </c>
      <c r="I285">
        <f t="shared" si="131"/>
        <v>6.3860000000000001</v>
      </c>
      <c r="J285">
        <f t="shared" si="133"/>
        <v>6.4480000000000004</v>
      </c>
      <c r="K285">
        <f t="shared" si="132"/>
        <v>6.51</v>
      </c>
      <c r="L285">
        <f t="shared" si="150"/>
        <v>6.5720000000000001</v>
      </c>
      <c r="T285">
        <v>3</v>
      </c>
      <c r="U285">
        <v>4</v>
      </c>
      <c r="V285">
        <v>1.5</v>
      </c>
      <c r="X285">
        <f t="shared" si="145"/>
        <v>1.5149999999999999</v>
      </c>
      <c r="Y285">
        <f t="shared" si="146"/>
        <v>1.53</v>
      </c>
      <c r="Z285">
        <f t="shared" si="147"/>
        <v>1.5449999999999999</v>
      </c>
      <c r="AA285">
        <f t="shared" si="148"/>
        <v>1.56</v>
      </c>
      <c r="AB285">
        <f t="shared" si="149"/>
        <v>1.575</v>
      </c>
      <c r="AC285">
        <f t="shared" si="144"/>
        <v>1.59</v>
      </c>
    </row>
    <row r="286" spans="1:29" x14ac:dyDescent="0.3">
      <c r="A286">
        <v>2</v>
      </c>
      <c r="B286">
        <v>2</v>
      </c>
      <c r="C286">
        <v>1</v>
      </c>
      <c r="D286">
        <v>5</v>
      </c>
      <c r="E286">
        <v>9.3000000000000007</v>
      </c>
      <c r="G286">
        <f t="shared" si="129"/>
        <v>9.3930000000000007</v>
      </c>
      <c r="H286">
        <f t="shared" si="130"/>
        <v>9.4860000000000007</v>
      </c>
      <c r="I286">
        <f t="shared" si="131"/>
        <v>9.5790000000000006</v>
      </c>
      <c r="J286">
        <f t="shared" si="133"/>
        <v>9.6720000000000006</v>
      </c>
      <c r="K286">
        <f t="shared" si="132"/>
        <v>9.7650000000000006</v>
      </c>
      <c r="L286">
        <f t="shared" si="150"/>
        <v>9.8580000000000005</v>
      </c>
      <c r="T286">
        <v>3</v>
      </c>
      <c r="U286">
        <v>5</v>
      </c>
      <c r="V286">
        <v>1.7</v>
      </c>
      <c r="X286">
        <f t="shared" si="145"/>
        <v>1.7169999999999999</v>
      </c>
      <c r="Y286">
        <f t="shared" si="146"/>
        <v>1.734</v>
      </c>
      <c r="Z286">
        <f t="shared" si="147"/>
        <v>1.7509999999999999</v>
      </c>
      <c r="AA286">
        <f t="shared" si="148"/>
        <v>1.768</v>
      </c>
      <c r="AB286">
        <f t="shared" si="149"/>
        <v>1.7849999999999999</v>
      </c>
      <c r="AC286">
        <f t="shared" si="144"/>
        <v>1.802</v>
      </c>
    </row>
    <row r="287" spans="1:29" x14ac:dyDescent="0.3">
      <c r="A287">
        <v>2</v>
      </c>
      <c r="B287">
        <v>2</v>
      </c>
      <c r="C287">
        <v>1</v>
      </c>
      <c r="D287">
        <v>6</v>
      </c>
      <c r="E287">
        <v>7.3</v>
      </c>
      <c r="G287">
        <f t="shared" si="129"/>
        <v>7.3730000000000002</v>
      </c>
      <c r="H287">
        <f t="shared" si="130"/>
        <v>7.4459999999999997</v>
      </c>
      <c r="I287">
        <f t="shared" si="131"/>
        <v>7.5190000000000001</v>
      </c>
      <c r="J287">
        <f t="shared" si="133"/>
        <v>7.5919999999999996</v>
      </c>
      <c r="K287">
        <f t="shared" si="132"/>
        <v>7.665</v>
      </c>
      <c r="L287">
        <f t="shared" si="150"/>
        <v>7.7379999999999995</v>
      </c>
      <c r="T287">
        <v>3</v>
      </c>
      <c r="U287">
        <v>6</v>
      </c>
      <c r="V287">
        <v>1.6</v>
      </c>
      <c r="X287">
        <f t="shared" si="145"/>
        <v>1.6160000000000001</v>
      </c>
      <c r="Y287">
        <f t="shared" si="146"/>
        <v>1.6320000000000001</v>
      </c>
      <c r="Z287">
        <f t="shared" si="147"/>
        <v>1.6480000000000001</v>
      </c>
      <c r="AA287">
        <f t="shared" si="148"/>
        <v>1.6640000000000001</v>
      </c>
      <c r="AB287">
        <f t="shared" si="149"/>
        <v>1.6800000000000002</v>
      </c>
      <c r="AC287">
        <f t="shared" si="144"/>
        <v>1.6960000000000002</v>
      </c>
    </row>
    <row r="288" spans="1:29" x14ac:dyDescent="0.3">
      <c r="A288">
        <v>2</v>
      </c>
      <c r="B288">
        <v>2</v>
      </c>
      <c r="C288">
        <v>2</v>
      </c>
      <c r="D288">
        <v>1</v>
      </c>
      <c r="E288">
        <v>6.3</v>
      </c>
      <c r="G288">
        <f t="shared" si="129"/>
        <v>6.3629999999999995</v>
      </c>
      <c r="H288">
        <f t="shared" si="130"/>
        <v>6.4260000000000002</v>
      </c>
      <c r="I288">
        <f>E288+(E288*3%)</f>
        <v>6.4889999999999999</v>
      </c>
      <c r="J288">
        <f t="shared" si="133"/>
        <v>6.5519999999999996</v>
      </c>
      <c r="K288">
        <f t="shared" si="132"/>
        <v>6.6150000000000002</v>
      </c>
      <c r="L288">
        <f t="shared" si="150"/>
        <v>6.6779999999999999</v>
      </c>
      <c r="T288">
        <v>4</v>
      </c>
      <c r="U288">
        <v>1</v>
      </c>
      <c r="V288">
        <v>1.3</v>
      </c>
      <c r="X288">
        <f t="shared" ref="X288:X293" si="151">V288+(V288*1%)</f>
        <v>1.3129999999999999</v>
      </c>
      <c r="Y288">
        <f t="shared" ref="Y288:Y293" si="152">V288+(V288*2%)</f>
        <v>1.3260000000000001</v>
      </c>
      <c r="Z288">
        <f t="shared" ref="Z288:Z293" si="153">V288+(V288*3%)</f>
        <v>1.339</v>
      </c>
      <c r="AA288">
        <f>V288+(V288*4%)</f>
        <v>1.3520000000000001</v>
      </c>
      <c r="AB288">
        <f>V288+(V288*5%)</f>
        <v>1.365</v>
      </c>
      <c r="AC288">
        <f t="shared" si="144"/>
        <v>1.3780000000000001</v>
      </c>
    </row>
    <row r="289" spans="1:29" x14ac:dyDescent="0.3">
      <c r="A289">
        <v>2</v>
      </c>
      <c r="B289">
        <v>2</v>
      </c>
      <c r="C289">
        <v>2</v>
      </c>
      <c r="D289">
        <v>2</v>
      </c>
      <c r="E289">
        <v>7.4</v>
      </c>
      <c r="G289">
        <f t="shared" si="129"/>
        <v>7.4740000000000002</v>
      </c>
      <c r="H289">
        <f t="shared" si="130"/>
        <v>7.548</v>
      </c>
      <c r="I289">
        <f t="shared" si="131"/>
        <v>7.6220000000000008</v>
      </c>
      <c r="J289">
        <f t="shared" si="133"/>
        <v>7.6960000000000006</v>
      </c>
      <c r="K289">
        <f t="shared" si="132"/>
        <v>7.7700000000000005</v>
      </c>
      <c r="L289">
        <f t="shared" si="150"/>
        <v>7.8440000000000003</v>
      </c>
      <c r="T289">
        <v>4</v>
      </c>
      <c r="U289">
        <v>2</v>
      </c>
      <c r="V289">
        <v>1.2</v>
      </c>
      <c r="X289">
        <f t="shared" si="151"/>
        <v>1.212</v>
      </c>
      <c r="Y289">
        <f t="shared" si="152"/>
        <v>1.224</v>
      </c>
      <c r="Z289">
        <f t="shared" si="153"/>
        <v>1.236</v>
      </c>
      <c r="AA289">
        <f t="shared" ref="AA289:AA293" si="154">V289+(V289*4%)</f>
        <v>1.248</v>
      </c>
      <c r="AB289">
        <f t="shared" ref="AB289:AB293" si="155">V289+(V289*5%)</f>
        <v>1.26</v>
      </c>
      <c r="AC289">
        <f t="shared" si="144"/>
        <v>1.272</v>
      </c>
    </row>
    <row r="290" spans="1:29" x14ac:dyDescent="0.3">
      <c r="A290">
        <v>2</v>
      </c>
      <c r="B290">
        <v>2</v>
      </c>
      <c r="C290">
        <v>2</v>
      </c>
      <c r="D290">
        <v>3</v>
      </c>
      <c r="E290">
        <v>8.5</v>
      </c>
      <c r="G290">
        <f t="shared" si="129"/>
        <v>8.5850000000000009</v>
      </c>
      <c r="H290">
        <f t="shared" si="130"/>
        <v>8.67</v>
      </c>
      <c r="I290">
        <f t="shared" si="131"/>
        <v>8.7550000000000008</v>
      </c>
      <c r="J290">
        <f t="shared" si="133"/>
        <v>8.84</v>
      </c>
      <c r="K290">
        <f t="shared" si="132"/>
        <v>8.9250000000000007</v>
      </c>
      <c r="L290">
        <f t="shared" si="150"/>
        <v>9.01</v>
      </c>
      <c r="T290">
        <v>4</v>
      </c>
      <c r="U290">
        <v>3</v>
      </c>
      <c r="V290">
        <v>1.5</v>
      </c>
      <c r="X290">
        <f t="shared" si="151"/>
        <v>1.5149999999999999</v>
      </c>
      <c r="Y290">
        <f t="shared" si="152"/>
        <v>1.53</v>
      </c>
      <c r="Z290">
        <f t="shared" si="153"/>
        <v>1.5449999999999999</v>
      </c>
      <c r="AA290">
        <f t="shared" si="154"/>
        <v>1.56</v>
      </c>
      <c r="AB290">
        <f t="shared" si="155"/>
        <v>1.575</v>
      </c>
      <c r="AC290">
        <f>V290+(V290*6%)</f>
        <v>1.59</v>
      </c>
    </row>
    <row r="291" spans="1:29" x14ac:dyDescent="0.3">
      <c r="A291">
        <v>2</v>
      </c>
      <c r="B291">
        <v>2</v>
      </c>
      <c r="C291">
        <v>2</v>
      </c>
      <c r="D291">
        <v>4</v>
      </c>
      <c r="E291">
        <v>5.7</v>
      </c>
      <c r="G291">
        <f t="shared" si="129"/>
        <v>5.7570000000000006</v>
      </c>
      <c r="H291">
        <f t="shared" si="130"/>
        <v>5.8140000000000001</v>
      </c>
      <c r="I291">
        <f t="shared" si="131"/>
        <v>5.8710000000000004</v>
      </c>
      <c r="J291">
        <f t="shared" si="133"/>
        <v>5.9279999999999999</v>
      </c>
      <c r="K291">
        <f t="shared" si="132"/>
        <v>5.9850000000000003</v>
      </c>
      <c r="L291">
        <f t="shared" si="150"/>
        <v>6.0419999999999998</v>
      </c>
      <c r="T291">
        <v>4</v>
      </c>
      <c r="U291">
        <v>4</v>
      </c>
      <c r="V291">
        <v>1.3</v>
      </c>
      <c r="X291">
        <f t="shared" si="151"/>
        <v>1.3129999999999999</v>
      </c>
      <c r="Y291">
        <f t="shared" si="152"/>
        <v>1.3260000000000001</v>
      </c>
      <c r="Z291">
        <f t="shared" si="153"/>
        <v>1.339</v>
      </c>
      <c r="AA291">
        <f t="shared" si="154"/>
        <v>1.3520000000000001</v>
      </c>
      <c r="AB291">
        <f t="shared" si="155"/>
        <v>1.365</v>
      </c>
      <c r="AC291">
        <f t="shared" si="144"/>
        <v>1.3780000000000001</v>
      </c>
    </row>
    <row r="292" spans="1:29" x14ac:dyDescent="0.3">
      <c r="A292">
        <v>2</v>
      </c>
      <c r="B292">
        <v>2</v>
      </c>
      <c r="C292">
        <v>2</v>
      </c>
      <c r="D292">
        <v>5</v>
      </c>
      <c r="E292">
        <v>8.1999999999999993</v>
      </c>
      <c r="G292">
        <f t="shared" si="129"/>
        <v>8.282</v>
      </c>
      <c r="H292">
        <f t="shared" si="130"/>
        <v>8.363999999999999</v>
      </c>
      <c r="I292">
        <f t="shared" si="131"/>
        <v>8.4459999999999997</v>
      </c>
      <c r="J292">
        <f t="shared" si="133"/>
        <v>8.5279999999999987</v>
      </c>
      <c r="K292">
        <f t="shared" si="132"/>
        <v>8.61</v>
      </c>
      <c r="L292">
        <f t="shared" si="150"/>
        <v>8.6919999999999984</v>
      </c>
      <c r="T292">
        <v>4</v>
      </c>
      <c r="U292">
        <v>5</v>
      </c>
      <c r="V292">
        <v>1.8</v>
      </c>
      <c r="X292">
        <f t="shared" si="151"/>
        <v>1.8180000000000001</v>
      </c>
      <c r="Y292">
        <f t="shared" si="152"/>
        <v>1.8360000000000001</v>
      </c>
      <c r="Z292">
        <f t="shared" si="153"/>
        <v>1.8540000000000001</v>
      </c>
      <c r="AA292">
        <f t="shared" si="154"/>
        <v>1.8720000000000001</v>
      </c>
      <c r="AB292">
        <f t="shared" si="155"/>
        <v>1.8900000000000001</v>
      </c>
      <c r="AC292">
        <f t="shared" si="144"/>
        <v>1.9080000000000001</v>
      </c>
    </row>
    <row r="293" spans="1:29" x14ac:dyDescent="0.3">
      <c r="A293">
        <v>2</v>
      </c>
      <c r="B293">
        <v>2</v>
      </c>
      <c r="C293">
        <v>2</v>
      </c>
      <c r="D293">
        <v>6</v>
      </c>
      <c r="E293">
        <v>6.3</v>
      </c>
      <c r="G293">
        <f t="shared" si="129"/>
        <v>6.3629999999999995</v>
      </c>
      <c r="H293">
        <f t="shared" si="130"/>
        <v>6.4260000000000002</v>
      </c>
      <c r="I293">
        <f t="shared" si="131"/>
        <v>6.4889999999999999</v>
      </c>
      <c r="J293">
        <f t="shared" si="133"/>
        <v>6.5519999999999996</v>
      </c>
      <c r="K293">
        <f t="shared" si="132"/>
        <v>6.6150000000000002</v>
      </c>
      <c r="L293">
        <f t="shared" si="150"/>
        <v>6.6779999999999999</v>
      </c>
      <c r="T293">
        <v>4</v>
      </c>
      <c r="U293">
        <v>6</v>
      </c>
      <c r="V293">
        <v>1.4</v>
      </c>
      <c r="X293">
        <f t="shared" si="151"/>
        <v>1.4139999999999999</v>
      </c>
      <c r="Y293">
        <f t="shared" si="152"/>
        <v>1.4279999999999999</v>
      </c>
      <c r="Z293">
        <f t="shared" si="153"/>
        <v>1.4419999999999999</v>
      </c>
      <c r="AA293">
        <f t="shared" si="154"/>
        <v>1.456</v>
      </c>
      <c r="AB293">
        <f t="shared" si="155"/>
        <v>1.47</v>
      </c>
      <c r="AC293">
        <f t="shared" si="144"/>
        <v>1.484</v>
      </c>
    </row>
    <row r="294" spans="1:29" x14ac:dyDescent="0.3">
      <c r="A294">
        <v>2</v>
      </c>
      <c r="B294">
        <v>2</v>
      </c>
      <c r="C294">
        <v>3</v>
      </c>
      <c r="D294">
        <v>1</v>
      </c>
      <c r="E294">
        <v>7.2</v>
      </c>
      <c r="G294">
        <f t="shared" si="129"/>
        <v>7.2720000000000002</v>
      </c>
      <c r="H294">
        <f t="shared" si="130"/>
        <v>7.3440000000000003</v>
      </c>
      <c r="I294">
        <f>E294+(E294*3%)</f>
        <v>7.4160000000000004</v>
      </c>
      <c r="J294">
        <f t="shared" si="133"/>
        <v>7.4880000000000004</v>
      </c>
      <c r="K294">
        <f>E294+(E294*5%)</f>
        <v>7.5600000000000005</v>
      </c>
      <c r="L294">
        <f t="shared" si="150"/>
        <v>7.6320000000000006</v>
      </c>
    </row>
    <row r="295" spans="1:29" x14ac:dyDescent="0.3">
      <c r="A295">
        <v>2</v>
      </c>
      <c r="B295">
        <v>2</v>
      </c>
      <c r="C295">
        <v>3</v>
      </c>
      <c r="D295">
        <v>2</v>
      </c>
      <c r="E295">
        <v>5.2</v>
      </c>
      <c r="G295">
        <f t="shared" si="129"/>
        <v>5.2519999999999998</v>
      </c>
      <c r="H295">
        <f t="shared" si="130"/>
        <v>5.3040000000000003</v>
      </c>
      <c r="I295">
        <f t="shared" si="131"/>
        <v>5.3559999999999999</v>
      </c>
      <c r="J295">
        <f t="shared" si="133"/>
        <v>5.4080000000000004</v>
      </c>
      <c r="K295">
        <f t="shared" si="132"/>
        <v>5.46</v>
      </c>
      <c r="L295">
        <f t="shared" si="150"/>
        <v>5.5120000000000005</v>
      </c>
    </row>
    <row r="296" spans="1:29" x14ac:dyDescent="0.3">
      <c r="A296">
        <v>2</v>
      </c>
      <c r="B296">
        <v>2</v>
      </c>
      <c r="C296">
        <v>3</v>
      </c>
      <c r="D296">
        <v>3</v>
      </c>
      <c r="E296">
        <v>6.4</v>
      </c>
      <c r="G296">
        <f t="shared" si="129"/>
        <v>6.4640000000000004</v>
      </c>
      <c r="H296">
        <f t="shared" si="130"/>
        <v>6.5280000000000005</v>
      </c>
      <c r="I296">
        <f t="shared" si="131"/>
        <v>6.5920000000000005</v>
      </c>
      <c r="J296">
        <f t="shared" si="133"/>
        <v>6.6560000000000006</v>
      </c>
      <c r="K296">
        <f t="shared" si="132"/>
        <v>6.7200000000000006</v>
      </c>
      <c r="L296">
        <f t="shared" si="150"/>
        <v>6.7840000000000007</v>
      </c>
      <c r="T296" t="s">
        <v>200</v>
      </c>
      <c r="U296" t="s">
        <v>160</v>
      </c>
      <c r="X296" s="16">
        <f>(X297-U297)/U297*100</f>
        <v>-0.18997235183655226</v>
      </c>
      <c r="Y296" s="16">
        <f>(Y297-U297)/U297*100</f>
        <v>1.0494340445077591E-2</v>
      </c>
      <c r="Z296" s="16">
        <f>(Z297-U297)/U297*100</f>
        <v>0.21096103272670741</v>
      </c>
      <c r="AA296" s="16">
        <f>(AA297-U297)/U297*100</f>
        <v>0.41142772500835612</v>
      </c>
      <c r="AB296" s="16">
        <f>(AB297-U297)/U297*100</f>
        <v>0.61189441728998584</v>
      </c>
      <c r="AC296" s="16">
        <f>(AC297-U297)/U297*100</f>
        <v>-100</v>
      </c>
    </row>
    <row r="297" spans="1:29" x14ac:dyDescent="0.3">
      <c r="A297">
        <v>2</v>
      </c>
      <c r="B297">
        <v>2</v>
      </c>
      <c r="C297">
        <v>3</v>
      </c>
      <c r="D297">
        <v>4</v>
      </c>
      <c r="E297">
        <v>8.1999999999999993</v>
      </c>
      <c r="G297">
        <f t="shared" si="129"/>
        <v>8.282</v>
      </c>
      <c r="H297">
        <f t="shared" si="130"/>
        <v>8.363999999999999</v>
      </c>
      <c r="I297">
        <f t="shared" si="131"/>
        <v>8.4459999999999997</v>
      </c>
      <c r="J297">
        <f t="shared" si="133"/>
        <v>8.5279999999999987</v>
      </c>
      <c r="K297">
        <f t="shared" si="132"/>
        <v>8.61</v>
      </c>
      <c r="L297">
        <f t="shared" si="150"/>
        <v>8.6919999999999984</v>
      </c>
      <c r="T297" t="s">
        <v>178</v>
      </c>
      <c r="U297">
        <v>4840.7044030870002</v>
      </c>
      <c r="X297" s="21">
        <v>4831.5084030870003</v>
      </c>
      <c r="Y297" s="21">
        <v>4841.212403087</v>
      </c>
      <c r="Z297" s="21">
        <v>4850.9164030869997</v>
      </c>
      <c r="AA297" s="21">
        <v>4860.6204030870003</v>
      </c>
      <c r="AB297" s="21">
        <v>4870.3244030870001</v>
      </c>
      <c r="AC297" s="21"/>
    </row>
    <row r="298" spans="1:29" x14ac:dyDescent="0.3">
      <c r="A298">
        <v>2</v>
      </c>
      <c r="B298">
        <v>2</v>
      </c>
      <c r="C298">
        <v>3</v>
      </c>
      <c r="D298">
        <v>5</v>
      </c>
      <c r="E298">
        <v>5.0999999999999996</v>
      </c>
      <c r="G298">
        <f t="shared" ref="G298:G361" si="156">E298+(E298*1%)</f>
        <v>5.1509999999999998</v>
      </c>
      <c r="H298">
        <f t="shared" ref="H298:H361" si="157">E298+(E298*2%)</f>
        <v>5.202</v>
      </c>
      <c r="I298">
        <f t="shared" ref="I298:I361" si="158">E298+(E298*3%)</f>
        <v>5.2529999999999992</v>
      </c>
      <c r="J298">
        <f t="shared" si="133"/>
        <v>5.3039999999999994</v>
      </c>
      <c r="K298">
        <f t="shared" ref="K298:K361" si="159">E298+(E298*5%)</f>
        <v>5.3549999999999995</v>
      </c>
      <c r="L298">
        <f t="shared" si="150"/>
        <v>5.4059999999999997</v>
      </c>
      <c r="X298" s="16">
        <f>(X299-U299)/U299*100</f>
        <v>0</v>
      </c>
      <c r="Y298" s="16">
        <f>(Y299-U299)/U299*100</f>
        <v>0</v>
      </c>
      <c r="Z298" s="16">
        <f>(Z299-U299)/U299*100</f>
        <v>0</v>
      </c>
      <c r="AA298" s="16">
        <f>(AA299-U299)/U299*100</f>
        <v>0</v>
      </c>
      <c r="AB298" s="16">
        <f>(AB299-U299)/U299*100</f>
        <v>0</v>
      </c>
      <c r="AC298" s="16">
        <f>(AC299-U299)/U299*100</f>
        <v>-100</v>
      </c>
    </row>
    <row r="299" spans="1:29" x14ac:dyDescent="0.3">
      <c r="A299">
        <v>2</v>
      </c>
      <c r="B299">
        <v>2</v>
      </c>
      <c r="C299">
        <v>3</v>
      </c>
      <c r="D299">
        <v>6</v>
      </c>
      <c r="E299">
        <v>6.3</v>
      </c>
      <c r="G299">
        <f t="shared" si="156"/>
        <v>6.3629999999999995</v>
      </c>
      <c r="H299">
        <f t="shared" si="157"/>
        <v>6.4260000000000002</v>
      </c>
      <c r="I299">
        <f t="shared" si="158"/>
        <v>6.4889999999999999</v>
      </c>
      <c r="J299">
        <f t="shared" si="133"/>
        <v>6.5519999999999996</v>
      </c>
      <c r="K299">
        <f t="shared" si="159"/>
        <v>6.6150000000000002</v>
      </c>
      <c r="L299">
        <f t="shared" si="150"/>
        <v>6.6779999999999999</v>
      </c>
      <c r="T299" t="s">
        <v>158</v>
      </c>
      <c r="U299">
        <v>815497.45</v>
      </c>
      <c r="X299" s="21">
        <v>815497.45</v>
      </c>
      <c r="Y299" s="21">
        <v>815497.45</v>
      </c>
      <c r="Z299" s="21">
        <v>815497.45</v>
      </c>
      <c r="AA299" s="21">
        <v>815497.45</v>
      </c>
      <c r="AB299" s="21">
        <v>815497.45</v>
      </c>
      <c r="AC299" s="21"/>
    </row>
    <row r="300" spans="1:29" x14ac:dyDescent="0.3">
      <c r="A300">
        <v>2</v>
      </c>
      <c r="B300">
        <v>3</v>
      </c>
      <c r="C300">
        <v>1</v>
      </c>
      <c r="D300">
        <v>1</v>
      </c>
      <c r="E300">
        <v>5.5</v>
      </c>
      <c r="G300">
        <f t="shared" si="156"/>
        <v>5.5549999999999997</v>
      </c>
      <c r="H300">
        <f t="shared" si="157"/>
        <v>5.61</v>
      </c>
      <c r="I300">
        <f t="shared" si="158"/>
        <v>5.665</v>
      </c>
      <c r="J300">
        <f t="shared" si="133"/>
        <v>5.72</v>
      </c>
      <c r="K300">
        <f t="shared" si="159"/>
        <v>5.7750000000000004</v>
      </c>
      <c r="L300">
        <f t="shared" si="150"/>
        <v>5.83</v>
      </c>
    </row>
    <row r="301" spans="1:29" x14ac:dyDescent="0.3">
      <c r="A301">
        <v>2</v>
      </c>
      <c r="B301">
        <v>3</v>
      </c>
      <c r="C301">
        <v>1</v>
      </c>
      <c r="D301">
        <v>2</v>
      </c>
      <c r="E301">
        <v>6.2</v>
      </c>
      <c r="G301">
        <f t="shared" si="156"/>
        <v>6.2620000000000005</v>
      </c>
      <c r="H301">
        <f t="shared" si="157"/>
        <v>6.3239999999999998</v>
      </c>
      <c r="I301">
        <f t="shared" si="158"/>
        <v>6.3860000000000001</v>
      </c>
      <c r="J301">
        <f t="shared" si="133"/>
        <v>6.4480000000000004</v>
      </c>
      <c r="K301">
        <f t="shared" si="159"/>
        <v>6.51</v>
      </c>
      <c r="L301">
        <f t="shared" si="150"/>
        <v>6.5720000000000001</v>
      </c>
    </row>
    <row r="302" spans="1:29" x14ac:dyDescent="0.3">
      <c r="A302">
        <v>2</v>
      </c>
      <c r="B302">
        <v>3</v>
      </c>
      <c r="C302">
        <v>1</v>
      </c>
      <c r="D302">
        <v>3</v>
      </c>
      <c r="E302">
        <v>7.3</v>
      </c>
      <c r="G302">
        <f t="shared" si="156"/>
        <v>7.3730000000000002</v>
      </c>
      <c r="H302">
        <f t="shared" si="157"/>
        <v>7.4459999999999997</v>
      </c>
      <c r="I302">
        <f t="shared" si="158"/>
        <v>7.5190000000000001</v>
      </c>
      <c r="J302">
        <f t="shared" si="133"/>
        <v>7.5919999999999996</v>
      </c>
      <c r="K302">
        <f t="shared" si="159"/>
        <v>7.665</v>
      </c>
      <c r="L302">
        <f t="shared" si="150"/>
        <v>7.7379999999999995</v>
      </c>
      <c r="U302" t="s">
        <v>161</v>
      </c>
      <c r="X302" s="16">
        <f>(X303-U303)/U303*100</f>
        <v>0.20336256803793312</v>
      </c>
      <c r="Y302" s="16">
        <f>(Y303-U303)/U303*100</f>
        <v>0.40809935366289884</v>
      </c>
      <c r="Z302" s="16">
        <f>(Z303-U303)/U303*100</f>
        <v>0.61146192170083191</v>
      </c>
      <c r="AA302" s="16">
        <f>(AA303-U303)/U303*100</f>
        <v>0.81541537529670527</v>
      </c>
      <c r="AB302" s="16">
        <f>(AB303-U303)/U303*100</f>
        <v>1.0245071594341963</v>
      </c>
      <c r="AC302" s="16">
        <f>(AC303-U303)/U303*100</f>
        <v>-100</v>
      </c>
    </row>
    <row r="303" spans="1:29" x14ac:dyDescent="0.3">
      <c r="A303">
        <v>2</v>
      </c>
      <c r="B303">
        <v>3</v>
      </c>
      <c r="C303">
        <v>1</v>
      </c>
      <c r="D303">
        <v>4</v>
      </c>
      <c r="E303">
        <v>4.5999999999999996</v>
      </c>
      <c r="G303">
        <f t="shared" si="156"/>
        <v>4.6459999999999999</v>
      </c>
      <c r="H303">
        <f t="shared" si="157"/>
        <v>4.6919999999999993</v>
      </c>
      <c r="I303">
        <f t="shared" si="158"/>
        <v>4.7379999999999995</v>
      </c>
      <c r="J303">
        <f t="shared" ref="J303:J366" si="160">E303+(E303*4%)</f>
        <v>4.7839999999999998</v>
      </c>
      <c r="K303">
        <f t="shared" si="159"/>
        <v>4.83</v>
      </c>
      <c r="L303">
        <f t="shared" si="150"/>
        <v>4.8759999999999994</v>
      </c>
      <c r="T303" t="s">
        <v>178</v>
      </c>
      <c r="U303">
        <v>4741.7772567669999</v>
      </c>
      <c r="X303" s="21">
        <v>4751.420256767</v>
      </c>
      <c r="Y303" s="21">
        <v>4761.1284191040004</v>
      </c>
      <c r="Z303" s="21">
        <v>4770.7714191040004</v>
      </c>
      <c r="AA303" s="21">
        <v>4780.4424375810004</v>
      </c>
      <c r="AB303" s="21">
        <v>4790.3571042470003</v>
      </c>
      <c r="AC303" s="21"/>
    </row>
    <row r="304" spans="1:29" x14ac:dyDescent="0.3">
      <c r="A304">
        <v>2</v>
      </c>
      <c r="B304">
        <v>3</v>
      </c>
      <c r="C304">
        <v>1</v>
      </c>
      <c r="D304">
        <v>5</v>
      </c>
      <c r="E304">
        <v>6.7</v>
      </c>
      <c r="G304">
        <f t="shared" si="156"/>
        <v>6.7670000000000003</v>
      </c>
      <c r="H304">
        <f t="shared" si="157"/>
        <v>6.8340000000000005</v>
      </c>
      <c r="I304">
        <f t="shared" si="158"/>
        <v>6.9009999999999998</v>
      </c>
      <c r="J304">
        <f t="shared" si="160"/>
        <v>6.968</v>
      </c>
      <c r="K304">
        <f t="shared" si="159"/>
        <v>7.0350000000000001</v>
      </c>
      <c r="L304">
        <f t="shared" si="150"/>
        <v>7.1020000000000003</v>
      </c>
      <c r="X304" s="16">
        <f>(X305-U305)/U305*100</f>
        <v>0</v>
      </c>
      <c r="Y304" s="16">
        <f>(Y305-U305)/U305*100</f>
        <v>-1.9909362322724613E-3</v>
      </c>
      <c r="Z304" s="16">
        <f>(Z305-U305)/U305*100</f>
        <v>-1.9909362322724613E-3</v>
      </c>
      <c r="AA304" s="16">
        <f>(AA305-U305)/U305*100</f>
        <v>-2.2840802173943395E-3</v>
      </c>
      <c r="AB304" s="16">
        <f>(AB305-U305)/U305*100</f>
        <v>-5.1910914031495625E-3</v>
      </c>
      <c r="AC304" s="16">
        <f>(AC305-U305)/U305*100</f>
        <v>-100</v>
      </c>
    </row>
    <row r="305" spans="1:29" x14ac:dyDescent="0.3">
      <c r="A305">
        <v>2</v>
      </c>
      <c r="B305">
        <v>3</v>
      </c>
      <c r="C305">
        <v>1</v>
      </c>
      <c r="D305">
        <v>6</v>
      </c>
      <c r="E305">
        <v>7.8</v>
      </c>
      <c r="G305">
        <f t="shared" si="156"/>
        <v>7.8780000000000001</v>
      </c>
      <c r="H305">
        <f t="shared" si="157"/>
        <v>7.9559999999999995</v>
      </c>
      <c r="I305">
        <f t="shared" si="158"/>
        <v>8.0339999999999989</v>
      </c>
      <c r="J305">
        <f t="shared" si="160"/>
        <v>8.1120000000000001</v>
      </c>
      <c r="K305">
        <f t="shared" si="159"/>
        <v>8.19</v>
      </c>
      <c r="L305">
        <f t="shared" si="150"/>
        <v>8.2680000000000007</v>
      </c>
      <c r="T305" t="s">
        <v>158</v>
      </c>
      <c r="U305">
        <v>818710.3</v>
      </c>
      <c r="X305" s="21">
        <v>818710.3</v>
      </c>
      <c r="Y305" s="21">
        <v>818694</v>
      </c>
      <c r="Z305" s="21">
        <v>818694</v>
      </c>
      <c r="AA305" s="21">
        <v>818691.6</v>
      </c>
      <c r="AB305" s="21">
        <v>818667.8</v>
      </c>
      <c r="AC305" s="21"/>
    </row>
    <row r="306" spans="1:29" x14ac:dyDescent="0.3">
      <c r="A306">
        <v>2</v>
      </c>
      <c r="B306">
        <v>3</v>
      </c>
      <c r="C306">
        <v>2</v>
      </c>
      <c r="D306">
        <v>1</v>
      </c>
      <c r="E306">
        <v>3.3</v>
      </c>
      <c r="G306">
        <f t="shared" si="156"/>
        <v>3.3329999999999997</v>
      </c>
      <c r="H306">
        <f t="shared" si="157"/>
        <v>3.3659999999999997</v>
      </c>
      <c r="I306">
        <f t="shared" si="158"/>
        <v>3.399</v>
      </c>
      <c r="J306">
        <f>E306+(E306*4%)</f>
        <v>3.4319999999999999</v>
      </c>
      <c r="K306">
        <f t="shared" si="159"/>
        <v>3.4649999999999999</v>
      </c>
      <c r="L306">
        <f t="shared" si="150"/>
        <v>3.4979999999999998</v>
      </c>
    </row>
    <row r="307" spans="1:29" x14ac:dyDescent="0.3">
      <c r="A307">
        <v>2</v>
      </c>
      <c r="B307">
        <v>3</v>
      </c>
      <c r="C307">
        <v>2</v>
      </c>
      <c r="D307">
        <v>2</v>
      </c>
      <c r="E307">
        <v>4.4000000000000004</v>
      </c>
      <c r="G307">
        <f t="shared" si="156"/>
        <v>4.444</v>
      </c>
      <c r="H307">
        <f t="shared" si="157"/>
        <v>4.4880000000000004</v>
      </c>
      <c r="I307">
        <f t="shared" si="158"/>
        <v>4.532</v>
      </c>
      <c r="J307">
        <f t="shared" si="160"/>
        <v>4.5760000000000005</v>
      </c>
      <c r="K307">
        <f t="shared" si="159"/>
        <v>4.62</v>
      </c>
      <c r="L307">
        <f t="shared" si="150"/>
        <v>4.6640000000000006</v>
      </c>
      <c r="T307" s="22"/>
      <c r="U307" s="22"/>
      <c r="V307" s="22"/>
      <c r="W307" s="22"/>
      <c r="X307" s="22"/>
      <c r="Y307" s="22"/>
      <c r="Z307" s="22"/>
      <c r="AA307" s="22"/>
      <c r="AB307" s="22"/>
      <c r="AC307" s="22"/>
    </row>
    <row r="308" spans="1:29" x14ac:dyDescent="0.3">
      <c r="A308">
        <v>2</v>
      </c>
      <c r="B308">
        <v>3</v>
      </c>
      <c r="C308">
        <v>2</v>
      </c>
      <c r="D308">
        <v>3</v>
      </c>
      <c r="E308">
        <v>6.2</v>
      </c>
      <c r="G308">
        <f t="shared" si="156"/>
        <v>6.2620000000000005</v>
      </c>
      <c r="H308">
        <f t="shared" si="157"/>
        <v>6.3239999999999998</v>
      </c>
      <c r="I308">
        <f t="shared" si="158"/>
        <v>6.3860000000000001</v>
      </c>
      <c r="J308">
        <f t="shared" si="160"/>
        <v>6.4480000000000004</v>
      </c>
      <c r="K308">
        <f t="shared" si="159"/>
        <v>6.51</v>
      </c>
      <c r="L308">
        <f t="shared" si="150"/>
        <v>6.5720000000000001</v>
      </c>
    </row>
    <row r="309" spans="1:29" x14ac:dyDescent="0.3">
      <c r="A309">
        <v>2</v>
      </c>
      <c r="B309">
        <v>3</v>
      </c>
      <c r="C309">
        <v>2</v>
      </c>
      <c r="D309">
        <v>4</v>
      </c>
      <c r="E309">
        <v>7.5</v>
      </c>
      <c r="G309">
        <f t="shared" si="156"/>
        <v>7.5750000000000002</v>
      </c>
      <c r="H309">
        <f t="shared" si="157"/>
        <v>7.65</v>
      </c>
      <c r="I309">
        <f t="shared" si="158"/>
        <v>7.7249999999999996</v>
      </c>
      <c r="J309">
        <f t="shared" si="160"/>
        <v>7.8</v>
      </c>
      <c r="K309">
        <f t="shared" si="159"/>
        <v>7.875</v>
      </c>
      <c r="L309">
        <f t="shared" si="150"/>
        <v>7.95</v>
      </c>
    </row>
    <row r="310" spans="1:29" x14ac:dyDescent="0.3">
      <c r="A310">
        <v>2</v>
      </c>
      <c r="B310">
        <v>3</v>
      </c>
      <c r="C310">
        <v>2</v>
      </c>
      <c r="D310">
        <v>5</v>
      </c>
      <c r="E310">
        <v>3.2</v>
      </c>
      <c r="G310">
        <f t="shared" si="156"/>
        <v>3.2320000000000002</v>
      </c>
      <c r="H310">
        <f t="shared" si="157"/>
        <v>3.2640000000000002</v>
      </c>
      <c r="I310">
        <f t="shared" si="158"/>
        <v>3.2960000000000003</v>
      </c>
      <c r="J310">
        <f t="shared" si="160"/>
        <v>3.3280000000000003</v>
      </c>
      <c r="K310">
        <f t="shared" si="159"/>
        <v>3.3600000000000003</v>
      </c>
      <c r="L310">
        <f t="shared" si="150"/>
        <v>3.3920000000000003</v>
      </c>
    </row>
    <row r="311" spans="1:29" x14ac:dyDescent="0.3">
      <c r="A311">
        <v>2</v>
      </c>
      <c r="B311">
        <v>3</v>
      </c>
      <c r="C311">
        <v>2</v>
      </c>
      <c r="D311">
        <v>6</v>
      </c>
      <c r="E311">
        <v>5.5</v>
      </c>
      <c r="G311">
        <f t="shared" si="156"/>
        <v>5.5549999999999997</v>
      </c>
      <c r="H311">
        <f t="shared" si="157"/>
        <v>5.61</v>
      </c>
      <c r="I311">
        <f t="shared" si="158"/>
        <v>5.665</v>
      </c>
      <c r="J311">
        <f t="shared" si="160"/>
        <v>5.72</v>
      </c>
      <c r="K311">
        <f t="shared" si="159"/>
        <v>5.7750000000000004</v>
      </c>
      <c r="L311">
        <f t="shared" si="150"/>
        <v>5.83</v>
      </c>
    </row>
    <row r="312" spans="1:29" x14ac:dyDescent="0.3">
      <c r="A312">
        <v>2</v>
      </c>
      <c r="B312">
        <v>3</v>
      </c>
      <c r="C312">
        <v>3</v>
      </c>
      <c r="D312">
        <v>1</v>
      </c>
      <c r="E312">
        <v>5.3</v>
      </c>
      <c r="G312">
        <f t="shared" si="156"/>
        <v>5.3529999999999998</v>
      </c>
      <c r="H312">
        <f t="shared" si="157"/>
        <v>5.4059999999999997</v>
      </c>
      <c r="I312">
        <f t="shared" si="158"/>
        <v>5.4589999999999996</v>
      </c>
      <c r="J312">
        <f t="shared" si="160"/>
        <v>5.5119999999999996</v>
      </c>
      <c r="K312">
        <f t="shared" si="159"/>
        <v>5.5649999999999995</v>
      </c>
      <c r="L312">
        <f t="shared" si="150"/>
        <v>5.6179999999999994</v>
      </c>
    </row>
    <row r="313" spans="1:29" x14ac:dyDescent="0.3">
      <c r="A313">
        <v>2</v>
      </c>
      <c r="B313">
        <v>3</v>
      </c>
      <c r="C313">
        <v>3</v>
      </c>
      <c r="D313">
        <v>2</v>
      </c>
      <c r="E313">
        <v>7.5</v>
      </c>
      <c r="G313">
        <f t="shared" si="156"/>
        <v>7.5750000000000002</v>
      </c>
      <c r="H313">
        <f t="shared" si="157"/>
        <v>7.65</v>
      </c>
      <c r="I313">
        <f t="shared" si="158"/>
        <v>7.7249999999999996</v>
      </c>
      <c r="J313">
        <f t="shared" si="160"/>
        <v>7.8</v>
      </c>
      <c r="K313">
        <f t="shared" si="159"/>
        <v>7.875</v>
      </c>
      <c r="L313">
        <f t="shared" si="150"/>
        <v>7.95</v>
      </c>
    </row>
    <row r="314" spans="1:29" x14ac:dyDescent="0.3">
      <c r="A314">
        <v>2</v>
      </c>
      <c r="B314">
        <v>3</v>
      </c>
      <c r="C314">
        <v>3</v>
      </c>
      <c r="D314">
        <v>3</v>
      </c>
      <c r="E314">
        <v>4.7</v>
      </c>
      <c r="G314">
        <f t="shared" si="156"/>
        <v>4.7469999999999999</v>
      </c>
      <c r="H314">
        <f t="shared" si="157"/>
        <v>4.7940000000000005</v>
      </c>
      <c r="I314">
        <f t="shared" si="158"/>
        <v>4.8410000000000002</v>
      </c>
      <c r="J314">
        <f t="shared" si="160"/>
        <v>4.8879999999999999</v>
      </c>
      <c r="K314">
        <f t="shared" si="159"/>
        <v>4.9350000000000005</v>
      </c>
      <c r="L314">
        <f t="shared" si="150"/>
        <v>4.9820000000000002</v>
      </c>
    </row>
    <row r="315" spans="1:29" x14ac:dyDescent="0.3">
      <c r="A315">
        <v>2</v>
      </c>
      <c r="B315">
        <v>3</v>
      </c>
      <c r="C315">
        <v>3</v>
      </c>
      <c r="D315">
        <v>4</v>
      </c>
      <c r="E315">
        <v>6.8</v>
      </c>
      <c r="G315">
        <f t="shared" si="156"/>
        <v>6.8679999999999994</v>
      </c>
      <c r="H315">
        <f t="shared" si="157"/>
        <v>6.9359999999999999</v>
      </c>
      <c r="I315">
        <f t="shared" si="158"/>
        <v>7.0039999999999996</v>
      </c>
      <c r="J315">
        <f t="shared" si="160"/>
        <v>7.0720000000000001</v>
      </c>
      <c r="K315">
        <f t="shared" si="159"/>
        <v>7.14</v>
      </c>
      <c r="L315">
        <f t="shared" si="150"/>
        <v>7.2080000000000002</v>
      </c>
    </row>
    <row r="316" spans="1:29" x14ac:dyDescent="0.3">
      <c r="A316">
        <v>2</v>
      </c>
      <c r="B316">
        <v>3</v>
      </c>
      <c r="C316">
        <v>3</v>
      </c>
      <c r="D316">
        <v>5</v>
      </c>
      <c r="E316">
        <v>5.6</v>
      </c>
      <c r="G316">
        <f t="shared" si="156"/>
        <v>5.6559999999999997</v>
      </c>
      <c r="H316">
        <f t="shared" si="157"/>
        <v>5.7119999999999997</v>
      </c>
      <c r="I316">
        <f t="shared" si="158"/>
        <v>5.7679999999999998</v>
      </c>
      <c r="J316">
        <f t="shared" si="160"/>
        <v>5.8239999999999998</v>
      </c>
      <c r="K316">
        <f t="shared" si="159"/>
        <v>5.88</v>
      </c>
      <c r="L316">
        <f t="shared" si="150"/>
        <v>5.9359999999999999</v>
      </c>
    </row>
    <row r="317" spans="1:29" x14ac:dyDescent="0.3">
      <c r="A317">
        <v>2</v>
      </c>
      <c r="B317">
        <v>3</v>
      </c>
      <c r="C317">
        <v>3</v>
      </c>
      <c r="D317">
        <v>6</v>
      </c>
      <c r="E317">
        <v>6.1</v>
      </c>
      <c r="G317">
        <f t="shared" si="156"/>
        <v>6.1609999999999996</v>
      </c>
      <c r="H317">
        <f t="shared" si="157"/>
        <v>6.2219999999999995</v>
      </c>
      <c r="I317">
        <f t="shared" si="158"/>
        <v>6.2829999999999995</v>
      </c>
      <c r="J317">
        <f t="shared" si="160"/>
        <v>6.3439999999999994</v>
      </c>
      <c r="K317">
        <f t="shared" si="159"/>
        <v>6.4049999999999994</v>
      </c>
      <c r="L317">
        <f t="shared" si="150"/>
        <v>6.4659999999999993</v>
      </c>
    </row>
    <row r="318" spans="1:29" x14ac:dyDescent="0.3">
      <c r="A318">
        <v>3</v>
      </c>
      <c r="B318">
        <v>1</v>
      </c>
      <c r="C318">
        <v>1</v>
      </c>
      <c r="D318">
        <v>1</v>
      </c>
      <c r="E318">
        <v>5.4</v>
      </c>
      <c r="G318">
        <f t="shared" si="156"/>
        <v>5.4540000000000006</v>
      </c>
      <c r="H318">
        <f t="shared" si="157"/>
        <v>5.508</v>
      </c>
      <c r="I318">
        <f t="shared" si="158"/>
        <v>5.5620000000000003</v>
      </c>
      <c r="J318">
        <f t="shared" si="160"/>
        <v>5.6160000000000005</v>
      </c>
      <c r="K318">
        <f t="shared" si="159"/>
        <v>5.67</v>
      </c>
      <c r="L318">
        <f t="shared" si="150"/>
        <v>5.7240000000000002</v>
      </c>
    </row>
    <row r="319" spans="1:29" x14ac:dyDescent="0.3">
      <c r="A319">
        <v>3</v>
      </c>
      <c r="B319">
        <v>1</v>
      </c>
      <c r="C319">
        <v>1</v>
      </c>
      <c r="D319">
        <v>2</v>
      </c>
      <c r="E319">
        <v>6.6</v>
      </c>
      <c r="G319">
        <f t="shared" si="156"/>
        <v>6.6659999999999995</v>
      </c>
      <c r="H319">
        <f t="shared" si="157"/>
        <v>6.7319999999999993</v>
      </c>
      <c r="I319">
        <f t="shared" si="158"/>
        <v>6.798</v>
      </c>
      <c r="J319">
        <f t="shared" si="160"/>
        <v>6.8639999999999999</v>
      </c>
      <c r="K319">
        <f t="shared" si="159"/>
        <v>6.93</v>
      </c>
      <c r="L319">
        <f t="shared" si="150"/>
        <v>6.9959999999999996</v>
      </c>
    </row>
    <row r="320" spans="1:29" x14ac:dyDescent="0.3">
      <c r="A320">
        <v>3</v>
      </c>
      <c r="B320">
        <v>1</v>
      </c>
      <c r="C320">
        <v>1</v>
      </c>
      <c r="D320">
        <v>3</v>
      </c>
      <c r="E320">
        <v>3.4</v>
      </c>
      <c r="G320">
        <f t="shared" si="156"/>
        <v>3.4339999999999997</v>
      </c>
      <c r="H320">
        <f t="shared" si="157"/>
        <v>3.468</v>
      </c>
      <c r="I320">
        <f t="shared" si="158"/>
        <v>3.5019999999999998</v>
      </c>
      <c r="J320">
        <f t="shared" si="160"/>
        <v>3.536</v>
      </c>
      <c r="K320">
        <f t="shared" si="159"/>
        <v>3.57</v>
      </c>
      <c r="L320">
        <f t="shared" si="150"/>
        <v>3.6040000000000001</v>
      </c>
    </row>
    <row r="321" spans="1:12" x14ac:dyDescent="0.3">
      <c r="A321">
        <v>3</v>
      </c>
      <c r="B321">
        <v>1</v>
      </c>
      <c r="C321">
        <v>1</v>
      </c>
      <c r="D321">
        <v>4</v>
      </c>
      <c r="E321">
        <v>2.2999999999999998</v>
      </c>
      <c r="G321">
        <f t="shared" si="156"/>
        <v>2.323</v>
      </c>
      <c r="H321">
        <f t="shared" si="157"/>
        <v>2.3459999999999996</v>
      </c>
      <c r="I321">
        <f t="shared" si="158"/>
        <v>2.3689999999999998</v>
      </c>
      <c r="J321">
        <f t="shared" si="160"/>
        <v>2.3919999999999999</v>
      </c>
      <c r="K321">
        <f t="shared" si="159"/>
        <v>2.415</v>
      </c>
      <c r="L321">
        <f t="shared" si="150"/>
        <v>2.4379999999999997</v>
      </c>
    </row>
    <row r="322" spans="1:12" x14ac:dyDescent="0.3">
      <c r="A322">
        <v>3</v>
      </c>
      <c r="B322">
        <v>1</v>
      </c>
      <c r="C322">
        <v>1</v>
      </c>
      <c r="D322">
        <v>5</v>
      </c>
      <c r="E322">
        <v>4.4000000000000004</v>
      </c>
      <c r="G322">
        <f t="shared" si="156"/>
        <v>4.444</v>
      </c>
      <c r="H322">
        <f t="shared" si="157"/>
        <v>4.4880000000000004</v>
      </c>
      <c r="I322">
        <f t="shared" si="158"/>
        <v>4.532</v>
      </c>
      <c r="J322">
        <f t="shared" si="160"/>
        <v>4.5760000000000005</v>
      </c>
      <c r="K322">
        <f t="shared" si="159"/>
        <v>4.62</v>
      </c>
      <c r="L322">
        <f t="shared" si="150"/>
        <v>4.6640000000000006</v>
      </c>
    </row>
    <row r="323" spans="1:12" x14ac:dyDescent="0.3">
      <c r="A323">
        <v>3</v>
      </c>
      <c r="B323">
        <v>1</v>
      </c>
      <c r="C323">
        <v>1</v>
      </c>
      <c r="D323">
        <v>6</v>
      </c>
      <c r="E323">
        <v>4.5</v>
      </c>
      <c r="G323">
        <f t="shared" si="156"/>
        <v>4.5449999999999999</v>
      </c>
      <c r="H323">
        <f t="shared" si="157"/>
        <v>4.59</v>
      </c>
      <c r="I323">
        <f t="shared" si="158"/>
        <v>4.6349999999999998</v>
      </c>
      <c r="J323">
        <f t="shared" si="160"/>
        <v>4.68</v>
      </c>
      <c r="K323">
        <f t="shared" si="159"/>
        <v>4.7249999999999996</v>
      </c>
      <c r="L323">
        <f t="shared" si="150"/>
        <v>4.7699999999999996</v>
      </c>
    </row>
    <row r="324" spans="1:12" x14ac:dyDescent="0.3">
      <c r="A324">
        <v>3</v>
      </c>
      <c r="B324">
        <v>1</v>
      </c>
      <c r="C324">
        <v>2</v>
      </c>
      <c r="D324">
        <v>1</v>
      </c>
      <c r="E324">
        <v>4.3</v>
      </c>
      <c r="G324">
        <f t="shared" si="156"/>
        <v>4.343</v>
      </c>
      <c r="H324">
        <f t="shared" si="157"/>
        <v>4.3860000000000001</v>
      </c>
      <c r="I324">
        <f>E324+(E324*3%)</f>
        <v>4.4290000000000003</v>
      </c>
      <c r="J324">
        <f t="shared" si="160"/>
        <v>4.4719999999999995</v>
      </c>
      <c r="K324">
        <f t="shared" si="159"/>
        <v>4.5149999999999997</v>
      </c>
      <c r="L324">
        <f t="shared" si="150"/>
        <v>4.5579999999999998</v>
      </c>
    </row>
    <row r="325" spans="1:12" x14ac:dyDescent="0.3">
      <c r="A325">
        <v>3</v>
      </c>
      <c r="B325">
        <v>1</v>
      </c>
      <c r="C325">
        <v>2</v>
      </c>
      <c r="D325">
        <v>2</v>
      </c>
      <c r="E325">
        <v>6.5</v>
      </c>
      <c r="G325">
        <f t="shared" si="156"/>
        <v>6.5650000000000004</v>
      </c>
      <c r="H325">
        <f t="shared" si="157"/>
        <v>6.63</v>
      </c>
      <c r="I325">
        <f t="shared" si="158"/>
        <v>6.6950000000000003</v>
      </c>
      <c r="J325">
        <f t="shared" si="160"/>
        <v>6.76</v>
      </c>
      <c r="K325">
        <f t="shared" si="159"/>
        <v>6.8250000000000002</v>
      </c>
      <c r="L325">
        <f t="shared" si="150"/>
        <v>6.89</v>
      </c>
    </row>
    <row r="326" spans="1:12" x14ac:dyDescent="0.3">
      <c r="A326">
        <v>3</v>
      </c>
      <c r="B326">
        <v>1</v>
      </c>
      <c r="C326">
        <v>2</v>
      </c>
      <c r="D326">
        <v>3</v>
      </c>
      <c r="E326">
        <v>6.6</v>
      </c>
      <c r="G326">
        <f t="shared" si="156"/>
        <v>6.6659999999999995</v>
      </c>
      <c r="H326">
        <f t="shared" si="157"/>
        <v>6.7319999999999993</v>
      </c>
      <c r="I326">
        <f t="shared" si="158"/>
        <v>6.798</v>
      </c>
      <c r="J326">
        <f t="shared" si="160"/>
        <v>6.8639999999999999</v>
      </c>
      <c r="K326">
        <f t="shared" si="159"/>
        <v>6.93</v>
      </c>
      <c r="L326">
        <f t="shared" si="150"/>
        <v>6.9959999999999996</v>
      </c>
    </row>
    <row r="327" spans="1:12" x14ac:dyDescent="0.3">
      <c r="A327">
        <v>3</v>
      </c>
      <c r="B327">
        <v>1</v>
      </c>
      <c r="C327">
        <v>2</v>
      </c>
      <c r="D327">
        <v>4</v>
      </c>
      <c r="E327">
        <v>7.3</v>
      </c>
      <c r="G327">
        <f t="shared" si="156"/>
        <v>7.3730000000000002</v>
      </c>
      <c r="H327">
        <f t="shared" si="157"/>
        <v>7.4459999999999997</v>
      </c>
      <c r="I327">
        <f t="shared" si="158"/>
        <v>7.5190000000000001</v>
      </c>
      <c r="J327">
        <f t="shared" si="160"/>
        <v>7.5919999999999996</v>
      </c>
      <c r="K327">
        <f t="shared" si="159"/>
        <v>7.665</v>
      </c>
      <c r="L327">
        <f t="shared" si="150"/>
        <v>7.7379999999999995</v>
      </c>
    </row>
    <row r="328" spans="1:12" x14ac:dyDescent="0.3">
      <c r="A328">
        <v>3</v>
      </c>
      <c r="B328">
        <v>1</v>
      </c>
      <c r="C328">
        <v>2</v>
      </c>
      <c r="D328">
        <v>5</v>
      </c>
      <c r="E328">
        <v>4.3</v>
      </c>
      <c r="G328">
        <f t="shared" si="156"/>
        <v>4.343</v>
      </c>
      <c r="H328">
        <f t="shared" si="157"/>
        <v>4.3860000000000001</v>
      </c>
      <c r="I328">
        <f t="shared" si="158"/>
        <v>4.4290000000000003</v>
      </c>
      <c r="J328">
        <f t="shared" si="160"/>
        <v>4.4719999999999995</v>
      </c>
      <c r="K328">
        <f t="shared" si="159"/>
        <v>4.5149999999999997</v>
      </c>
      <c r="L328">
        <f t="shared" si="150"/>
        <v>4.5579999999999998</v>
      </c>
    </row>
    <row r="329" spans="1:12" x14ac:dyDescent="0.3">
      <c r="A329">
        <v>3</v>
      </c>
      <c r="B329">
        <v>1</v>
      </c>
      <c r="C329">
        <v>2</v>
      </c>
      <c r="D329">
        <v>6</v>
      </c>
      <c r="E329">
        <v>3.7</v>
      </c>
      <c r="G329">
        <f t="shared" si="156"/>
        <v>3.7370000000000001</v>
      </c>
      <c r="H329">
        <f t="shared" si="157"/>
        <v>3.774</v>
      </c>
      <c r="I329">
        <f t="shared" si="158"/>
        <v>3.8110000000000004</v>
      </c>
      <c r="J329">
        <f t="shared" si="160"/>
        <v>3.8480000000000003</v>
      </c>
      <c r="K329">
        <f t="shared" si="159"/>
        <v>3.8850000000000002</v>
      </c>
      <c r="L329">
        <f t="shared" si="150"/>
        <v>3.9220000000000002</v>
      </c>
    </row>
    <row r="330" spans="1:12" x14ac:dyDescent="0.3">
      <c r="A330">
        <v>3</v>
      </c>
      <c r="B330">
        <v>1</v>
      </c>
      <c r="C330">
        <v>3</v>
      </c>
      <c r="D330">
        <v>1</v>
      </c>
      <c r="E330">
        <v>6.2</v>
      </c>
      <c r="G330">
        <f>E330+(E330*1%)</f>
        <v>6.2620000000000005</v>
      </c>
      <c r="H330">
        <f t="shared" si="157"/>
        <v>6.3239999999999998</v>
      </c>
      <c r="I330">
        <f t="shared" si="158"/>
        <v>6.3860000000000001</v>
      </c>
      <c r="J330">
        <f t="shared" si="160"/>
        <v>6.4480000000000004</v>
      </c>
      <c r="K330">
        <f>E330+(E330*5%)</f>
        <v>6.51</v>
      </c>
      <c r="L330">
        <f t="shared" si="150"/>
        <v>6.5720000000000001</v>
      </c>
    </row>
    <row r="331" spans="1:12" x14ac:dyDescent="0.3">
      <c r="A331">
        <v>3</v>
      </c>
      <c r="B331">
        <v>1</v>
      </c>
      <c r="C331">
        <v>3</v>
      </c>
      <c r="D331">
        <v>2</v>
      </c>
      <c r="E331">
        <v>4.5</v>
      </c>
      <c r="G331">
        <f t="shared" si="156"/>
        <v>4.5449999999999999</v>
      </c>
      <c r="H331">
        <f t="shared" si="157"/>
        <v>4.59</v>
      </c>
      <c r="I331">
        <f t="shared" si="158"/>
        <v>4.6349999999999998</v>
      </c>
      <c r="J331">
        <f t="shared" si="160"/>
        <v>4.68</v>
      </c>
      <c r="K331">
        <f t="shared" si="159"/>
        <v>4.7249999999999996</v>
      </c>
      <c r="L331">
        <f t="shared" si="150"/>
        <v>4.7699999999999996</v>
      </c>
    </row>
    <row r="332" spans="1:12" x14ac:dyDescent="0.3">
      <c r="A332">
        <v>3</v>
      </c>
      <c r="B332">
        <v>1</v>
      </c>
      <c r="C332">
        <v>3</v>
      </c>
      <c r="D332">
        <v>3</v>
      </c>
      <c r="E332">
        <v>6.6</v>
      </c>
      <c r="G332">
        <f t="shared" si="156"/>
        <v>6.6659999999999995</v>
      </c>
      <c r="H332">
        <f t="shared" si="157"/>
        <v>6.7319999999999993</v>
      </c>
      <c r="I332">
        <f t="shared" si="158"/>
        <v>6.798</v>
      </c>
      <c r="J332">
        <f t="shared" si="160"/>
        <v>6.8639999999999999</v>
      </c>
      <c r="K332">
        <f t="shared" si="159"/>
        <v>6.93</v>
      </c>
      <c r="L332">
        <f t="shared" si="150"/>
        <v>6.9959999999999996</v>
      </c>
    </row>
    <row r="333" spans="1:12" x14ac:dyDescent="0.3">
      <c r="A333">
        <v>3</v>
      </c>
      <c r="B333">
        <v>1</v>
      </c>
      <c r="C333">
        <v>3</v>
      </c>
      <c r="D333">
        <v>4</v>
      </c>
      <c r="E333">
        <v>7.6</v>
      </c>
      <c r="G333">
        <f t="shared" si="156"/>
        <v>7.6759999999999993</v>
      </c>
      <c r="H333">
        <f t="shared" si="157"/>
        <v>7.7519999999999998</v>
      </c>
      <c r="I333">
        <f t="shared" si="158"/>
        <v>7.8279999999999994</v>
      </c>
      <c r="J333">
        <f t="shared" si="160"/>
        <v>7.9039999999999999</v>
      </c>
      <c r="K333">
        <f t="shared" si="159"/>
        <v>7.9799999999999995</v>
      </c>
      <c r="L333">
        <f t="shared" si="150"/>
        <v>8.0559999999999992</v>
      </c>
    </row>
    <row r="334" spans="1:12" x14ac:dyDescent="0.3">
      <c r="A334">
        <v>3</v>
      </c>
      <c r="B334">
        <v>1</v>
      </c>
      <c r="C334">
        <v>3</v>
      </c>
      <c r="D334">
        <v>5</v>
      </c>
      <c r="E334">
        <v>5.2</v>
      </c>
      <c r="G334">
        <f t="shared" si="156"/>
        <v>5.2519999999999998</v>
      </c>
      <c r="H334">
        <f t="shared" si="157"/>
        <v>5.3040000000000003</v>
      </c>
      <c r="I334">
        <f t="shared" si="158"/>
        <v>5.3559999999999999</v>
      </c>
      <c r="J334">
        <f t="shared" si="160"/>
        <v>5.4080000000000004</v>
      </c>
      <c r="K334">
        <f t="shared" si="159"/>
        <v>5.46</v>
      </c>
      <c r="L334">
        <f t="shared" si="150"/>
        <v>5.5120000000000005</v>
      </c>
    </row>
    <row r="335" spans="1:12" x14ac:dyDescent="0.3">
      <c r="A335">
        <v>3</v>
      </c>
      <c r="B335">
        <v>1</v>
      </c>
      <c r="C335">
        <v>3</v>
      </c>
      <c r="D335">
        <v>6</v>
      </c>
      <c r="E335">
        <v>3.2</v>
      </c>
      <c r="G335">
        <f t="shared" si="156"/>
        <v>3.2320000000000002</v>
      </c>
      <c r="H335">
        <f t="shared" si="157"/>
        <v>3.2640000000000002</v>
      </c>
      <c r="I335">
        <f t="shared" si="158"/>
        <v>3.2960000000000003</v>
      </c>
      <c r="J335">
        <f t="shared" si="160"/>
        <v>3.3280000000000003</v>
      </c>
      <c r="K335">
        <f t="shared" si="159"/>
        <v>3.3600000000000003</v>
      </c>
      <c r="L335">
        <f t="shared" si="150"/>
        <v>3.3920000000000003</v>
      </c>
    </row>
    <row r="336" spans="1:12" x14ac:dyDescent="0.3">
      <c r="A336">
        <v>3</v>
      </c>
      <c r="B336">
        <v>2</v>
      </c>
      <c r="C336">
        <v>1</v>
      </c>
      <c r="D336">
        <v>1</v>
      </c>
      <c r="E336">
        <v>4.5</v>
      </c>
      <c r="G336">
        <f t="shared" si="156"/>
        <v>4.5449999999999999</v>
      </c>
      <c r="H336">
        <f>E336+(E336*2%)</f>
        <v>4.59</v>
      </c>
      <c r="I336">
        <f t="shared" si="158"/>
        <v>4.6349999999999998</v>
      </c>
      <c r="J336">
        <f t="shared" si="160"/>
        <v>4.68</v>
      </c>
      <c r="K336">
        <f>E336+(E336*5%)</f>
        <v>4.7249999999999996</v>
      </c>
      <c r="L336">
        <f t="shared" si="150"/>
        <v>4.7699999999999996</v>
      </c>
    </row>
    <row r="337" spans="1:12" x14ac:dyDescent="0.3">
      <c r="A337">
        <v>3</v>
      </c>
      <c r="B337">
        <v>2</v>
      </c>
      <c r="C337">
        <v>1</v>
      </c>
      <c r="D337">
        <v>2</v>
      </c>
      <c r="E337">
        <v>5.5</v>
      </c>
      <c r="G337">
        <f t="shared" si="156"/>
        <v>5.5549999999999997</v>
      </c>
      <c r="H337">
        <f t="shared" si="157"/>
        <v>5.61</v>
      </c>
      <c r="I337">
        <f t="shared" si="158"/>
        <v>5.665</v>
      </c>
      <c r="J337">
        <f t="shared" si="160"/>
        <v>5.72</v>
      </c>
      <c r="K337">
        <f t="shared" si="159"/>
        <v>5.7750000000000004</v>
      </c>
      <c r="L337">
        <f t="shared" si="150"/>
        <v>5.83</v>
      </c>
    </row>
    <row r="338" spans="1:12" x14ac:dyDescent="0.3">
      <c r="A338">
        <v>3</v>
      </c>
      <c r="B338">
        <v>2</v>
      </c>
      <c r="C338">
        <v>1</v>
      </c>
      <c r="D338">
        <v>3</v>
      </c>
      <c r="E338">
        <v>2.2000000000000002</v>
      </c>
      <c r="G338">
        <f t="shared" si="156"/>
        <v>2.222</v>
      </c>
      <c r="H338">
        <f t="shared" si="157"/>
        <v>2.2440000000000002</v>
      </c>
      <c r="I338">
        <f t="shared" si="158"/>
        <v>2.266</v>
      </c>
      <c r="J338">
        <f t="shared" si="160"/>
        <v>2.2880000000000003</v>
      </c>
      <c r="K338">
        <f t="shared" si="159"/>
        <v>2.31</v>
      </c>
      <c r="L338">
        <f t="shared" si="150"/>
        <v>2.3320000000000003</v>
      </c>
    </row>
    <row r="339" spans="1:12" x14ac:dyDescent="0.3">
      <c r="A339">
        <v>3</v>
      </c>
      <c r="B339">
        <v>2</v>
      </c>
      <c r="C339">
        <v>1</v>
      </c>
      <c r="D339">
        <v>4</v>
      </c>
      <c r="E339">
        <v>7.3</v>
      </c>
      <c r="G339">
        <f t="shared" si="156"/>
        <v>7.3730000000000002</v>
      </c>
      <c r="H339">
        <f t="shared" si="157"/>
        <v>7.4459999999999997</v>
      </c>
      <c r="I339">
        <f t="shared" si="158"/>
        <v>7.5190000000000001</v>
      </c>
      <c r="J339">
        <f t="shared" si="160"/>
        <v>7.5919999999999996</v>
      </c>
      <c r="K339">
        <f t="shared" si="159"/>
        <v>7.665</v>
      </c>
      <c r="L339">
        <f t="shared" ref="L339:L402" si="161">E339+(E339*6%)</f>
        <v>7.7379999999999995</v>
      </c>
    </row>
    <row r="340" spans="1:12" x14ac:dyDescent="0.3">
      <c r="A340">
        <v>3</v>
      </c>
      <c r="B340">
        <v>2</v>
      </c>
      <c r="C340">
        <v>1</v>
      </c>
      <c r="D340">
        <v>5</v>
      </c>
      <c r="E340">
        <v>7.4</v>
      </c>
      <c r="G340">
        <f t="shared" si="156"/>
        <v>7.4740000000000002</v>
      </c>
      <c r="H340">
        <f t="shared" si="157"/>
        <v>7.548</v>
      </c>
      <c r="I340">
        <f t="shared" si="158"/>
        <v>7.6220000000000008</v>
      </c>
      <c r="J340">
        <f t="shared" si="160"/>
        <v>7.6960000000000006</v>
      </c>
      <c r="K340">
        <f t="shared" si="159"/>
        <v>7.7700000000000005</v>
      </c>
      <c r="L340">
        <f t="shared" si="161"/>
        <v>7.8440000000000003</v>
      </c>
    </row>
    <row r="341" spans="1:12" x14ac:dyDescent="0.3">
      <c r="A341">
        <v>3</v>
      </c>
      <c r="B341">
        <v>2</v>
      </c>
      <c r="C341">
        <v>1</v>
      </c>
      <c r="D341">
        <v>6</v>
      </c>
      <c r="E341">
        <v>5.8</v>
      </c>
      <c r="G341">
        <f t="shared" si="156"/>
        <v>5.8579999999999997</v>
      </c>
      <c r="H341">
        <f t="shared" si="157"/>
        <v>5.9159999999999995</v>
      </c>
      <c r="I341">
        <f t="shared" si="158"/>
        <v>5.9740000000000002</v>
      </c>
      <c r="J341">
        <f t="shared" si="160"/>
        <v>6.032</v>
      </c>
      <c r="K341">
        <f t="shared" si="159"/>
        <v>6.09</v>
      </c>
      <c r="L341">
        <f t="shared" si="161"/>
        <v>6.1479999999999997</v>
      </c>
    </row>
    <row r="342" spans="1:12" x14ac:dyDescent="0.3">
      <c r="A342">
        <v>3</v>
      </c>
      <c r="B342">
        <v>2</v>
      </c>
      <c r="C342">
        <v>2</v>
      </c>
      <c r="D342">
        <v>1</v>
      </c>
      <c r="E342">
        <v>7.9</v>
      </c>
      <c r="G342">
        <f t="shared" si="156"/>
        <v>7.9790000000000001</v>
      </c>
      <c r="H342">
        <f t="shared" si="157"/>
        <v>8.0579999999999998</v>
      </c>
      <c r="I342">
        <f>E342+(E342*3%)</f>
        <v>8.1370000000000005</v>
      </c>
      <c r="J342">
        <f t="shared" si="160"/>
        <v>8.2160000000000011</v>
      </c>
      <c r="K342">
        <f t="shared" si="159"/>
        <v>8.2949999999999999</v>
      </c>
      <c r="L342">
        <f t="shared" si="161"/>
        <v>8.3740000000000006</v>
      </c>
    </row>
    <row r="343" spans="1:12" x14ac:dyDescent="0.3">
      <c r="A343">
        <v>3</v>
      </c>
      <c r="B343">
        <v>2</v>
      </c>
      <c r="C343">
        <v>2</v>
      </c>
      <c r="D343">
        <v>2</v>
      </c>
      <c r="E343">
        <v>5.5</v>
      </c>
      <c r="G343">
        <f t="shared" si="156"/>
        <v>5.5549999999999997</v>
      </c>
      <c r="H343">
        <f t="shared" si="157"/>
        <v>5.61</v>
      </c>
      <c r="I343">
        <f t="shared" si="158"/>
        <v>5.665</v>
      </c>
      <c r="J343">
        <f t="shared" si="160"/>
        <v>5.72</v>
      </c>
      <c r="K343">
        <f t="shared" si="159"/>
        <v>5.7750000000000004</v>
      </c>
      <c r="L343">
        <f t="shared" si="161"/>
        <v>5.83</v>
      </c>
    </row>
    <row r="344" spans="1:12" x14ac:dyDescent="0.3">
      <c r="A344">
        <v>3</v>
      </c>
      <c r="B344">
        <v>2</v>
      </c>
      <c r="C344">
        <v>2</v>
      </c>
      <c r="D344">
        <v>3</v>
      </c>
      <c r="E344">
        <v>6.2</v>
      </c>
      <c r="G344">
        <f t="shared" si="156"/>
        <v>6.2620000000000005</v>
      </c>
      <c r="H344">
        <f t="shared" si="157"/>
        <v>6.3239999999999998</v>
      </c>
      <c r="I344">
        <f t="shared" si="158"/>
        <v>6.3860000000000001</v>
      </c>
      <c r="J344">
        <f t="shared" si="160"/>
        <v>6.4480000000000004</v>
      </c>
      <c r="K344">
        <f t="shared" si="159"/>
        <v>6.51</v>
      </c>
      <c r="L344">
        <f t="shared" si="161"/>
        <v>6.5720000000000001</v>
      </c>
    </row>
    <row r="345" spans="1:12" x14ac:dyDescent="0.3">
      <c r="A345">
        <v>3</v>
      </c>
      <c r="B345">
        <v>2</v>
      </c>
      <c r="C345">
        <v>2</v>
      </c>
      <c r="D345">
        <v>4</v>
      </c>
      <c r="E345">
        <v>3.9</v>
      </c>
      <c r="G345">
        <f t="shared" si="156"/>
        <v>3.9390000000000001</v>
      </c>
      <c r="H345">
        <f t="shared" si="157"/>
        <v>3.9779999999999998</v>
      </c>
      <c r="I345">
        <f t="shared" si="158"/>
        <v>4.0169999999999995</v>
      </c>
      <c r="J345">
        <f t="shared" si="160"/>
        <v>4.056</v>
      </c>
      <c r="K345">
        <f t="shared" si="159"/>
        <v>4.0949999999999998</v>
      </c>
      <c r="L345">
        <f t="shared" si="161"/>
        <v>4.1340000000000003</v>
      </c>
    </row>
    <row r="346" spans="1:12" x14ac:dyDescent="0.3">
      <c r="A346">
        <v>3</v>
      </c>
      <c r="B346">
        <v>2</v>
      </c>
      <c r="C346">
        <v>2</v>
      </c>
      <c r="D346">
        <v>5</v>
      </c>
      <c r="E346">
        <v>7.6</v>
      </c>
      <c r="G346">
        <f t="shared" si="156"/>
        <v>7.6759999999999993</v>
      </c>
      <c r="H346">
        <f t="shared" si="157"/>
        <v>7.7519999999999998</v>
      </c>
      <c r="I346">
        <f t="shared" si="158"/>
        <v>7.8279999999999994</v>
      </c>
      <c r="J346">
        <f t="shared" si="160"/>
        <v>7.9039999999999999</v>
      </c>
      <c r="K346">
        <f t="shared" si="159"/>
        <v>7.9799999999999995</v>
      </c>
      <c r="L346">
        <f t="shared" si="161"/>
        <v>8.0559999999999992</v>
      </c>
    </row>
    <row r="347" spans="1:12" x14ac:dyDescent="0.3">
      <c r="A347">
        <v>3</v>
      </c>
      <c r="B347">
        <v>2</v>
      </c>
      <c r="C347">
        <v>2</v>
      </c>
      <c r="D347">
        <v>6</v>
      </c>
      <c r="E347">
        <v>7.3</v>
      </c>
      <c r="G347">
        <f t="shared" si="156"/>
        <v>7.3730000000000002</v>
      </c>
      <c r="H347">
        <f t="shared" si="157"/>
        <v>7.4459999999999997</v>
      </c>
      <c r="I347">
        <f t="shared" si="158"/>
        <v>7.5190000000000001</v>
      </c>
      <c r="J347">
        <f t="shared" si="160"/>
        <v>7.5919999999999996</v>
      </c>
      <c r="K347">
        <f t="shared" si="159"/>
        <v>7.665</v>
      </c>
      <c r="L347">
        <f t="shared" si="161"/>
        <v>7.7379999999999995</v>
      </c>
    </row>
    <row r="348" spans="1:12" x14ac:dyDescent="0.3">
      <c r="A348">
        <v>3</v>
      </c>
      <c r="B348">
        <v>2</v>
      </c>
      <c r="C348">
        <v>3</v>
      </c>
      <c r="D348">
        <v>1</v>
      </c>
      <c r="E348">
        <v>7.8</v>
      </c>
      <c r="G348">
        <f t="shared" si="156"/>
        <v>7.8780000000000001</v>
      </c>
      <c r="H348">
        <f t="shared" si="157"/>
        <v>7.9559999999999995</v>
      </c>
      <c r="I348">
        <f t="shared" si="158"/>
        <v>8.0339999999999989</v>
      </c>
      <c r="J348">
        <f t="shared" si="160"/>
        <v>8.1120000000000001</v>
      </c>
      <c r="K348">
        <f t="shared" si="159"/>
        <v>8.19</v>
      </c>
      <c r="L348">
        <f t="shared" si="161"/>
        <v>8.2680000000000007</v>
      </c>
    </row>
    <row r="349" spans="1:12" x14ac:dyDescent="0.3">
      <c r="A349">
        <v>3</v>
      </c>
      <c r="B349">
        <v>2</v>
      </c>
      <c r="C349">
        <v>3</v>
      </c>
      <c r="D349">
        <v>2</v>
      </c>
      <c r="E349">
        <v>5.4</v>
      </c>
      <c r="G349">
        <f t="shared" si="156"/>
        <v>5.4540000000000006</v>
      </c>
      <c r="H349">
        <f t="shared" si="157"/>
        <v>5.508</v>
      </c>
      <c r="I349">
        <f t="shared" si="158"/>
        <v>5.5620000000000003</v>
      </c>
      <c r="J349">
        <f t="shared" si="160"/>
        <v>5.6160000000000005</v>
      </c>
      <c r="K349">
        <f t="shared" si="159"/>
        <v>5.67</v>
      </c>
      <c r="L349">
        <f t="shared" si="161"/>
        <v>5.7240000000000002</v>
      </c>
    </row>
    <row r="350" spans="1:12" x14ac:dyDescent="0.3">
      <c r="A350">
        <v>3</v>
      </c>
      <c r="B350">
        <v>2</v>
      </c>
      <c r="C350">
        <v>3</v>
      </c>
      <c r="D350">
        <v>3</v>
      </c>
      <c r="E350">
        <v>5.6</v>
      </c>
      <c r="G350">
        <f t="shared" si="156"/>
        <v>5.6559999999999997</v>
      </c>
      <c r="H350">
        <f t="shared" si="157"/>
        <v>5.7119999999999997</v>
      </c>
      <c r="I350">
        <f t="shared" si="158"/>
        <v>5.7679999999999998</v>
      </c>
      <c r="J350">
        <f t="shared" si="160"/>
        <v>5.8239999999999998</v>
      </c>
      <c r="K350">
        <f t="shared" si="159"/>
        <v>5.88</v>
      </c>
      <c r="L350">
        <f t="shared" si="161"/>
        <v>5.9359999999999999</v>
      </c>
    </row>
    <row r="351" spans="1:12" x14ac:dyDescent="0.3">
      <c r="A351">
        <v>3</v>
      </c>
      <c r="B351">
        <v>2</v>
      </c>
      <c r="C351">
        <v>3</v>
      </c>
      <c r="D351">
        <v>4</v>
      </c>
      <c r="E351">
        <v>4.5999999999999996</v>
      </c>
      <c r="G351">
        <f t="shared" si="156"/>
        <v>4.6459999999999999</v>
      </c>
      <c r="H351">
        <f t="shared" si="157"/>
        <v>4.6919999999999993</v>
      </c>
      <c r="I351">
        <f t="shared" si="158"/>
        <v>4.7379999999999995</v>
      </c>
      <c r="J351">
        <f t="shared" si="160"/>
        <v>4.7839999999999998</v>
      </c>
      <c r="K351">
        <f t="shared" si="159"/>
        <v>4.83</v>
      </c>
      <c r="L351">
        <f t="shared" si="161"/>
        <v>4.8759999999999994</v>
      </c>
    </row>
    <row r="352" spans="1:12" x14ac:dyDescent="0.3">
      <c r="A352">
        <v>3</v>
      </c>
      <c r="B352">
        <v>2</v>
      </c>
      <c r="C352">
        <v>3</v>
      </c>
      <c r="D352">
        <v>5</v>
      </c>
      <c r="E352">
        <v>8.6</v>
      </c>
      <c r="G352">
        <f t="shared" si="156"/>
        <v>8.6859999999999999</v>
      </c>
      <c r="H352">
        <f t="shared" si="157"/>
        <v>8.7720000000000002</v>
      </c>
      <c r="I352">
        <f t="shared" si="158"/>
        <v>8.8580000000000005</v>
      </c>
      <c r="J352">
        <f t="shared" si="160"/>
        <v>8.9439999999999991</v>
      </c>
      <c r="K352">
        <f t="shared" si="159"/>
        <v>9.0299999999999994</v>
      </c>
      <c r="L352">
        <f t="shared" si="161"/>
        <v>9.1159999999999997</v>
      </c>
    </row>
    <row r="353" spans="1:12" x14ac:dyDescent="0.3">
      <c r="A353">
        <v>3</v>
      </c>
      <c r="B353">
        <v>2</v>
      </c>
      <c r="C353">
        <v>3</v>
      </c>
      <c r="D353">
        <v>6</v>
      </c>
      <c r="E353">
        <v>6.1</v>
      </c>
      <c r="G353">
        <f t="shared" si="156"/>
        <v>6.1609999999999996</v>
      </c>
      <c r="H353">
        <f t="shared" si="157"/>
        <v>6.2219999999999995</v>
      </c>
      <c r="I353">
        <f t="shared" si="158"/>
        <v>6.2829999999999995</v>
      </c>
      <c r="J353">
        <f t="shared" si="160"/>
        <v>6.3439999999999994</v>
      </c>
      <c r="K353">
        <f t="shared" si="159"/>
        <v>6.4049999999999994</v>
      </c>
      <c r="L353">
        <f t="shared" si="161"/>
        <v>6.4659999999999993</v>
      </c>
    </row>
    <row r="354" spans="1:12" x14ac:dyDescent="0.3">
      <c r="A354">
        <v>3</v>
      </c>
      <c r="B354">
        <v>3</v>
      </c>
      <c r="C354">
        <v>1</v>
      </c>
      <c r="D354">
        <v>1</v>
      </c>
      <c r="E354">
        <v>6.4</v>
      </c>
      <c r="G354">
        <f t="shared" si="156"/>
        <v>6.4640000000000004</v>
      </c>
      <c r="H354">
        <f t="shared" si="157"/>
        <v>6.5280000000000005</v>
      </c>
      <c r="I354">
        <f t="shared" si="158"/>
        <v>6.5920000000000005</v>
      </c>
      <c r="J354">
        <f t="shared" si="160"/>
        <v>6.6560000000000006</v>
      </c>
      <c r="K354">
        <f t="shared" si="159"/>
        <v>6.7200000000000006</v>
      </c>
      <c r="L354">
        <f t="shared" si="161"/>
        <v>6.7840000000000007</v>
      </c>
    </row>
    <row r="355" spans="1:12" x14ac:dyDescent="0.3">
      <c r="A355">
        <v>3</v>
      </c>
      <c r="B355">
        <v>3</v>
      </c>
      <c r="C355">
        <v>1</v>
      </c>
      <c r="D355">
        <v>2</v>
      </c>
      <c r="E355">
        <v>4.5</v>
      </c>
      <c r="G355">
        <f t="shared" si="156"/>
        <v>4.5449999999999999</v>
      </c>
      <c r="H355">
        <f t="shared" si="157"/>
        <v>4.59</v>
      </c>
      <c r="I355">
        <f t="shared" si="158"/>
        <v>4.6349999999999998</v>
      </c>
      <c r="J355">
        <f t="shared" si="160"/>
        <v>4.68</v>
      </c>
      <c r="K355">
        <f t="shared" si="159"/>
        <v>4.7249999999999996</v>
      </c>
      <c r="L355">
        <f t="shared" si="161"/>
        <v>4.7699999999999996</v>
      </c>
    </row>
    <row r="356" spans="1:12" x14ac:dyDescent="0.3">
      <c r="A356">
        <v>3</v>
      </c>
      <c r="B356">
        <v>3</v>
      </c>
      <c r="C356">
        <v>1</v>
      </c>
      <c r="D356">
        <v>3</v>
      </c>
      <c r="E356">
        <v>6.1</v>
      </c>
      <c r="G356">
        <f t="shared" si="156"/>
        <v>6.1609999999999996</v>
      </c>
      <c r="H356">
        <f t="shared" si="157"/>
        <v>6.2219999999999995</v>
      </c>
      <c r="I356">
        <f t="shared" si="158"/>
        <v>6.2829999999999995</v>
      </c>
      <c r="J356">
        <f t="shared" si="160"/>
        <v>6.3439999999999994</v>
      </c>
      <c r="K356">
        <f t="shared" si="159"/>
        <v>6.4049999999999994</v>
      </c>
      <c r="L356">
        <f t="shared" si="161"/>
        <v>6.4659999999999993</v>
      </c>
    </row>
    <row r="357" spans="1:12" x14ac:dyDescent="0.3">
      <c r="A357">
        <v>3</v>
      </c>
      <c r="B357">
        <v>3</v>
      </c>
      <c r="C357">
        <v>1</v>
      </c>
      <c r="D357">
        <v>4</v>
      </c>
      <c r="E357">
        <v>4.3</v>
      </c>
      <c r="G357">
        <f t="shared" si="156"/>
        <v>4.343</v>
      </c>
      <c r="H357">
        <f t="shared" si="157"/>
        <v>4.3860000000000001</v>
      </c>
      <c r="I357">
        <f t="shared" si="158"/>
        <v>4.4290000000000003</v>
      </c>
      <c r="J357">
        <f t="shared" si="160"/>
        <v>4.4719999999999995</v>
      </c>
      <c r="K357">
        <f t="shared" si="159"/>
        <v>4.5149999999999997</v>
      </c>
      <c r="L357">
        <f t="shared" si="161"/>
        <v>4.5579999999999998</v>
      </c>
    </row>
    <row r="358" spans="1:12" x14ac:dyDescent="0.3">
      <c r="A358">
        <v>3</v>
      </c>
      <c r="B358">
        <v>3</v>
      </c>
      <c r="C358">
        <v>1</v>
      </c>
      <c r="D358">
        <v>5</v>
      </c>
      <c r="E358">
        <v>7.3</v>
      </c>
      <c r="G358">
        <f t="shared" si="156"/>
        <v>7.3730000000000002</v>
      </c>
      <c r="H358">
        <f t="shared" si="157"/>
        <v>7.4459999999999997</v>
      </c>
      <c r="I358">
        <f t="shared" si="158"/>
        <v>7.5190000000000001</v>
      </c>
      <c r="J358">
        <f t="shared" si="160"/>
        <v>7.5919999999999996</v>
      </c>
      <c r="K358">
        <f t="shared" si="159"/>
        <v>7.665</v>
      </c>
      <c r="L358">
        <f t="shared" si="161"/>
        <v>7.7379999999999995</v>
      </c>
    </row>
    <row r="359" spans="1:12" x14ac:dyDescent="0.3">
      <c r="A359">
        <v>3</v>
      </c>
      <c r="B359">
        <v>3</v>
      </c>
      <c r="C359">
        <v>1</v>
      </c>
      <c r="D359">
        <v>6</v>
      </c>
      <c r="E359">
        <v>2.9</v>
      </c>
      <c r="G359">
        <f t="shared" si="156"/>
        <v>2.9289999999999998</v>
      </c>
      <c r="H359">
        <f t="shared" si="157"/>
        <v>2.9579999999999997</v>
      </c>
      <c r="I359">
        <f t="shared" si="158"/>
        <v>2.9870000000000001</v>
      </c>
      <c r="J359">
        <f t="shared" si="160"/>
        <v>3.016</v>
      </c>
      <c r="K359">
        <f t="shared" si="159"/>
        <v>3.0449999999999999</v>
      </c>
      <c r="L359">
        <f t="shared" si="161"/>
        <v>3.0739999999999998</v>
      </c>
    </row>
    <row r="360" spans="1:12" x14ac:dyDescent="0.3">
      <c r="A360">
        <v>3</v>
      </c>
      <c r="B360">
        <v>3</v>
      </c>
      <c r="C360">
        <v>2</v>
      </c>
      <c r="D360">
        <v>1</v>
      </c>
      <c r="E360">
        <v>7.3</v>
      </c>
      <c r="G360">
        <f t="shared" si="156"/>
        <v>7.3730000000000002</v>
      </c>
      <c r="H360">
        <f t="shared" si="157"/>
        <v>7.4459999999999997</v>
      </c>
      <c r="I360">
        <f t="shared" si="158"/>
        <v>7.5190000000000001</v>
      </c>
      <c r="J360">
        <f t="shared" si="160"/>
        <v>7.5919999999999996</v>
      </c>
      <c r="K360">
        <f t="shared" si="159"/>
        <v>7.665</v>
      </c>
      <c r="L360">
        <f t="shared" si="161"/>
        <v>7.7379999999999995</v>
      </c>
    </row>
    <row r="361" spans="1:12" x14ac:dyDescent="0.3">
      <c r="A361">
        <v>3</v>
      </c>
      <c r="B361">
        <v>3</v>
      </c>
      <c r="C361">
        <v>2</v>
      </c>
      <c r="D361">
        <v>2</v>
      </c>
      <c r="E361">
        <v>4.3</v>
      </c>
      <c r="G361">
        <f t="shared" si="156"/>
        <v>4.343</v>
      </c>
      <c r="H361">
        <f t="shared" si="157"/>
        <v>4.3860000000000001</v>
      </c>
      <c r="I361">
        <f t="shared" si="158"/>
        <v>4.4290000000000003</v>
      </c>
      <c r="J361">
        <f t="shared" si="160"/>
        <v>4.4719999999999995</v>
      </c>
      <c r="K361">
        <f t="shared" si="159"/>
        <v>4.5149999999999997</v>
      </c>
      <c r="L361">
        <f t="shared" si="161"/>
        <v>4.5579999999999998</v>
      </c>
    </row>
    <row r="362" spans="1:12" x14ac:dyDescent="0.3">
      <c r="A362">
        <v>3</v>
      </c>
      <c r="B362">
        <v>3</v>
      </c>
      <c r="C362">
        <v>2</v>
      </c>
      <c r="D362">
        <v>3</v>
      </c>
      <c r="E362">
        <v>6.6</v>
      </c>
      <c r="G362">
        <f t="shared" ref="G362:G425" si="162">E362+(E362*1%)</f>
        <v>6.6659999999999995</v>
      </c>
      <c r="H362">
        <f t="shared" ref="H362:H425" si="163">E362+(E362*2%)</f>
        <v>6.7319999999999993</v>
      </c>
      <c r="I362">
        <f t="shared" ref="I362:I425" si="164">E362+(E362*3%)</f>
        <v>6.798</v>
      </c>
      <c r="J362">
        <f t="shared" si="160"/>
        <v>6.8639999999999999</v>
      </c>
      <c r="K362">
        <f t="shared" ref="K362:K425" si="165">E362+(E362*5%)</f>
        <v>6.93</v>
      </c>
      <c r="L362">
        <f t="shared" si="161"/>
        <v>6.9959999999999996</v>
      </c>
    </row>
    <row r="363" spans="1:12" x14ac:dyDescent="0.3">
      <c r="A363">
        <v>3</v>
      </c>
      <c r="B363">
        <v>3</v>
      </c>
      <c r="C363">
        <v>2</v>
      </c>
      <c r="D363">
        <v>4</v>
      </c>
      <c r="E363">
        <v>5.0999999999999996</v>
      </c>
      <c r="G363">
        <f t="shared" si="162"/>
        <v>5.1509999999999998</v>
      </c>
      <c r="H363">
        <f t="shared" si="163"/>
        <v>5.202</v>
      </c>
      <c r="I363">
        <f t="shared" si="164"/>
        <v>5.2529999999999992</v>
      </c>
      <c r="J363">
        <f t="shared" si="160"/>
        <v>5.3039999999999994</v>
      </c>
      <c r="K363">
        <f t="shared" si="165"/>
        <v>5.3549999999999995</v>
      </c>
      <c r="L363">
        <f t="shared" si="161"/>
        <v>5.4059999999999997</v>
      </c>
    </row>
    <row r="364" spans="1:12" x14ac:dyDescent="0.3">
      <c r="A364">
        <v>3</v>
      </c>
      <c r="B364">
        <v>3</v>
      </c>
      <c r="C364">
        <v>2</v>
      </c>
      <c r="D364">
        <v>5</v>
      </c>
      <c r="E364">
        <v>4.0999999999999996</v>
      </c>
      <c r="G364">
        <f t="shared" si="162"/>
        <v>4.141</v>
      </c>
      <c r="H364">
        <f t="shared" si="163"/>
        <v>4.1819999999999995</v>
      </c>
      <c r="I364">
        <f t="shared" si="164"/>
        <v>4.2229999999999999</v>
      </c>
      <c r="J364">
        <f t="shared" si="160"/>
        <v>4.2639999999999993</v>
      </c>
      <c r="K364">
        <f t="shared" si="165"/>
        <v>4.3049999999999997</v>
      </c>
      <c r="L364">
        <f t="shared" si="161"/>
        <v>4.3459999999999992</v>
      </c>
    </row>
    <row r="365" spans="1:12" x14ac:dyDescent="0.3">
      <c r="A365">
        <v>3</v>
      </c>
      <c r="B365">
        <v>3</v>
      </c>
      <c r="C365">
        <v>2</v>
      </c>
      <c r="D365">
        <v>6</v>
      </c>
      <c r="E365">
        <v>4.5</v>
      </c>
      <c r="G365">
        <f t="shared" si="162"/>
        <v>4.5449999999999999</v>
      </c>
      <c r="H365">
        <f t="shared" si="163"/>
        <v>4.59</v>
      </c>
      <c r="I365">
        <f t="shared" si="164"/>
        <v>4.6349999999999998</v>
      </c>
      <c r="J365">
        <f t="shared" si="160"/>
        <v>4.68</v>
      </c>
      <c r="K365">
        <f t="shared" si="165"/>
        <v>4.7249999999999996</v>
      </c>
      <c r="L365">
        <f t="shared" si="161"/>
        <v>4.7699999999999996</v>
      </c>
    </row>
    <row r="366" spans="1:12" x14ac:dyDescent="0.3">
      <c r="A366">
        <v>3</v>
      </c>
      <c r="B366">
        <v>3</v>
      </c>
      <c r="C366">
        <v>3</v>
      </c>
      <c r="D366">
        <v>1</v>
      </c>
      <c r="E366">
        <v>6.3</v>
      </c>
      <c r="G366">
        <f t="shared" si="162"/>
        <v>6.3629999999999995</v>
      </c>
      <c r="H366">
        <f t="shared" si="163"/>
        <v>6.4260000000000002</v>
      </c>
      <c r="I366">
        <f t="shared" si="164"/>
        <v>6.4889999999999999</v>
      </c>
      <c r="J366">
        <f t="shared" si="160"/>
        <v>6.5519999999999996</v>
      </c>
      <c r="K366">
        <f>E366+(E366*5%)</f>
        <v>6.6150000000000002</v>
      </c>
      <c r="L366">
        <f t="shared" si="161"/>
        <v>6.6779999999999999</v>
      </c>
    </row>
    <row r="367" spans="1:12" x14ac:dyDescent="0.3">
      <c r="A367">
        <v>3</v>
      </c>
      <c r="B367">
        <v>3</v>
      </c>
      <c r="C367">
        <v>3</v>
      </c>
      <c r="D367">
        <v>2</v>
      </c>
      <c r="E367">
        <v>4.5</v>
      </c>
      <c r="G367">
        <f t="shared" si="162"/>
        <v>4.5449999999999999</v>
      </c>
      <c r="H367">
        <f t="shared" si="163"/>
        <v>4.59</v>
      </c>
      <c r="I367">
        <f t="shared" si="164"/>
        <v>4.6349999999999998</v>
      </c>
      <c r="J367">
        <f t="shared" ref="J367:J425" si="166">E367+(E367*4%)</f>
        <v>4.68</v>
      </c>
      <c r="K367">
        <f t="shared" si="165"/>
        <v>4.7249999999999996</v>
      </c>
      <c r="L367">
        <f t="shared" si="161"/>
        <v>4.7699999999999996</v>
      </c>
    </row>
    <row r="368" spans="1:12" x14ac:dyDescent="0.3">
      <c r="A368">
        <v>3</v>
      </c>
      <c r="B368">
        <v>3</v>
      </c>
      <c r="C368">
        <v>3</v>
      </c>
      <c r="D368">
        <v>3</v>
      </c>
      <c r="E368">
        <v>6.1</v>
      </c>
      <c r="G368">
        <f t="shared" si="162"/>
        <v>6.1609999999999996</v>
      </c>
      <c r="H368">
        <f t="shared" si="163"/>
        <v>6.2219999999999995</v>
      </c>
      <c r="I368">
        <f t="shared" si="164"/>
        <v>6.2829999999999995</v>
      </c>
      <c r="J368">
        <f t="shared" si="166"/>
        <v>6.3439999999999994</v>
      </c>
      <c r="K368">
        <f t="shared" si="165"/>
        <v>6.4049999999999994</v>
      </c>
      <c r="L368">
        <f t="shared" si="161"/>
        <v>6.4659999999999993</v>
      </c>
    </row>
    <row r="369" spans="1:12" x14ac:dyDescent="0.3">
      <c r="A369">
        <v>3</v>
      </c>
      <c r="B369">
        <v>3</v>
      </c>
      <c r="C369">
        <v>3</v>
      </c>
      <c r="D369">
        <v>4</v>
      </c>
      <c r="E369">
        <v>7.2</v>
      </c>
      <c r="G369">
        <f t="shared" si="162"/>
        <v>7.2720000000000002</v>
      </c>
      <c r="H369">
        <f t="shared" si="163"/>
        <v>7.3440000000000003</v>
      </c>
      <c r="I369">
        <f t="shared" si="164"/>
        <v>7.4160000000000004</v>
      </c>
      <c r="J369">
        <f t="shared" si="166"/>
        <v>7.4880000000000004</v>
      </c>
      <c r="K369">
        <f t="shared" si="165"/>
        <v>7.5600000000000005</v>
      </c>
      <c r="L369">
        <f t="shared" si="161"/>
        <v>7.6320000000000006</v>
      </c>
    </row>
    <row r="370" spans="1:12" x14ac:dyDescent="0.3">
      <c r="A370">
        <v>3</v>
      </c>
      <c r="B370">
        <v>3</v>
      </c>
      <c r="C370">
        <v>3</v>
      </c>
      <c r="D370">
        <v>5</v>
      </c>
      <c r="E370">
        <v>6.5</v>
      </c>
      <c r="G370">
        <f t="shared" si="162"/>
        <v>6.5650000000000004</v>
      </c>
      <c r="H370">
        <f t="shared" si="163"/>
        <v>6.63</v>
      </c>
      <c r="I370">
        <f t="shared" si="164"/>
        <v>6.6950000000000003</v>
      </c>
      <c r="J370">
        <f t="shared" si="166"/>
        <v>6.76</v>
      </c>
      <c r="K370">
        <f t="shared" si="165"/>
        <v>6.8250000000000002</v>
      </c>
      <c r="L370">
        <f t="shared" si="161"/>
        <v>6.89</v>
      </c>
    </row>
    <row r="371" spans="1:12" x14ac:dyDescent="0.3">
      <c r="A371">
        <v>3</v>
      </c>
      <c r="B371">
        <v>3</v>
      </c>
      <c r="C371">
        <v>3</v>
      </c>
      <c r="D371">
        <v>6</v>
      </c>
      <c r="E371">
        <v>7.1</v>
      </c>
      <c r="G371">
        <f t="shared" si="162"/>
        <v>7.1709999999999994</v>
      </c>
      <c r="H371">
        <f t="shared" si="163"/>
        <v>7.242</v>
      </c>
      <c r="I371">
        <f t="shared" si="164"/>
        <v>7.3129999999999997</v>
      </c>
      <c r="J371">
        <f t="shared" si="166"/>
        <v>7.3839999999999995</v>
      </c>
      <c r="K371">
        <f t="shared" si="165"/>
        <v>7.4550000000000001</v>
      </c>
      <c r="L371">
        <f t="shared" si="161"/>
        <v>7.5259999999999998</v>
      </c>
    </row>
    <row r="372" spans="1:12" x14ac:dyDescent="0.3">
      <c r="A372">
        <v>4</v>
      </c>
      <c r="B372">
        <v>1</v>
      </c>
      <c r="C372">
        <v>1</v>
      </c>
      <c r="D372">
        <v>1</v>
      </c>
      <c r="E372">
        <v>2.4</v>
      </c>
      <c r="G372">
        <f t="shared" si="162"/>
        <v>2.4239999999999999</v>
      </c>
      <c r="H372">
        <f t="shared" si="163"/>
        <v>2.448</v>
      </c>
      <c r="I372">
        <f t="shared" si="164"/>
        <v>2.472</v>
      </c>
      <c r="J372">
        <f t="shared" si="166"/>
        <v>2.496</v>
      </c>
      <c r="K372">
        <f t="shared" si="165"/>
        <v>2.52</v>
      </c>
      <c r="L372">
        <f t="shared" si="161"/>
        <v>2.544</v>
      </c>
    </row>
    <row r="373" spans="1:12" x14ac:dyDescent="0.3">
      <c r="A373">
        <v>4</v>
      </c>
      <c r="B373">
        <v>1</v>
      </c>
      <c r="C373">
        <v>1</v>
      </c>
      <c r="D373">
        <v>2</v>
      </c>
      <c r="E373">
        <v>7.3</v>
      </c>
      <c r="G373">
        <f t="shared" si="162"/>
        <v>7.3730000000000002</v>
      </c>
      <c r="H373">
        <f t="shared" si="163"/>
        <v>7.4459999999999997</v>
      </c>
      <c r="I373">
        <f t="shared" si="164"/>
        <v>7.5190000000000001</v>
      </c>
      <c r="J373">
        <f t="shared" si="166"/>
        <v>7.5919999999999996</v>
      </c>
      <c r="K373">
        <f t="shared" si="165"/>
        <v>7.665</v>
      </c>
      <c r="L373">
        <f t="shared" si="161"/>
        <v>7.7379999999999995</v>
      </c>
    </row>
    <row r="374" spans="1:12" x14ac:dyDescent="0.3">
      <c r="A374">
        <v>4</v>
      </c>
      <c r="B374">
        <v>1</v>
      </c>
      <c r="C374">
        <v>1</v>
      </c>
      <c r="D374">
        <v>3</v>
      </c>
      <c r="E374">
        <v>5.6</v>
      </c>
      <c r="G374">
        <f t="shared" si="162"/>
        <v>5.6559999999999997</v>
      </c>
      <c r="H374">
        <f t="shared" si="163"/>
        <v>5.7119999999999997</v>
      </c>
      <c r="I374">
        <f t="shared" si="164"/>
        <v>5.7679999999999998</v>
      </c>
      <c r="J374">
        <f t="shared" si="166"/>
        <v>5.8239999999999998</v>
      </c>
      <c r="K374">
        <f t="shared" si="165"/>
        <v>5.88</v>
      </c>
      <c r="L374">
        <f t="shared" si="161"/>
        <v>5.9359999999999999</v>
      </c>
    </row>
    <row r="375" spans="1:12" x14ac:dyDescent="0.3">
      <c r="A375">
        <v>4</v>
      </c>
      <c r="B375">
        <v>1</v>
      </c>
      <c r="C375">
        <v>1</v>
      </c>
      <c r="D375">
        <v>4</v>
      </c>
      <c r="E375">
        <v>3.8</v>
      </c>
      <c r="G375">
        <f t="shared" si="162"/>
        <v>3.8379999999999996</v>
      </c>
      <c r="H375">
        <f t="shared" si="163"/>
        <v>3.8759999999999999</v>
      </c>
      <c r="I375">
        <f t="shared" si="164"/>
        <v>3.9139999999999997</v>
      </c>
      <c r="J375">
        <f t="shared" si="166"/>
        <v>3.952</v>
      </c>
      <c r="K375">
        <f t="shared" si="165"/>
        <v>3.9899999999999998</v>
      </c>
      <c r="L375">
        <f t="shared" si="161"/>
        <v>4.0279999999999996</v>
      </c>
    </row>
    <row r="376" spans="1:12" x14ac:dyDescent="0.3">
      <c r="A376">
        <v>4</v>
      </c>
      <c r="B376">
        <v>1</v>
      </c>
      <c r="C376">
        <v>1</v>
      </c>
      <c r="D376">
        <v>5</v>
      </c>
      <c r="E376">
        <v>2.4</v>
      </c>
      <c r="G376">
        <f t="shared" si="162"/>
        <v>2.4239999999999999</v>
      </c>
      <c r="H376">
        <f t="shared" si="163"/>
        <v>2.448</v>
      </c>
      <c r="I376">
        <f t="shared" si="164"/>
        <v>2.472</v>
      </c>
      <c r="J376">
        <f t="shared" si="166"/>
        <v>2.496</v>
      </c>
      <c r="K376">
        <f t="shared" si="165"/>
        <v>2.52</v>
      </c>
      <c r="L376">
        <f t="shared" si="161"/>
        <v>2.544</v>
      </c>
    </row>
    <row r="377" spans="1:12" x14ac:dyDescent="0.3">
      <c r="A377">
        <v>4</v>
      </c>
      <c r="B377">
        <v>1</v>
      </c>
      <c r="C377">
        <v>1</v>
      </c>
      <c r="D377">
        <v>6</v>
      </c>
      <c r="E377">
        <v>6.4</v>
      </c>
      <c r="G377">
        <f t="shared" si="162"/>
        <v>6.4640000000000004</v>
      </c>
      <c r="H377">
        <f t="shared" si="163"/>
        <v>6.5280000000000005</v>
      </c>
      <c r="I377">
        <f t="shared" si="164"/>
        <v>6.5920000000000005</v>
      </c>
      <c r="J377">
        <f t="shared" si="166"/>
        <v>6.6560000000000006</v>
      </c>
      <c r="K377">
        <f t="shared" si="165"/>
        <v>6.7200000000000006</v>
      </c>
      <c r="L377">
        <f t="shared" si="161"/>
        <v>6.7840000000000007</v>
      </c>
    </row>
    <row r="378" spans="1:12" x14ac:dyDescent="0.3">
      <c r="A378">
        <v>4</v>
      </c>
      <c r="B378">
        <v>1</v>
      </c>
      <c r="C378">
        <v>2</v>
      </c>
      <c r="D378">
        <v>1</v>
      </c>
      <c r="E378">
        <v>5.6</v>
      </c>
      <c r="G378">
        <f t="shared" si="162"/>
        <v>5.6559999999999997</v>
      </c>
      <c r="H378">
        <f t="shared" si="163"/>
        <v>5.7119999999999997</v>
      </c>
      <c r="I378">
        <f t="shared" si="164"/>
        <v>5.7679999999999998</v>
      </c>
      <c r="J378">
        <f t="shared" si="166"/>
        <v>5.8239999999999998</v>
      </c>
      <c r="K378">
        <f t="shared" si="165"/>
        <v>5.88</v>
      </c>
      <c r="L378">
        <f t="shared" si="161"/>
        <v>5.9359999999999999</v>
      </c>
    </row>
    <row r="379" spans="1:12" x14ac:dyDescent="0.3">
      <c r="A379">
        <v>4</v>
      </c>
      <c r="B379">
        <v>1</v>
      </c>
      <c r="C379">
        <v>2</v>
      </c>
      <c r="D379">
        <v>2</v>
      </c>
      <c r="E379">
        <v>2.8</v>
      </c>
      <c r="G379">
        <f t="shared" si="162"/>
        <v>2.8279999999999998</v>
      </c>
      <c r="H379">
        <f t="shared" si="163"/>
        <v>2.8559999999999999</v>
      </c>
      <c r="I379">
        <f t="shared" si="164"/>
        <v>2.8839999999999999</v>
      </c>
      <c r="J379">
        <f t="shared" si="166"/>
        <v>2.9119999999999999</v>
      </c>
      <c r="K379">
        <f t="shared" si="165"/>
        <v>2.94</v>
      </c>
      <c r="L379">
        <f t="shared" si="161"/>
        <v>2.968</v>
      </c>
    </row>
    <row r="380" spans="1:12" x14ac:dyDescent="0.3">
      <c r="A380">
        <v>4</v>
      </c>
      <c r="B380">
        <v>1</v>
      </c>
      <c r="C380">
        <v>2</v>
      </c>
      <c r="D380">
        <v>3</v>
      </c>
      <c r="E380">
        <v>4.5999999999999996</v>
      </c>
      <c r="G380">
        <f t="shared" si="162"/>
        <v>4.6459999999999999</v>
      </c>
      <c r="H380">
        <f t="shared" si="163"/>
        <v>4.6919999999999993</v>
      </c>
      <c r="I380">
        <f t="shared" si="164"/>
        <v>4.7379999999999995</v>
      </c>
      <c r="J380">
        <f t="shared" si="166"/>
        <v>4.7839999999999998</v>
      </c>
      <c r="K380">
        <f t="shared" si="165"/>
        <v>4.83</v>
      </c>
      <c r="L380">
        <f t="shared" si="161"/>
        <v>4.8759999999999994</v>
      </c>
    </row>
    <row r="381" spans="1:12" x14ac:dyDescent="0.3">
      <c r="A381">
        <v>4</v>
      </c>
      <c r="B381">
        <v>1</v>
      </c>
      <c r="C381">
        <v>2</v>
      </c>
      <c r="D381">
        <v>4</v>
      </c>
      <c r="E381">
        <v>3.7</v>
      </c>
      <c r="G381">
        <f t="shared" si="162"/>
        <v>3.7370000000000001</v>
      </c>
      <c r="H381">
        <f t="shared" si="163"/>
        <v>3.774</v>
      </c>
      <c r="I381">
        <f t="shared" si="164"/>
        <v>3.8110000000000004</v>
      </c>
      <c r="J381">
        <f t="shared" si="166"/>
        <v>3.8480000000000003</v>
      </c>
      <c r="K381">
        <f t="shared" si="165"/>
        <v>3.8850000000000002</v>
      </c>
      <c r="L381">
        <f t="shared" si="161"/>
        <v>3.9220000000000002</v>
      </c>
    </row>
    <row r="382" spans="1:12" x14ac:dyDescent="0.3">
      <c r="A382">
        <v>4</v>
      </c>
      <c r="B382">
        <v>1</v>
      </c>
      <c r="C382">
        <v>2</v>
      </c>
      <c r="D382">
        <v>5</v>
      </c>
      <c r="E382">
        <v>3.8</v>
      </c>
      <c r="G382">
        <f t="shared" si="162"/>
        <v>3.8379999999999996</v>
      </c>
      <c r="H382">
        <f t="shared" si="163"/>
        <v>3.8759999999999999</v>
      </c>
      <c r="I382">
        <f t="shared" si="164"/>
        <v>3.9139999999999997</v>
      </c>
      <c r="J382">
        <f t="shared" si="166"/>
        <v>3.952</v>
      </c>
      <c r="K382">
        <f t="shared" si="165"/>
        <v>3.9899999999999998</v>
      </c>
      <c r="L382">
        <f t="shared" si="161"/>
        <v>4.0279999999999996</v>
      </c>
    </row>
    <row r="383" spans="1:12" x14ac:dyDescent="0.3">
      <c r="A383">
        <v>4</v>
      </c>
      <c r="B383">
        <v>1</v>
      </c>
      <c r="C383">
        <v>2</v>
      </c>
      <c r="D383">
        <v>6</v>
      </c>
      <c r="E383">
        <v>7.3</v>
      </c>
      <c r="G383">
        <f t="shared" si="162"/>
        <v>7.3730000000000002</v>
      </c>
      <c r="H383">
        <f t="shared" si="163"/>
        <v>7.4459999999999997</v>
      </c>
      <c r="I383">
        <f t="shared" si="164"/>
        <v>7.5190000000000001</v>
      </c>
      <c r="J383">
        <f t="shared" si="166"/>
        <v>7.5919999999999996</v>
      </c>
      <c r="K383">
        <f t="shared" si="165"/>
        <v>7.665</v>
      </c>
      <c r="L383">
        <f t="shared" si="161"/>
        <v>7.7379999999999995</v>
      </c>
    </row>
    <row r="384" spans="1:12" x14ac:dyDescent="0.3">
      <c r="A384">
        <v>4</v>
      </c>
      <c r="B384">
        <v>1</v>
      </c>
      <c r="C384">
        <v>3</v>
      </c>
      <c r="D384">
        <v>1</v>
      </c>
      <c r="E384">
        <v>6.2</v>
      </c>
      <c r="G384">
        <f>E384+(E384*1%)</f>
        <v>6.2620000000000005</v>
      </c>
      <c r="H384">
        <f t="shared" si="163"/>
        <v>6.3239999999999998</v>
      </c>
      <c r="I384">
        <f t="shared" si="164"/>
        <v>6.3860000000000001</v>
      </c>
      <c r="J384">
        <f t="shared" si="166"/>
        <v>6.4480000000000004</v>
      </c>
      <c r="K384">
        <f t="shared" si="165"/>
        <v>6.51</v>
      </c>
      <c r="L384">
        <f t="shared" si="161"/>
        <v>6.5720000000000001</v>
      </c>
    </row>
    <row r="385" spans="1:12" x14ac:dyDescent="0.3">
      <c r="A385">
        <v>4</v>
      </c>
      <c r="B385">
        <v>1</v>
      </c>
      <c r="C385">
        <v>3</v>
      </c>
      <c r="D385">
        <v>2</v>
      </c>
      <c r="E385">
        <v>8.5</v>
      </c>
      <c r="G385">
        <f t="shared" si="162"/>
        <v>8.5850000000000009</v>
      </c>
      <c r="H385">
        <f t="shared" si="163"/>
        <v>8.67</v>
      </c>
      <c r="I385">
        <f t="shared" si="164"/>
        <v>8.7550000000000008</v>
      </c>
      <c r="J385">
        <f t="shared" si="166"/>
        <v>8.84</v>
      </c>
      <c r="K385">
        <f t="shared" si="165"/>
        <v>8.9250000000000007</v>
      </c>
      <c r="L385">
        <f t="shared" si="161"/>
        <v>9.01</v>
      </c>
    </row>
    <row r="386" spans="1:12" x14ac:dyDescent="0.3">
      <c r="A386">
        <v>4</v>
      </c>
      <c r="B386">
        <v>1</v>
      </c>
      <c r="C386">
        <v>3</v>
      </c>
      <c r="D386">
        <v>3</v>
      </c>
      <c r="E386">
        <v>8.1999999999999993</v>
      </c>
      <c r="G386">
        <f t="shared" si="162"/>
        <v>8.282</v>
      </c>
      <c r="H386">
        <f t="shared" si="163"/>
        <v>8.363999999999999</v>
      </c>
      <c r="I386">
        <f t="shared" si="164"/>
        <v>8.4459999999999997</v>
      </c>
      <c r="J386">
        <f t="shared" si="166"/>
        <v>8.5279999999999987</v>
      </c>
      <c r="K386">
        <f t="shared" si="165"/>
        <v>8.61</v>
      </c>
      <c r="L386">
        <f t="shared" si="161"/>
        <v>8.6919999999999984</v>
      </c>
    </row>
    <row r="387" spans="1:12" x14ac:dyDescent="0.3">
      <c r="A387">
        <v>4</v>
      </c>
      <c r="B387">
        <v>1</v>
      </c>
      <c r="C387">
        <v>3</v>
      </c>
      <c r="D387">
        <v>4</v>
      </c>
      <c r="E387">
        <v>7.9</v>
      </c>
      <c r="G387">
        <f t="shared" si="162"/>
        <v>7.9790000000000001</v>
      </c>
      <c r="H387">
        <f t="shared" si="163"/>
        <v>8.0579999999999998</v>
      </c>
      <c r="I387">
        <f t="shared" si="164"/>
        <v>8.1370000000000005</v>
      </c>
      <c r="J387">
        <f t="shared" si="166"/>
        <v>8.2160000000000011</v>
      </c>
      <c r="K387">
        <f t="shared" si="165"/>
        <v>8.2949999999999999</v>
      </c>
      <c r="L387">
        <f t="shared" si="161"/>
        <v>8.3740000000000006</v>
      </c>
    </row>
    <row r="388" spans="1:12" x14ac:dyDescent="0.3">
      <c r="A388">
        <v>4</v>
      </c>
      <c r="B388">
        <v>1</v>
      </c>
      <c r="C388">
        <v>3</v>
      </c>
      <c r="D388">
        <v>5</v>
      </c>
      <c r="E388">
        <v>2.9</v>
      </c>
      <c r="G388">
        <f t="shared" si="162"/>
        <v>2.9289999999999998</v>
      </c>
      <c r="H388">
        <f t="shared" si="163"/>
        <v>2.9579999999999997</v>
      </c>
      <c r="I388">
        <f t="shared" si="164"/>
        <v>2.9870000000000001</v>
      </c>
      <c r="J388">
        <f t="shared" si="166"/>
        <v>3.016</v>
      </c>
      <c r="K388">
        <f t="shared" si="165"/>
        <v>3.0449999999999999</v>
      </c>
      <c r="L388">
        <f t="shared" si="161"/>
        <v>3.0739999999999998</v>
      </c>
    </row>
    <row r="389" spans="1:12" x14ac:dyDescent="0.3">
      <c r="A389">
        <v>4</v>
      </c>
      <c r="B389">
        <v>1</v>
      </c>
      <c r="C389">
        <v>3</v>
      </c>
      <c r="D389">
        <v>6</v>
      </c>
      <c r="E389">
        <v>5.8</v>
      </c>
      <c r="G389">
        <f t="shared" si="162"/>
        <v>5.8579999999999997</v>
      </c>
      <c r="H389">
        <f t="shared" si="163"/>
        <v>5.9159999999999995</v>
      </c>
      <c r="I389">
        <f t="shared" si="164"/>
        <v>5.9740000000000002</v>
      </c>
      <c r="J389">
        <f t="shared" si="166"/>
        <v>6.032</v>
      </c>
      <c r="K389">
        <f t="shared" si="165"/>
        <v>6.09</v>
      </c>
      <c r="L389">
        <f t="shared" si="161"/>
        <v>6.1479999999999997</v>
      </c>
    </row>
    <row r="390" spans="1:12" x14ac:dyDescent="0.3">
      <c r="A390">
        <v>4</v>
      </c>
      <c r="B390">
        <v>2</v>
      </c>
      <c r="C390">
        <v>1</v>
      </c>
      <c r="D390">
        <v>1</v>
      </c>
      <c r="E390">
        <v>4.5999999999999996</v>
      </c>
      <c r="G390">
        <f t="shared" si="162"/>
        <v>4.6459999999999999</v>
      </c>
      <c r="H390">
        <f t="shared" si="163"/>
        <v>4.6919999999999993</v>
      </c>
      <c r="I390">
        <f t="shared" si="164"/>
        <v>4.7379999999999995</v>
      </c>
      <c r="J390">
        <f t="shared" si="166"/>
        <v>4.7839999999999998</v>
      </c>
      <c r="K390">
        <f t="shared" si="165"/>
        <v>4.83</v>
      </c>
      <c r="L390">
        <f t="shared" si="161"/>
        <v>4.8759999999999994</v>
      </c>
    </row>
    <row r="391" spans="1:12" x14ac:dyDescent="0.3">
      <c r="A391">
        <v>4</v>
      </c>
      <c r="B391">
        <v>2</v>
      </c>
      <c r="C391">
        <v>1</v>
      </c>
      <c r="D391">
        <v>2</v>
      </c>
      <c r="E391">
        <v>7.5</v>
      </c>
      <c r="G391">
        <f t="shared" si="162"/>
        <v>7.5750000000000002</v>
      </c>
      <c r="H391">
        <f t="shared" si="163"/>
        <v>7.65</v>
      </c>
      <c r="I391">
        <f t="shared" si="164"/>
        <v>7.7249999999999996</v>
      </c>
      <c r="J391">
        <f t="shared" si="166"/>
        <v>7.8</v>
      </c>
      <c r="K391">
        <f t="shared" si="165"/>
        <v>7.875</v>
      </c>
      <c r="L391">
        <f t="shared" si="161"/>
        <v>7.95</v>
      </c>
    </row>
    <row r="392" spans="1:12" x14ac:dyDescent="0.3">
      <c r="A392">
        <v>4</v>
      </c>
      <c r="B392">
        <v>2</v>
      </c>
      <c r="C392">
        <v>1</v>
      </c>
      <c r="D392">
        <v>3</v>
      </c>
      <c r="E392">
        <v>7.8</v>
      </c>
      <c r="G392">
        <f t="shared" si="162"/>
        <v>7.8780000000000001</v>
      </c>
      <c r="H392">
        <f t="shared" si="163"/>
        <v>7.9559999999999995</v>
      </c>
      <c r="I392">
        <f t="shared" si="164"/>
        <v>8.0339999999999989</v>
      </c>
      <c r="J392">
        <f t="shared" si="166"/>
        <v>8.1120000000000001</v>
      </c>
      <c r="K392">
        <f t="shared" si="165"/>
        <v>8.19</v>
      </c>
      <c r="L392">
        <f t="shared" si="161"/>
        <v>8.2680000000000007</v>
      </c>
    </row>
    <row r="393" spans="1:12" x14ac:dyDescent="0.3">
      <c r="A393">
        <v>4</v>
      </c>
      <c r="B393">
        <v>2</v>
      </c>
      <c r="C393">
        <v>1</v>
      </c>
      <c r="D393">
        <v>4</v>
      </c>
      <c r="E393">
        <v>5.7</v>
      </c>
      <c r="G393">
        <f t="shared" si="162"/>
        <v>5.7570000000000006</v>
      </c>
      <c r="H393">
        <f t="shared" si="163"/>
        <v>5.8140000000000001</v>
      </c>
      <c r="I393">
        <f t="shared" si="164"/>
        <v>5.8710000000000004</v>
      </c>
      <c r="J393">
        <f t="shared" si="166"/>
        <v>5.9279999999999999</v>
      </c>
      <c r="K393">
        <f t="shared" si="165"/>
        <v>5.9850000000000003</v>
      </c>
      <c r="L393">
        <f t="shared" si="161"/>
        <v>6.0419999999999998</v>
      </c>
    </row>
    <row r="394" spans="1:12" x14ac:dyDescent="0.3">
      <c r="A394">
        <v>4</v>
      </c>
      <c r="B394">
        <v>2</v>
      </c>
      <c r="C394">
        <v>1</v>
      </c>
      <c r="D394">
        <v>5</v>
      </c>
      <c r="E394">
        <v>8.5</v>
      </c>
      <c r="G394">
        <f t="shared" si="162"/>
        <v>8.5850000000000009</v>
      </c>
      <c r="H394">
        <f t="shared" si="163"/>
        <v>8.67</v>
      </c>
      <c r="I394">
        <f t="shared" si="164"/>
        <v>8.7550000000000008</v>
      </c>
      <c r="J394">
        <f t="shared" si="166"/>
        <v>8.84</v>
      </c>
      <c r="K394">
        <f t="shared" si="165"/>
        <v>8.9250000000000007</v>
      </c>
      <c r="L394">
        <f t="shared" si="161"/>
        <v>9.01</v>
      </c>
    </row>
    <row r="395" spans="1:12" x14ac:dyDescent="0.3">
      <c r="A395">
        <v>4</v>
      </c>
      <c r="B395">
        <v>2</v>
      </c>
      <c r="C395">
        <v>1</v>
      </c>
      <c r="D395">
        <v>6</v>
      </c>
      <c r="E395">
        <v>7.8</v>
      </c>
      <c r="G395">
        <f t="shared" si="162"/>
        <v>7.8780000000000001</v>
      </c>
      <c r="H395">
        <f t="shared" si="163"/>
        <v>7.9559999999999995</v>
      </c>
      <c r="I395">
        <f t="shared" si="164"/>
        <v>8.0339999999999989</v>
      </c>
      <c r="J395">
        <f t="shared" si="166"/>
        <v>8.1120000000000001</v>
      </c>
      <c r="K395">
        <f t="shared" si="165"/>
        <v>8.19</v>
      </c>
      <c r="L395">
        <f t="shared" si="161"/>
        <v>8.2680000000000007</v>
      </c>
    </row>
    <row r="396" spans="1:12" x14ac:dyDescent="0.3">
      <c r="A396">
        <v>4</v>
      </c>
      <c r="B396">
        <v>2</v>
      </c>
      <c r="C396">
        <v>2</v>
      </c>
      <c r="D396">
        <v>1</v>
      </c>
      <c r="E396">
        <v>2.9</v>
      </c>
      <c r="G396">
        <f t="shared" si="162"/>
        <v>2.9289999999999998</v>
      </c>
      <c r="H396">
        <f t="shared" si="163"/>
        <v>2.9579999999999997</v>
      </c>
      <c r="I396">
        <f t="shared" si="164"/>
        <v>2.9870000000000001</v>
      </c>
      <c r="J396">
        <f t="shared" si="166"/>
        <v>3.016</v>
      </c>
      <c r="K396">
        <f t="shared" si="165"/>
        <v>3.0449999999999999</v>
      </c>
      <c r="L396">
        <f t="shared" si="161"/>
        <v>3.0739999999999998</v>
      </c>
    </row>
    <row r="397" spans="1:12" x14ac:dyDescent="0.3">
      <c r="A397">
        <v>4</v>
      </c>
      <c r="B397">
        <v>2</v>
      </c>
      <c r="C397">
        <v>2</v>
      </c>
      <c r="D397">
        <v>2</v>
      </c>
      <c r="E397">
        <v>6.3</v>
      </c>
      <c r="G397">
        <f t="shared" si="162"/>
        <v>6.3629999999999995</v>
      </c>
      <c r="H397">
        <f t="shared" si="163"/>
        <v>6.4260000000000002</v>
      </c>
      <c r="I397">
        <f t="shared" si="164"/>
        <v>6.4889999999999999</v>
      </c>
      <c r="J397">
        <f t="shared" si="166"/>
        <v>6.5519999999999996</v>
      </c>
      <c r="K397">
        <f t="shared" si="165"/>
        <v>6.6150000000000002</v>
      </c>
      <c r="L397">
        <f t="shared" si="161"/>
        <v>6.6779999999999999</v>
      </c>
    </row>
    <row r="398" spans="1:12" x14ac:dyDescent="0.3">
      <c r="A398">
        <v>4</v>
      </c>
      <c r="B398">
        <v>2</v>
      </c>
      <c r="C398">
        <v>2</v>
      </c>
      <c r="D398">
        <v>3</v>
      </c>
      <c r="E398">
        <v>6.8</v>
      </c>
      <c r="G398">
        <f t="shared" si="162"/>
        <v>6.8679999999999994</v>
      </c>
      <c r="H398">
        <f t="shared" si="163"/>
        <v>6.9359999999999999</v>
      </c>
      <c r="I398">
        <f t="shared" si="164"/>
        <v>7.0039999999999996</v>
      </c>
      <c r="J398">
        <f t="shared" si="166"/>
        <v>7.0720000000000001</v>
      </c>
      <c r="K398">
        <f t="shared" si="165"/>
        <v>7.14</v>
      </c>
      <c r="L398">
        <f t="shared" si="161"/>
        <v>7.2080000000000002</v>
      </c>
    </row>
    <row r="399" spans="1:12" x14ac:dyDescent="0.3">
      <c r="A399">
        <v>4</v>
      </c>
      <c r="B399">
        <v>2</v>
      </c>
      <c r="C399">
        <v>2</v>
      </c>
      <c r="D399">
        <v>4</v>
      </c>
      <c r="E399">
        <v>3.6</v>
      </c>
      <c r="G399">
        <f t="shared" si="162"/>
        <v>3.6360000000000001</v>
      </c>
      <c r="H399">
        <f t="shared" si="163"/>
        <v>3.6720000000000002</v>
      </c>
      <c r="I399">
        <f t="shared" si="164"/>
        <v>3.7080000000000002</v>
      </c>
      <c r="J399">
        <f t="shared" si="166"/>
        <v>3.7440000000000002</v>
      </c>
      <c r="K399">
        <f t="shared" si="165"/>
        <v>3.7800000000000002</v>
      </c>
      <c r="L399">
        <f t="shared" si="161"/>
        <v>3.8160000000000003</v>
      </c>
    </row>
    <row r="400" spans="1:12" x14ac:dyDescent="0.3">
      <c r="A400">
        <v>4</v>
      </c>
      <c r="B400">
        <v>2</v>
      </c>
      <c r="C400">
        <v>2</v>
      </c>
      <c r="D400">
        <v>5</v>
      </c>
      <c r="E400">
        <v>4.5999999999999996</v>
      </c>
      <c r="G400">
        <f t="shared" si="162"/>
        <v>4.6459999999999999</v>
      </c>
      <c r="H400">
        <f t="shared" si="163"/>
        <v>4.6919999999999993</v>
      </c>
      <c r="I400">
        <f t="shared" si="164"/>
        <v>4.7379999999999995</v>
      </c>
      <c r="J400">
        <f t="shared" si="166"/>
        <v>4.7839999999999998</v>
      </c>
      <c r="K400">
        <f t="shared" si="165"/>
        <v>4.83</v>
      </c>
      <c r="L400">
        <f t="shared" si="161"/>
        <v>4.8759999999999994</v>
      </c>
    </row>
    <row r="401" spans="1:12" x14ac:dyDescent="0.3">
      <c r="A401">
        <v>4</v>
      </c>
      <c r="B401">
        <v>2</v>
      </c>
      <c r="C401">
        <v>2</v>
      </c>
      <c r="D401">
        <v>6</v>
      </c>
      <c r="E401">
        <v>4.8</v>
      </c>
      <c r="G401">
        <f t="shared" si="162"/>
        <v>4.8479999999999999</v>
      </c>
      <c r="H401">
        <f t="shared" si="163"/>
        <v>4.8959999999999999</v>
      </c>
      <c r="I401">
        <f t="shared" si="164"/>
        <v>4.944</v>
      </c>
      <c r="J401">
        <f t="shared" si="166"/>
        <v>4.992</v>
      </c>
      <c r="K401">
        <f t="shared" si="165"/>
        <v>5.04</v>
      </c>
      <c r="L401">
        <f t="shared" si="161"/>
        <v>5.0880000000000001</v>
      </c>
    </row>
    <row r="402" spans="1:12" x14ac:dyDescent="0.3">
      <c r="A402">
        <v>4</v>
      </c>
      <c r="B402">
        <v>2</v>
      </c>
      <c r="C402">
        <v>3</v>
      </c>
      <c r="D402">
        <v>1</v>
      </c>
      <c r="E402">
        <v>7.4</v>
      </c>
      <c r="G402">
        <f>E402+(E402*1%)</f>
        <v>7.4740000000000002</v>
      </c>
      <c r="H402">
        <f t="shared" si="163"/>
        <v>7.548</v>
      </c>
      <c r="I402">
        <f t="shared" si="164"/>
        <v>7.6220000000000008</v>
      </c>
      <c r="J402">
        <f t="shared" si="166"/>
        <v>7.6960000000000006</v>
      </c>
      <c r="K402">
        <f t="shared" si="165"/>
        <v>7.7700000000000005</v>
      </c>
      <c r="L402">
        <f t="shared" si="161"/>
        <v>7.8440000000000003</v>
      </c>
    </row>
    <row r="403" spans="1:12" x14ac:dyDescent="0.3">
      <c r="A403">
        <v>4</v>
      </c>
      <c r="B403">
        <v>2</v>
      </c>
      <c r="C403">
        <v>3</v>
      </c>
      <c r="D403">
        <v>2</v>
      </c>
      <c r="E403">
        <v>6.7</v>
      </c>
      <c r="G403">
        <f t="shared" si="162"/>
        <v>6.7670000000000003</v>
      </c>
      <c r="H403">
        <f t="shared" si="163"/>
        <v>6.8340000000000005</v>
      </c>
      <c r="I403">
        <f t="shared" si="164"/>
        <v>6.9009999999999998</v>
      </c>
      <c r="J403">
        <f t="shared" si="166"/>
        <v>6.968</v>
      </c>
      <c r="K403">
        <f t="shared" si="165"/>
        <v>7.0350000000000001</v>
      </c>
      <c r="L403">
        <f t="shared" ref="L403:L425" si="167">E403+(E403*6%)</f>
        <v>7.1020000000000003</v>
      </c>
    </row>
    <row r="404" spans="1:12" x14ac:dyDescent="0.3">
      <c r="A404">
        <v>4</v>
      </c>
      <c r="B404">
        <v>2</v>
      </c>
      <c r="C404">
        <v>3</v>
      </c>
      <c r="D404">
        <v>3</v>
      </c>
      <c r="E404">
        <v>4.5999999999999996</v>
      </c>
      <c r="G404">
        <f t="shared" si="162"/>
        <v>4.6459999999999999</v>
      </c>
      <c r="H404">
        <f t="shared" si="163"/>
        <v>4.6919999999999993</v>
      </c>
      <c r="I404">
        <f t="shared" si="164"/>
        <v>4.7379999999999995</v>
      </c>
      <c r="J404">
        <f t="shared" si="166"/>
        <v>4.7839999999999998</v>
      </c>
      <c r="K404">
        <f t="shared" si="165"/>
        <v>4.83</v>
      </c>
      <c r="L404">
        <f t="shared" si="167"/>
        <v>4.8759999999999994</v>
      </c>
    </row>
    <row r="405" spans="1:12" x14ac:dyDescent="0.3">
      <c r="A405">
        <v>4</v>
      </c>
      <c r="B405">
        <v>2</v>
      </c>
      <c r="C405">
        <v>3</v>
      </c>
      <c r="D405">
        <v>4</v>
      </c>
      <c r="E405">
        <v>6.7</v>
      </c>
      <c r="G405">
        <f t="shared" si="162"/>
        <v>6.7670000000000003</v>
      </c>
      <c r="H405">
        <f t="shared" si="163"/>
        <v>6.8340000000000005</v>
      </c>
      <c r="I405">
        <f t="shared" si="164"/>
        <v>6.9009999999999998</v>
      </c>
      <c r="J405">
        <f t="shared" si="166"/>
        <v>6.968</v>
      </c>
      <c r="K405">
        <f t="shared" si="165"/>
        <v>7.0350000000000001</v>
      </c>
      <c r="L405">
        <f t="shared" si="167"/>
        <v>7.1020000000000003</v>
      </c>
    </row>
    <row r="406" spans="1:12" x14ac:dyDescent="0.3">
      <c r="A406">
        <v>4</v>
      </c>
      <c r="B406">
        <v>2</v>
      </c>
      <c r="C406">
        <v>3</v>
      </c>
      <c r="D406">
        <v>5</v>
      </c>
      <c r="E406">
        <v>8.9</v>
      </c>
      <c r="G406">
        <f t="shared" si="162"/>
        <v>8.9890000000000008</v>
      </c>
      <c r="H406">
        <f t="shared" si="163"/>
        <v>9.0780000000000012</v>
      </c>
      <c r="I406">
        <f t="shared" si="164"/>
        <v>9.1669999999999998</v>
      </c>
      <c r="J406">
        <f t="shared" si="166"/>
        <v>9.2560000000000002</v>
      </c>
      <c r="K406">
        <f t="shared" si="165"/>
        <v>9.3450000000000006</v>
      </c>
      <c r="L406">
        <f t="shared" si="167"/>
        <v>9.4340000000000011</v>
      </c>
    </row>
    <row r="407" spans="1:12" x14ac:dyDescent="0.3">
      <c r="A407">
        <v>4</v>
      </c>
      <c r="B407">
        <v>2</v>
      </c>
      <c r="C407">
        <v>3</v>
      </c>
      <c r="D407">
        <v>6</v>
      </c>
      <c r="E407">
        <v>5.8</v>
      </c>
      <c r="G407">
        <f t="shared" si="162"/>
        <v>5.8579999999999997</v>
      </c>
      <c r="H407">
        <f t="shared" si="163"/>
        <v>5.9159999999999995</v>
      </c>
      <c r="I407">
        <f t="shared" si="164"/>
        <v>5.9740000000000002</v>
      </c>
      <c r="J407">
        <f t="shared" si="166"/>
        <v>6.032</v>
      </c>
      <c r="K407">
        <f t="shared" si="165"/>
        <v>6.09</v>
      </c>
      <c r="L407">
        <f t="shared" si="167"/>
        <v>6.1479999999999997</v>
      </c>
    </row>
    <row r="408" spans="1:12" x14ac:dyDescent="0.3">
      <c r="A408">
        <v>4</v>
      </c>
      <c r="B408">
        <v>3</v>
      </c>
      <c r="C408">
        <v>1</v>
      </c>
      <c r="D408">
        <v>1</v>
      </c>
      <c r="E408">
        <v>5.7</v>
      </c>
      <c r="G408">
        <f t="shared" si="162"/>
        <v>5.7570000000000006</v>
      </c>
      <c r="H408">
        <f t="shared" si="163"/>
        <v>5.8140000000000001</v>
      </c>
      <c r="I408">
        <f t="shared" si="164"/>
        <v>5.8710000000000004</v>
      </c>
      <c r="J408">
        <f t="shared" si="166"/>
        <v>5.9279999999999999</v>
      </c>
      <c r="K408">
        <f t="shared" si="165"/>
        <v>5.9850000000000003</v>
      </c>
      <c r="L408">
        <f t="shared" si="167"/>
        <v>6.0419999999999998</v>
      </c>
    </row>
    <row r="409" spans="1:12" x14ac:dyDescent="0.3">
      <c r="A409">
        <v>4</v>
      </c>
      <c r="B409">
        <v>3</v>
      </c>
      <c r="C409">
        <v>1</v>
      </c>
      <c r="D409">
        <v>2</v>
      </c>
      <c r="E409">
        <v>8.6</v>
      </c>
      <c r="G409">
        <f t="shared" si="162"/>
        <v>8.6859999999999999</v>
      </c>
      <c r="H409">
        <f t="shared" si="163"/>
        <v>8.7720000000000002</v>
      </c>
      <c r="I409">
        <f t="shared" si="164"/>
        <v>8.8580000000000005</v>
      </c>
      <c r="J409">
        <f t="shared" si="166"/>
        <v>8.9439999999999991</v>
      </c>
      <c r="K409">
        <f t="shared" si="165"/>
        <v>9.0299999999999994</v>
      </c>
      <c r="L409">
        <f t="shared" si="167"/>
        <v>9.1159999999999997</v>
      </c>
    </row>
    <row r="410" spans="1:12" x14ac:dyDescent="0.3">
      <c r="A410">
        <v>4</v>
      </c>
      <c r="B410">
        <v>3</v>
      </c>
      <c r="C410">
        <v>1</v>
      </c>
      <c r="D410">
        <v>3</v>
      </c>
      <c r="E410">
        <v>8.6</v>
      </c>
      <c r="G410">
        <f t="shared" si="162"/>
        <v>8.6859999999999999</v>
      </c>
      <c r="H410">
        <f t="shared" si="163"/>
        <v>8.7720000000000002</v>
      </c>
      <c r="I410">
        <f t="shared" si="164"/>
        <v>8.8580000000000005</v>
      </c>
      <c r="J410">
        <f t="shared" si="166"/>
        <v>8.9439999999999991</v>
      </c>
      <c r="K410">
        <f t="shared" si="165"/>
        <v>9.0299999999999994</v>
      </c>
      <c r="L410">
        <f t="shared" si="167"/>
        <v>9.1159999999999997</v>
      </c>
    </row>
    <row r="411" spans="1:12" x14ac:dyDescent="0.3">
      <c r="A411">
        <v>4</v>
      </c>
      <c r="B411">
        <v>3</v>
      </c>
      <c r="C411">
        <v>1</v>
      </c>
      <c r="D411">
        <v>4</v>
      </c>
      <c r="E411">
        <v>8.4</v>
      </c>
      <c r="G411">
        <f t="shared" si="162"/>
        <v>8.484</v>
      </c>
      <c r="H411">
        <f t="shared" si="163"/>
        <v>8.5679999999999996</v>
      </c>
      <c r="I411">
        <f t="shared" si="164"/>
        <v>8.652000000000001</v>
      </c>
      <c r="J411">
        <f t="shared" si="166"/>
        <v>8.7360000000000007</v>
      </c>
      <c r="K411">
        <f t="shared" si="165"/>
        <v>8.82</v>
      </c>
      <c r="L411">
        <f t="shared" si="167"/>
        <v>8.9039999999999999</v>
      </c>
    </row>
    <row r="412" spans="1:12" x14ac:dyDescent="0.3">
      <c r="A412">
        <v>4</v>
      </c>
      <c r="B412">
        <v>3</v>
      </c>
      <c r="C412">
        <v>1</v>
      </c>
      <c r="D412">
        <v>5</v>
      </c>
      <c r="E412">
        <v>7.2</v>
      </c>
      <c r="G412">
        <f t="shared" si="162"/>
        <v>7.2720000000000002</v>
      </c>
      <c r="H412">
        <f t="shared" si="163"/>
        <v>7.3440000000000003</v>
      </c>
      <c r="I412">
        <f t="shared" si="164"/>
        <v>7.4160000000000004</v>
      </c>
      <c r="J412">
        <f t="shared" si="166"/>
        <v>7.4880000000000004</v>
      </c>
      <c r="K412">
        <f t="shared" si="165"/>
        <v>7.5600000000000005</v>
      </c>
      <c r="L412">
        <f t="shared" si="167"/>
        <v>7.6320000000000006</v>
      </c>
    </row>
    <row r="413" spans="1:12" x14ac:dyDescent="0.3">
      <c r="A413">
        <v>4</v>
      </c>
      <c r="B413">
        <v>3</v>
      </c>
      <c r="C413">
        <v>1</v>
      </c>
      <c r="D413">
        <v>6</v>
      </c>
      <c r="E413">
        <v>7.5</v>
      </c>
      <c r="G413">
        <f t="shared" si="162"/>
        <v>7.5750000000000002</v>
      </c>
      <c r="H413">
        <f t="shared" si="163"/>
        <v>7.65</v>
      </c>
      <c r="I413">
        <f t="shared" si="164"/>
        <v>7.7249999999999996</v>
      </c>
      <c r="J413">
        <f t="shared" si="166"/>
        <v>7.8</v>
      </c>
      <c r="K413">
        <f t="shared" si="165"/>
        <v>7.875</v>
      </c>
      <c r="L413">
        <f t="shared" si="167"/>
        <v>7.95</v>
      </c>
    </row>
    <row r="414" spans="1:12" x14ac:dyDescent="0.3">
      <c r="A414">
        <v>4</v>
      </c>
      <c r="B414">
        <v>3</v>
      </c>
      <c r="C414">
        <v>2</v>
      </c>
      <c r="D414">
        <v>1</v>
      </c>
      <c r="E414">
        <v>4.7</v>
      </c>
      <c r="G414">
        <f>E414+(E414*1%)</f>
        <v>4.7469999999999999</v>
      </c>
      <c r="H414">
        <f t="shared" si="163"/>
        <v>4.7940000000000005</v>
      </c>
      <c r="I414">
        <f t="shared" si="164"/>
        <v>4.8410000000000002</v>
      </c>
      <c r="J414">
        <f t="shared" si="166"/>
        <v>4.8879999999999999</v>
      </c>
      <c r="K414">
        <f>E414+(E414*5%)</f>
        <v>4.9350000000000005</v>
      </c>
      <c r="L414">
        <f t="shared" si="167"/>
        <v>4.9820000000000002</v>
      </c>
    </row>
    <row r="415" spans="1:12" x14ac:dyDescent="0.3">
      <c r="A415">
        <v>4</v>
      </c>
      <c r="B415">
        <v>3</v>
      </c>
      <c r="C415">
        <v>2</v>
      </c>
      <c r="D415">
        <v>2</v>
      </c>
      <c r="E415">
        <v>8.5</v>
      </c>
      <c r="G415">
        <f t="shared" si="162"/>
        <v>8.5850000000000009</v>
      </c>
      <c r="H415">
        <f t="shared" si="163"/>
        <v>8.67</v>
      </c>
      <c r="I415">
        <f t="shared" si="164"/>
        <v>8.7550000000000008</v>
      </c>
      <c r="J415">
        <f t="shared" si="166"/>
        <v>8.84</v>
      </c>
      <c r="K415">
        <f t="shared" si="165"/>
        <v>8.9250000000000007</v>
      </c>
      <c r="L415">
        <f t="shared" si="167"/>
        <v>9.01</v>
      </c>
    </row>
    <row r="416" spans="1:12" x14ac:dyDescent="0.3">
      <c r="A416">
        <v>4</v>
      </c>
      <c r="B416">
        <v>3</v>
      </c>
      <c r="C416">
        <v>2</v>
      </c>
      <c r="D416">
        <v>3</v>
      </c>
      <c r="E416">
        <v>8.5</v>
      </c>
      <c r="G416">
        <f t="shared" si="162"/>
        <v>8.5850000000000009</v>
      </c>
      <c r="H416">
        <f t="shared" si="163"/>
        <v>8.67</v>
      </c>
      <c r="I416">
        <f t="shared" si="164"/>
        <v>8.7550000000000008</v>
      </c>
      <c r="J416">
        <f t="shared" si="166"/>
        <v>8.84</v>
      </c>
      <c r="K416">
        <f t="shared" si="165"/>
        <v>8.9250000000000007</v>
      </c>
      <c r="L416">
        <f t="shared" si="167"/>
        <v>9.01</v>
      </c>
    </row>
    <row r="417" spans="1:12" x14ac:dyDescent="0.3">
      <c r="A417">
        <v>4</v>
      </c>
      <c r="B417">
        <v>3</v>
      </c>
      <c r="C417">
        <v>2</v>
      </c>
      <c r="D417">
        <v>4</v>
      </c>
      <c r="E417">
        <v>7.9</v>
      </c>
      <c r="G417">
        <f t="shared" si="162"/>
        <v>7.9790000000000001</v>
      </c>
      <c r="H417">
        <f t="shared" si="163"/>
        <v>8.0579999999999998</v>
      </c>
      <c r="I417">
        <f t="shared" si="164"/>
        <v>8.1370000000000005</v>
      </c>
      <c r="J417">
        <f t="shared" si="166"/>
        <v>8.2160000000000011</v>
      </c>
      <c r="K417">
        <f t="shared" si="165"/>
        <v>8.2949999999999999</v>
      </c>
      <c r="L417">
        <f t="shared" si="167"/>
        <v>8.3740000000000006</v>
      </c>
    </row>
    <row r="418" spans="1:12" x14ac:dyDescent="0.3">
      <c r="A418">
        <v>4</v>
      </c>
      <c r="B418">
        <v>3</v>
      </c>
      <c r="C418">
        <v>2</v>
      </c>
      <c r="D418">
        <v>5</v>
      </c>
      <c r="E418">
        <v>4.5999999999999996</v>
      </c>
      <c r="G418">
        <f t="shared" si="162"/>
        <v>4.6459999999999999</v>
      </c>
      <c r="H418">
        <f t="shared" si="163"/>
        <v>4.6919999999999993</v>
      </c>
      <c r="I418">
        <f>E418+(E418*3%)</f>
        <v>4.7379999999999995</v>
      </c>
      <c r="J418">
        <f t="shared" si="166"/>
        <v>4.7839999999999998</v>
      </c>
      <c r="K418">
        <f t="shared" si="165"/>
        <v>4.83</v>
      </c>
      <c r="L418">
        <f t="shared" si="167"/>
        <v>4.8759999999999994</v>
      </c>
    </row>
    <row r="419" spans="1:12" x14ac:dyDescent="0.3">
      <c r="A419">
        <v>4</v>
      </c>
      <c r="B419">
        <v>3</v>
      </c>
      <c r="C419">
        <v>2</v>
      </c>
      <c r="D419">
        <v>6</v>
      </c>
      <c r="E419">
        <v>6.8</v>
      </c>
      <c r="G419">
        <f t="shared" si="162"/>
        <v>6.8679999999999994</v>
      </c>
      <c r="H419">
        <f t="shared" si="163"/>
        <v>6.9359999999999999</v>
      </c>
      <c r="I419">
        <f t="shared" si="164"/>
        <v>7.0039999999999996</v>
      </c>
      <c r="J419">
        <f t="shared" si="166"/>
        <v>7.0720000000000001</v>
      </c>
      <c r="K419">
        <f t="shared" si="165"/>
        <v>7.14</v>
      </c>
      <c r="L419">
        <f t="shared" si="167"/>
        <v>7.2080000000000002</v>
      </c>
    </row>
    <row r="420" spans="1:12" x14ac:dyDescent="0.3">
      <c r="A420">
        <v>4</v>
      </c>
      <c r="B420">
        <v>3</v>
      </c>
      <c r="C420">
        <v>3</v>
      </c>
      <c r="D420">
        <v>1</v>
      </c>
      <c r="E420">
        <v>5.7</v>
      </c>
      <c r="G420">
        <f t="shared" si="162"/>
        <v>5.7570000000000006</v>
      </c>
      <c r="H420">
        <f t="shared" si="163"/>
        <v>5.8140000000000001</v>
      </c>
      <c r="I420">
        <f t="shared" si="164"/>
        <v>5.8710000000000004</v>
      </c>
      <c r="J420">
        <f t="shared" si="166"/>
        <v>5.9279999999999999</v>
      </c>
      <c r="K420">
        <f t="shared" si="165"/>
        <v>5.9850000000000003</v>
      </c>
      <c r="L420">
        <f t="shared" si="167"/>
        <v>6.0419999999999998</v>
      </c>
    </row>
    <row r="421" spans="1:12" x14ac:dyDescent="0.3">
      <c r="A421">
        <v>4</v>
      </c>
      <c r="B421">
        <v>3</v>
      </c>
      <c r="C421">
        <v>3</v>
      </c>
      <c r="D421">
        <v>2</v>
      </c>
      <c r="E421">
        <v>7.8</v>
      </c>
      <c r="G421">
        <f t="shared" si="162"/>
        <v>7.8780000000000001</v>
      </c>
      <c r="H421">
        <f t="shared" si="163"/>
        <v>7.9559999999999995</v>
      </c>
      <c r="I421">
        <f t="shared" si="164"/>
        <v>8.0339999999999989</v>
      </c>
      <c r="J421">
        <f t="shared" si="166"/>
        <v>8.1120000000000001</v>
      </c>
      <c r="K421">
        <f t="shared" si="165"/>
        <v>8.19</v>
      </c>
      <c r="L421">
        <f t="shared" si="167"/>
        <v>8.2680000000000007</v>
      </c>
    </row>
    <row r="422" spans="1:12" x14ac:dyDescent="0.3">
      <c r="A422">
        <v>4</v>
      </c>
      <c r="B422">
        <v>3</v>
      </c>
      <c r="C422">
        <v>3</v>
      </c>
      <c r="D422">
        <v>3</v>
      </c>
      <c r="E422">
        <v>4.5999999999999996</v>
      </c>
      <c r="G422">
        <f t="shared" si="162"/>
        <v>4.6459999999999999</v>
      </c>
      <c r="H422">
        <f t="shared" si="163"/>
        <v>4.6919999999999993</v>
      </c>
      <c r="I422">
        <f t="shared" si="164"/>
        <v>4.7379999999999995</v>
      </c>
      <c r="J422">
        <f t="shared" si="166"/>
        <v>4.7839999999999998</v>
      </c>
      <c r="K422">
        <f t="shared" si="165"/>
        <v>4.83</v>
      </c>
      <c r="L422">
        <f t="shared" si="167"/>
        <v>4.8759999999999994</v>
      </c>
    </row>
    <row r="423" spans="1:12" x14ac:dyDescent="0.3">
      <c r="A423">
        <v>4</v>
      </c>
      <c r="B423">
        <v>3</v>
      </c>
      <c r="C423">
        <v>3</v>
      </c>
      <c r="D423">
        <v>4</v>
      </c>
      <c r="E423">
        <v>4.7</v>
      </c>
      <c r="G423">
        <f t="shared" si="162"/>
        <v>4.7469999999999999</v>
      </c>
      <c r="H423">
        <f t="shared" si="163"/>
        <v>4.7940000000000005</v>
      </c>
      <c r="I423">
        <f t="shared" si="164"/>
        <v>4.8410000000000002</v>
      </c>
      <c r="J423">
        <f t="shared" si="166"/>
        <v>4.8879999999999999</v>
      </c>
      <c r="K423">
        <f t="shared" si="165"/>
        <v>4.9350000000000005</v>
      </c>
      <c r="L423">
        <f t="shared" si="167"/>
        <v>4.9820000000000002</v>
      </c>
    </row>
    <row r="424" spans="1:12" x14ac:dyDescent="0.3">
      <c r="A424">
        <v>4</v>
      </c>
      <c r="B424">
        <v>3</v>
      </c>
      <c r="C424">
        <v>3</v>
      </c>
      <c r="D424">
        <v>5</v>
      </c>
      <c r="E424">
        <v>3.7</v>
      </c>
      <c r="G424">
        <f t="shared" si="162"/>
        <v>3.7370000000000001</v>
      </c>
      <c r="H424">
        <f t="shared" si="163"/>
        <v>3.774</v>
      </c>
      <c r="I424">
        <f t="shared" si="164"/>
        <v>3.8110000000000004</v>
      </c>
      <c r="J424">
        <f t="shared" si="166"/>
        <v>3.8480000000000003</v>
      </c>
      <c r="K424">
        <f t="shared" si="165"/>
        <v>3.8850000000000002</v>
      </c>
      <c r="L424">
        <f t="shared" si="167"/>
        <v>3.9220000000000002</v>
      </c>
    </row>
    <row r="425" spans="1:12" x14ac:dyDescent="0.3">
      <c r="A425">
        <v>4</v>
      </c>
      <c r="B425">
        <v>3</v>
      </c>
      <c r="C425">
        <v>3</v>
      </c>
      <c r="D425">
        <v>6</v>
      </c>
      <c r="E425">
        <v>8.5</v>
      </c>
      <c r="G425">
        <f t="shared" si="162"/>
        <v>8.5850000000000009</v>
      </c>
      <c r="H425">
        <f t="shared" si="163"/>
        <v>8.67</v>
      </c>
      <c r="I425">
        <f t="shared" si="164"/>
        <v>8.7550000000000008</v>
      </c>
      <c r="J425">
        <f t="shared" si="166"/>
        <v>8.84</v>
      </c>
      <c r="K425">
        <f t="shared" si="165"/>
        <v>8.9250000000000007</v>
      </c>
      <c r="L425">
        <f t="shared" si="167"/>
        <v>9.01</v>
      </c>
    </row>
    <row r="427" spans="1:12" x14ac:dyDescent="0.3">
      <c r="A427" t="s">
        <v>221</v>
      </c>
      <c r="B427" t="s">
        <v>160</v>
      </c>
      <c r="G427" s="16">
        <f>(G428-B428)/B428*100</f>
        <v>3.0889734848375157E-3</v>
      </c>
      <c r="H427" s="16">
        <f>(H428-B428)/B428*100</f>
        <v>6.1779469696750314E-3</v>
      </c>
      <c r="I427" s="16">
        <f>(I428-B428)/B428*100</f>
        <v>9.2669204545125471E-3</v>
      </c>
      <c r="J427" s="16">
        <f>(J428-B428)/B428*100</f>
        <v>1.2355893939350063E-2</v>
      </c>
      <c r="K427" s="16">
        <f>(K428-B428)/B428*100</f>
        <v>-1.5474027539865412E-2</v>
      </c>
      <c r="L427" s="16">
        <f>(L428-B428)/B428*100</f>
        <v>1.8533840909010821E-2</v>
      </c>
    </row>
    <row r="428" spans="1:12" x14ac:dyDescent="0.3">
      <c r="A428" t="s">
        <v>158</v>
      </c>
      <c r="B428">
        <v>815497.45</v>
      </c>
      <c r="G428" s="21">
        <v>815522.64049999998</v>
      </c>
      <c r="H428" s="21">
        <v>815547.83100000001</v>
      </c>
      <c r="I428" s="21">
        <v>815573.02150000003</v>
      </c>
      <c r="J428" s="21">
        <v>815598.21200000006</v>
      </c>
      <c r="K428" s="21">
        <v>815371.25970000005</v>
      </c>
      <c r="L428" s="21">
        <v>815648.59299999999</v>
      </c>
    </row>
    <row r="429" spans="1:12" x14ac:dyDescent="0.3">
      <c r="A429" t="s">
        <v>159</v>
      </c>
      <c r="B429">
        <v>4840.7044030870002</v>
      </c>
      <c r="G429" s="21">
        <v>4840.7044030870002</v>
      </c>
      <c r="H429" s="21">
        <v>4840.7044030870002</v>
      </c>
      <c r="I429" s="21">
        <v>4840.7044030870002</v>
      </c>
      <c r="J429" s="21">
        <v>4840.7044030870002</v>
      </c>
      <c r="K429" s="24">
        <v>4839.7090925279999</v>
      </c>
      <c r="L429" s="21">
        <v>4840.7044030870002</v>
      </c>
    </row>
    <row r="432" spans="1:12" x14ac:dyDescent="0.3">
      <c r="B432" t="s">
        <v>161</v>
      </c>
      <c r="G432" s="16">
        <f>(G433-B433)/B433*100</f>
        <v>3.8332240354023044E-3</v>
      </c>
      <c r="H432" s="16">
        <f>(H433-B433)/B433*100</f>
        <v>7.3000180894200357E-3</v>
      </c>
      <c r="I432" s="16">
        <f>(I433-B433)/B433*100</f>
        <v>1.0766812143437767E-2</v>
      </c>
      <c r="J432" s="16">
        <f>(J433-B433)/B433*100</f>
        <v>1.4233606197455501E-2</v>
      </c>
      <c r="K432" s="16">
        <f>(K433-B433)/B433*100</f>
        <v>-9.4435113372899459E-3</v>
      </c>
      <c r="L432" s="16">
        <f>(L433-B433)/B433*100</f>
        <v>1.8059868063221806E-2</v>
      </c>
    </row>
    <row r="433" spans="1:12" x14ac:dyDescent="0.3">
      <c r="B433">
        <v>818710.3</v>
      </c>
      <c r="G433" s="21">
        <v>818741.68299999996</v>
      </c>
      <c r="H433" s="21">
        <v>818770.06599999999</v>
      </c>
      <c r="I433" s="21">
        <v>818798.44900000002</v>
      </c>
      <c r="J433" s="21">
        <v>818826.83200000005</v>
      </c>
      <c r="K433" s="21">
        <v>818632.98499999999</v>
      </c>
      <c r="L433" s="21">
        <v>818858.15800000005</v>
      </c>
    </row>
    <row r="434" spans="1:12" x14ac:dyDescent="0.3">
      <c r="B434">
        <v>4741.7772567669999</v>
      </c>
      <c r="G434" s="21">
        <v>4741.7772567669999</v>
      </c>
      <c r="H434" s="21">
        <v>4741.7772567669999</v>
      </c>
      <c r="I434" s="21">
        <v>4741.7772567669999</v>
      </c>
      <c r="J434" s="21">
        <v>4741.7772567669999</v>
      </c>
      <c r="K434" s="24">
        <v>4741.899710183</v>
      </c>
      <c r="L434" s="21">
        <v>4741.899710183</v>
      </c>
    </row>
    <row r="435" spans="1:12" x14ac:dyDescent="0.3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</row>
    <row r="437" spans="1:12" x14ac:dyDescent="0.3">
      <c r="A437" t="s">
        <v>57</v>
      </c>
    </row>
    <row r="438" spans="1:12" x14ac:dyDescent="0.3">
      <c r="A438" s="10" t="s">
        <v>58</v>
      </c>
    </row>
    <row r="439" spans="1:12" x14ac:dyDescent="0.3">
      <c r="A439" s="11" t="s">
        <v>59</v>
      </c>
    </row>
    <row r="440" spans="1:12" x14ac:dyDescent="0.3">
      <c r="A440" s="11" t="s">
        <v>60</v>
      </c>
    </row>
    <row r="441" spans="1:12" x14ac:dyDescent="0.3">
      <c r="A441" s="11" t="s">
        <v>61</v>
      </c>
    </row>
    <row r="442" spans="1:12" x14ac:dyDescent="0.3">
      <c r="A442" s="11" t="s">
        <v>62</v>
      </c>
    </row>
    <row r="443" spans="1:12" x14ac:dyDescent="0.3">
      <c r="A443" s="11" t="s">
        <v>63</v>
      </c>
    </row>
    <row r="444" spans="1:12" x14ac:dyDescent="0.3">
      <c r="A444" s="11" t="s">
        <v>64</v>
      </c>
    </row>
    <row r="445" spans="1:12" x14ac:dyDescent="0.3">
      <c r="A445" s="11" t="s">
        <v>65</v>
      </c>
    </row>
    <row r="447" spans="1:12" x14ac:dyDescent="0.3">
      <c r="A447" s="11" t="s">
        <v>2</v>
      </c>
      <c r="B447" t="s">
        <v>66</v>
      </c>
      <c r="C447" t="s">
        <v>67</v>
      </c>
      <c r="D447" t="s">
        <v>10</v>
      </c>
      <c r="E447" t="s">
        <v>68</v>
      </c>
      <c r="G447" s="20">
        <v>0.01</v>
      </c>
      <c r="H447" s="20">
        <v>0.02</v>
      </c>
      <c r="I447" s="20">
        <v>0.03</v>
      </c>
      <c r="J447" s="20">
        <v>0.04</v>
      </c>
      <c r="K447" s="20">
        <v>0.05</v>
      </c>
    </row>
    <row r="448" spans="1:12" x14ac:dyDescent="0.3">
      <c r="A448">
        <v>1</v>
      </c>
      <c r="B448">
        <v>1</v>
      </c>
      <c r="C448">
        <v>1</v>
      </c>
      <c r="D448">
        <v>1</v>
      </c>
      <c r="E448">
        <v>2.4</v>
      </c>
      <c r="G448">
        <f>E448+(E448*1%)</f>
        <v>2.4239999999999999</v>
      </c>
      <c r="H448">
        <f>E448+(E448*2%)</f>
        <v>2.448</v>
      </c>
      <c r="I448">
        <f>E448+(E448*3%)</f>
        <v>2.472</v>
      </c>
      <c r="J448">
        <f>E448+(E448*4%)</f>
        <v>2.496</v>
      </c>
      <c r="K448">
        <f>E448+(E448*5%)</f>
        <v>2.52</v>
      </c>
    </row>
    <row r="449" spans="1:11" x14ac:dyDescent="0.3">
      <c r="A449">
        <v>1</v>
      </c>
      <c r="B449">
        <v>1</v>
      </c>
      <c r="C449">
        <v>1</v>
      </c>
      <c r="D449">
        <v>2</v>
      </c>
      <c r="E449">
        <v>3.4</v>
      </c>
      <c r="G449">
        <f t="shared" ref="G449:G453" si="168">E449+(E449*1%)</f>
        <v>3.4339999999999997</v>
      </c>
      <c r="H449">
        <f t="shared" ref="H449:H458" si="169">E449+(E449*2%)</f>
        <v>3.468</v>
      </c>
      <c r="I449">
        <f t="shared" ref="I449:I458" si="170">E449+(E449*3%)</f>
        <v>3.5019999999999998</v>
      </c>
      <c r="J449">
        <f t="shared" ref="J449:J458" si="171">E449+(E449*4%)</f>
        <v>3.536</v>
      </c>
      <c r="K449">
        <f t="shared" ref="K449:K458" si="172">E449+(E449*5%)</f>
        <v>3.57</v>
      </c>
    </row>
    <row r="450" spans="1:11" x14ac:dyDescent="0.3">
      <c r="A450">
        <v>1</v>
      </c>
      <c r="B450">
        <v>1</v>
      </c>
      <c r="C450">
        <v>1</v>
      </c>
      <c r="D450">
        <v>3</v>
      </c>
      <c r="E450">
        <v>2.5</v>
      </c>
      <c r="G450">
        <f t="shared" si="168"/>
        <v>2.5249999999999999</v>
      </c>
      <c r="H450">
        <f t="shared" si="169"/>
        <v>2.5499999999999998</v>
      </c>
      <c r="I450">
        <f t="shared" si="170"/>
        <v>2.5750000000000002</v>
      </c>
      <c r="J450">
        <f t="shared" si="171"/>
        <v>2.6</v>
      </c>
      <c r="K450">
        <f t="shared" si="172"/>
        <v>2.625</v>
      </c>
    </row>
    <row r="451" spans="1:11" x14ac:dyDescent="0.3">
      <c r="A451">
        <v>1</v>
      </c>
      <c r="B451">
        <v>1</v>
      </c>
      <c r="C451">
        <v>1</v>
      </c>
      <c r="D451">
        <v>4</v>
      </c>
      <c r="E451">
        <v>5.2</v>
      </c>
      <c r="G451">
        <f t="shared" si="168"/>
        <v>5.2519999999999998</v>
      </c>
      <c r="H451">
        <f t="shared" si="169"/>
        <v>5.3040000000000003</v>
      </c>
      <c r="I451">
        <f t="shared" si="170"/>
        <v>5.3559999999999999</v>
      </c>
      <c r="J451">
        <f t="shared" si="171"/>
        <v>5.4080000000000004</v>
      </c>
      <c r="K451">
        <f t="shared" si="172"/>
        <v>5.46</v>
      </c>
    </row>
    <row r="452" spans="1:11" x14ac:dyDescent="0.3">
      <c r="A452">
        <v>1</v>
      </c>
      <c r="B452">
        <v>1</v>
      </c>
      <c r="C452">
        <v>1</v>
      </c>
      <c r="D452">
        <v>5</v>
      </c>
      <c r="E452">
        <v>3.5</v>
      </c>
      <c r="G452">
        <f t="shared" si="168"/>
        <v>3.5350000000000001</v>
      </c>
      <c r="H452">
        <f t="shared" si="169"/>
        <v>3.57</v>
      </c>
      <c r="I452">
        <f t="shared" si="170"/>
        <v>3.605</v>
      </c>
      <c r="J452">
        <f t="shared" si="171"/>
        <v>3.64</v>
      </c>
      <c r="K452">
        <f t="shared" si="172"/>
        <v>3.6749999999999998</v>
      </c>
    </row>
    <row r="453" spans="1:11" x14ac:dyDescent="0.3">
      <c r="A453">
        <v>1</v>
      </c>
      <c r="B453">
        <v>1</v>
      </c>
      <c r="C453">
        <v>1</v>
      </c>
      <c r="D453">
        <v>6</v>
      </c>
      <c r="E453">
        <v>5.6</v>
      </c>
      <c r="G453">
        <f t="shared" si="168"/>
        <v>5.6559999999999997</v>
      </c>
      <c r="H453">
        <f t="shared" si="169"/>
        <v>5.7119999999999997</v>
      </c>
      <c r="I453">
        <f t="shared" si="170"/>
        <v>5.7679999999999998</v>
      </c>
      <c r="J453">
        <f t="shared" si="171"/>
        <v>5.8239999999999998</v>
      </c>
      <c r="K453">
        <f t="shared" si="172"/>
        <v>5.88</v>
      </c>
    </row>
    <row r="454" spans="1:11" x14ac:dyDescent="0.3">
      <c r="A454">
        <v>1</v>
      </c>
      <c r="B454">
        <v>1</v>
      </c>
      <c r="C454">
        <v>2</v>
      </c>
      <c r="D454">
        <v>1</v>
      </c>
      <c r="E454">
        <v>4.5</v>
      </c>
      <c r="G454">
        <f>E454+(E454*1%)</f>
        <v>4.5449999999999999</v>
      </c>
      <c r="H454">
        <f>E454+(E454*2%)</f>
        <v>4.59</v>
      </c>
      <c r="I454">
        <f t="shared" si="170"/>
        <v>4.6349999999999998</v>
      </c>
      <c r="J454">
        <f t="shared" si="171"/>
        <v>4.68</v>
      </c>
      <c r="K454">
        <f t="shared" si="172"/>
        <v>4.7249999999999996</v>
      </c>
    </row>
    <row r="455" spans="1:11" x14ac:dyDescent="0.3">
      <c r="A455">
        <v>1</v>
      </c>
      <c r="B455">
        <v>1</v>
      </c>
      <c r="C455">
        <v>2</v>
      </c>
      <c r="D455">
        <v>2</v>
      </c>
      <c r="E455">
        <v>3.5</v>
      </c>
      <c r="G455">
        <f>E455+(E455*1%)</f>
        <v>3.5350000000000001</v>
      </c>
      <c r="H455">
        <f t="shared" si="169"/>
        <v>3.57</v>
      </c>
      <c r="I455">
        <f t="shared" si="170"/>
        <v>3.605</v>
      </c>
      <c r="J455">
        <f t="shared" si="171"/>
        <v>3.64</v>
      </c>
      <c r="K455">
        <f t="shared" si="172"/>
        <v>3.6749999999999998</v>
      </c>
    </row>
    <row r="456" spans="1:11" x14ac:dyDescent="0.3">
      <c r="A456">
        <v>1</v>
      </c>
      <c r="B456">
        <v>1</v>
      </c>
      <c r="C456">
        <v>2</v>
      </c>
      <c r="D456">
        <v>3</v>
      </c>
      <c r="E456">
        <v>6.3</v>
      </c>
      <c r="G456">
        <f t="shared" ref="G456:G459" si="173">E456+(E456*1%)</f>
        <v>6.3629999999999995</v>
      </c>
      <c r="H456">
        <f t="shared" si="169"/>
        <v>6.4260000000000002</v>
      </c>
      <c r="I456">
        <f t="shared" si="170"/>
        <v>6.4889999999999999</v>
      </c>
      <c r="J456">
        <f t="shared" si="171"/>
        <v>6.5519999999999996</v>
      </c>
      <c r="K456">
        <f t="shared" si="172"/>
        <v>6.6150000000000002</v>
      </c>
    </row>
    <row r="457" spans="1:11" x14ac:dyDescent="0.3">
      <c r="A457">
        <v>1</v>
      </c>
      <c r="B457">
        <v>1</v>
      </c>
      <c r="C457">
        <v>2</v>
      </c>
      <c r="D457">
        <v>4</v>
      </c>
      <c r="E457">
        <v>4.4000000000000004</v>
      </c>
      <c r="G457">
        <f t="shared" si="173"/>
        <v>4.444</v>
      </c>
      <c r="H457">
        <f t="shared" si="169"/>
        <v>4.4880000000000004</v>
      </c>
      <c r="I457">
        <f t="shared" si="170"/>
        <v>4.532</v>
      </c>
      <c r="J457">
        <f t="shared" si="171"/>
        <v>4.5760000000000005</v>
      </c>
      <c r="K457">
        <f t="shared" si="172"/>
        <v>4.62</v>
      </c>
    </row>
    <row r="458" spans="1:11" x14ac:dyDescent="0.3">
      <c r="A458">
        <v>1</v>
      </c>
      <c r="B458">
        <v>1</v>
      </c>
      <c r="C458">
        <v>2</v>
      </c>
      <c r="D458">
        <v>5</v>
      </c>
      <c r="E458">
        <v>2.2999999999999998</v>
      </c>
      <c r="G458">
        <f t="shared" si="173"/>
        <v>2.323</v>
      </c>
      <c r="H458">
        <f t="shared" si="169"/>
        <v>2.3459999999999996</v>
      </c>
      <c r="I458">
        <f t="shared" si="170"/>
        <v>2.3689999999999998</v>
      </c>
      <c r="J458">
        <f t="shared" si="171"/>
        <v>2.3919999999999999</v>
      </c>
      <c r="K458">
        <f t="shared" si="172"/>
        <v>2.415</v>
      </c>
    </row>
    <row r="459" spans="1:11" x14ac:dyDescent="0.3">
      <c r="A459">
        <v>1</v>
      </c>
      <c r="B459">
        <v>1</v>
      </c>
      <c r="C459">
        <v>2</v>
      </c>
      <c r="D459">
        <v>6</v>
      </c>
      <c r="E459">
        <v>4.3</v>
      </c>
      <c r="G459">
        <f t="shared" si="173"/>
        <v>4.343</v>
      </c>
      <c r="H459">
        <f t="shared" ref="H459:H522" si="174">E459+(E459*2%)</f>
        <v>4.3860000000000001</v>
      </c>
      <c r="I459">
        <f t="shared" ref="I459:I522" si="175">E459+(E459*3%)</f>
        <v>4.4290000000000003</v>
      </c>
      <c r="J459">
        <f t="shared" ref="J459:J522" si="176">E459+(E459*4%)</f>
        <v>4.4719999999999995</v>
      </c>
      <c r="K459">
        <f t="shared" ref="K459:K522" si="177">E459+(E459*5%)</f>
        <v>4.5149999999999997</v>
      </c>
    </row>
    <row r="460" spans="1:11" x14ac:dyDescent="0.3">
      <c r="A460">
        <v>1</v>
      </c>
      <c r="B460">
        <v>1</v>
      </c>
      <c r="C460">
        <v>3</v>
      </c>
      <c r="D460">
        <v>1</v>
      </c>
      <c r="E460">
        <v>3.4</v>
      </c>
      <c r="G460">
        <f t="shared" ref="G460:G523" si="178">E460+(E460*1%)</f>
        <v>3.4339999999999997</v>
      </c>
      <c r="H460">
        <f t="shared" si="174"/>
        <v>3.468</v>
      </c>
      <c r="I460">
        <f t="shared" si="175"/>
        <v>3.5019999999999998</v>
      </c>
      <c r="J460">
        <f>E460+(E460*4%)</f>
        <v>3.536</v>
      </c>
      <c r="K460">
        <f>E460+(E460*5%)</f>
        <v>3.57</v>
      </c>
    </row>
    <row r="461" spans="1:11" x14ac:dyDescent="0.3">
      <c r="A461">
        <v>1</v>
      </c>
      <c r="B461">
        <v>1</v>
      </c>
      <c r="C461">
        <v>3</v>
      </c>
      <c r="D461">
        <v>2</v>
      </c>
      <c r="E461">
        <v>2.2999999999999998</v>
      </c>
      <c r="G461">
        <f t="shared" si="178"/>
        <v>2.323</v>
      </c>
      <c r="H461">
        <f t="shared" si="174"/>
        <v>2.3459999999999996</v>
      </c>
      <c r="I461">
        <f t="shared" si="175"/>
        <v>2.3689999999999998</v>
      </c>
      <c r="J461">
        <f t="shared" si="176"/>
        <v>2.3919999999999999</v>
      </c>
      <c r="K461">
        <f t="shared" si="177"/>
        <v>2.415</v>
      </c>
    </row>
    <row r="462" spans="1:11" x14ac:dyDescent="0.3">
      <c r="A462">
        <v>1</v>
      </c>
      <c r="B462">
        <v>1</v>
      </c>
      <c r="C462">
        <v>3</v>
      </c>
      <c r="D462">
        <v>3</v>
      </c>
      <c r="E462">
        <v>4.5</v>
      </c>
      <c r="G462">
        <f t="shared" si="178"/>
        <v>4.5449999999999999</v>
      </c>
      <c r="H462">
        <f t="shared" si="174"/>
        <v>4.59</v>
      </c>
      <c r="I462">
        <f t="shared" si="175"/>
        <v>4.6349999999999998</v>
      </c>
      <c r="J462">
        <f t="shared" si="176"/>
        <v>4.68</v>
      </c>
      <c r="K462">
        <f t="shared" si="177"/>
        <v>4.7249999999999996</v>
      </c>
    </row>
    <row r="463" spans="1:11" x14ac:dyDescent="0.3">
      <c r="A463">
        <v>1</v>
      </c>
      <c r="B463">
        <v>1</v>
      </c>
      <c r="C463">
        <v>3</v>
      </c>
      <c r="D463">
        <v>4</v>
      </c>
      <c r="E463">
        <v>5.6</v>
      </c>
      <c r="G463">
        <f t="shared" si="178"/>
        <v>5.6559999999999997</v>
      </c>
      <c r="H463">
        <f t="shared" si="174"/>
        <v>5.7119999999999997</v>
      </c>
      <c r="I463">
        <f t="shared" si="175"/>
        <v>5.7679999999999998</v>
      </c>
      <c r="J463">
        <f t="shared" si="176"/>
        <v>5.8239999999999998</v>
      </c>
      <c r="K463">
        <f t="shared" si="177"/>
        <v>5.88</v>
      </c>
    </row>
    <row r="464" spans="1:11" x14ac:dyDescent="0.3">
      <c r="A464">
        <v>1</v>
      </c>
      <c r="B464">
        <v>1</v>
      </c>
      <c r="C464">
        <v>3</v>
      </c>
      <c r="D464">
        <v>5</v>
      </c>
      <c r="E464">
        <v>3.5</v>
      </c>
      <c r="G464">
        <f t="shared" si="178"/>
        <v>3.5350000000000001</v>
      </c>
      <c r="H464">
        <f t="shared" si="174"/>
        <v>3.57</v>
      </c>
      <c r="I464">
        <f t="shared" si="175"/>
        <v>3.605</v>
      </c>
      <c r="J464">
        <f t="shared" si="176"/>
        <v>3.64</v>
      </c>
      <c r="K464">
        <f t="shared" si="177"/>
        <v>3.6749999999999998</v>
      </c>
    </row>
    <row r="465" spans="1:11" x14ac:dyDescent="0.3">
      <c r="A465">
        <v>1</v>
      </c>
      <c r="B465">
        <v>1</v>
      </c>
      <c r="C465">
        <v>3</v>
      </c>
      <c r="D465">
        <v>6</v>
      </c>
      <c r="E465">
        <v>2.4</v>
      </c>
      <c r="G465">
        <f t="shared" si="178"/>
        <v>2.4239999999999999</v>
      </c>
      <c r="H465">
        <f t="shared" si="174"/>
        <v>2.448</v>
      </c>
      <c r="I465">
        <f t="shared" si="175"/>
        <v>2.472</v>
      </c>
      <c r="J465">
        <f t="shared" si="176"/>
        <v>2.496</v>
      </c>
      <c r="K465">
        <f t="shared" si="177"/>
        <v>2.52</v>
      </c>
    </row>
    <row r="466" spans="1:11" x14ac:dyDescent="0.3">
      <c r="A466">
        <v>1</v>
      </c>
      <c r="B466">
        <v>2</v>
      </c>
      <c r="C466">
        <v>1</v>
      </c>
      <c r="D466">
        <v>1</v>
      </c>
      <c r="E466">
        <v>3.5</v>
      </c>
      <c r="G466">
        <f t="shared" si="178"/>
        <v>3.5350000000000001</v>
      </c>
      <c r="H466">
        <f t="shared" si="174"/>
        <v>3.57</v>
      </c>
      <c r="I466">
        <f t="shared" si="175"/>
        <v>3.605</v>
      </c>
      <c r="J466">
        <f t="shared" si="176"/>
        <v>3.64</v>
      </c>
      <c r="K466">
        <f t="shared" si="177"/>
        <v>3.6749999999999998</v>
      </c>
    </row>
    <row r="467" spans="1:11" x14ac:dyDescent="0.3">
      <c r="A467">
        <v>1</v>
      </c>
      <c r="B467">
        <v>2</v>
      </c>
      <c r="C467">
        <v>1</v>
      </c>
      <c r="D467">
        <v>2</v>
      </c>
      <c r="E467">
        <v>3.4</v>
      </c>
      <c r="G467">
        <f t="shared" si="178"/>
        <v>3.4339999999999997</v>
      </c>
      <c r="H467">
        <f t="shared" si="174"/>
        <v>3.468</v>
      </c>
      <c r="I467">
        <f t="shared" si="175"/>
        <v>3.5019999999999998</v>
      </c>
      <c r="J467">
        <f t="shared" si="176"/>
        <v>3.536</v>
      </c>
      <c r="K467">
        <f t="shared" si="177"/>
        <v>3.57</v>
      </c>
    </row>
    <row r="468" spans="1:11" x14ac:dyDescent="0.3">
      <c r="A468">
        <v>1</v>
      </c>
      <c r="B468">
        <v>2</v>
      </c>
      <c r="C468">
        <v>1</v>
      </c>
      <c r="D468">
        <v>3</v>
      </c>
      <c r="E468">
        <v>4.5</v>
      </c>
      <c r="G468">
        <f t="shared" si="178"/>
        <v>4.5449999999999999</v>
      </c>
      <c r="H468">
        <f t="shared" si="174"/>
        <v>4.59</v>
      </c>
      <c r="I468">
        <f t="shared" si="175"/>
        <v>4.6349999999999998</v>
      </c>
      <c r="J468">
        <f t="shared" si="176"/>
        <v>4.68</v>
      </c>
      <c r="K468">
        <f t="shared" si="177"/>
        <v>4.7249999999999996</v>
      </c>
    </row>
    <row r="469" spans="1:11" x14ac:dyDescent="0.3">
      <c r="A469">
        <v>1</v>
      </c>
      <c r="B469">
        <v>2</v>
      </c>
      <c r="C469">
        <v>1</v>
      </c>
      <c r="D469">
        <v>4</v>
      </c>
      <c r="E469">
        <v>3.5</v>
      </c>
      <c r="G469">
        <f t="shared" si="178"/>
        <v>3.5350000000000001</v>
      </c>
      <c r="H469">
        <f t="shared" si="174"/>
        <v>3.57</v>
      </c>
      <c r="I469">
        <f t="shared" si="175"/>
        <v>3.605</v>
      </c>
      <c r="J469">
        <f t="shared" si="176"/>
        <v>3.64</v>
      </c>
      <c r="K469">
        <f t="shared" si="177"/>
        <v>3.6749999999999998</v>
      </c>
    </row>
    <row r="470" spans="1:11" x14ac:dyDescent="0.3">
      <c r="A470">
        <v>1</v>
      </c>
      <c r="B470">
        <v>2</v>
      </c>
      <c r="C470">
        <v>1</v>
      </c>
      <c r="D470">
        <v>5</v>
      </c>
      <c r="E470">
        <v>2.4</v>
      </c>
      <c r="G470">
        <f t="shared" si="178"/>
        <v>2.4239999999999999</v>
      </c>
      <c r="H470">
        <f t="shared" si="174"/>
        <v>2.448</v>
      </c>
      <c r="I470">
        <f t="shared" si="175"/>
        <v>2.472</v>
      </c>
      <c r="J470">
        <f t="shared" si="176"/>
        <v>2.496</v>
      </c>
      <c r="K470">
        <f t="shared" si="177"/>
        <v>2.52</v>
      </c>
    </row>
    <row r="471" spans="1:11" x14ac:dyDescent="0.3">
      <c r="A471">
        <v>1</v>
      </c>
      <c r="B471">
        <v>2</v>
      </c>
      <c r="C471">
        <v>1</v>
      </c>
      <c r="D471">
        <v>6</v>
      </c>
      <c r="E471">
        <v>5.5</v>
      </c>
      <c r="G471">
        <f t="shared" si="178"/>
        <v>5.5549999999999997</v>
      </c>
      <c r="H471">
        <f t="shared" si="174"/>
        <v>5.61</v>
      </c>
      <c r="I471">
        <f t="shared" si="175"/>
        <v>5.665</v>
      </c>
      <c r="J471">
        <f t="shared" si="176"/>
        <v>5.72</v>
      </c>
      <c r="K471">
        <f t="shared" si="177"/>
        <v>5.7750000000000004</v>
      </c>
    </row>
    <row r="472" spans="1:11" x14ac:dyDescent="0.3">
      <c r="A472">
        <v>1</v>
      </c>
      <c r="B472">
        <v>2</v>
      </c>
      <c r="C472">
        <v>2</v>
      </c>
      <c r="D472">
        <v>1</v>
      </c>
      <c r="E472">
        <v>1.5</v>
      </c>
      <c r="G472">
        <f t="shared" si="178"/>
        <v>1.5149999999999999</v>
      </c>
      <c r="H472">
        <f t="shared" si="174"/>
        <v>1.53</v>
      </c>
      <c r="I472">
        <f t="shared" si="175"/>
        <v>1.5449999999999999</v>
      </c>
      <c r="J472">
        <f t="shared" si="176"/>
        <v>1.56</v>
      </c>
      <c r="K472">
        <f t="shared" si="177"/>
        <v>1.575</v>
      </c>
    </row>
    <row r="473" spans="1:11" x14ac:dyDescent="0.3">
      <c r="A473">
        <v>1</v>
      </c>
      <c r="B473">
        <v>2</v>
      </c>
      <c r="C473">
        <v>2</v>
      </c>
      <c r="D473">
        <v>2</v>
      </c>
      <c r="E473">
        <v>3.8</v>
      </c>
      <c r="G473">
        <f t="shared" si="178"/>
        <v>3.8379999999999996</v>
      </c>
      <c r="H473">
        <f t="shared" si="174"/>
        <v>3.8759999999999999</v>
      </c>
      <c r="I473">
        <f t="shared" si="175"/>
        <v>3.9139999999999997</v>
      </c>
      <c r="J473">
        <f t="shared" si="176"/>
        <v>3.952</v>
      </c>
      <c r="K473">
        <f t="shared" si="177"/>
        <v>3.9899999999999998</v>
      </c>
    </row>
    <row r="474" spans="1:11" x14ac:dyDescent="0.3">
      <c r="A474">
        <v>1</v>
      </c>
      <c r="B474">
        <v>2</v>
      </c>
      <c r="C474">
        <v>2</v>
      </c>
      <c r="D474">
        <v>3</v>
      </c>
      <c r="E474">
        <v>3.8</v>
      </c>
      <c r="G474">
        <f t="shared" si="178"/>
        <v>3.8379999999999996</v>
      </c>
      <c r="H474">
        <f t="shared" si="174"/>
        <v>3.8759999999999999</v>
      </c>
      <c r="I474">
        <f t="shared" si="175"/>
        <v>3.9139999999999997</v>
      </c>
      <c r="J474">
        <f t="shared" si="176"/>
        <v>3.952</v>
      </c>
      <c r="K474">
        <f t="shared" si="177"/>
        <v>3.9899999999999998</v>
      </c>
    </row>
    <row r="475" spans="1:11" x14ac:dyDescent="0.3">
      <c r="A475">
        <v>1</v>
      </c>
      <c r="B475">
        <v>2</v>
      </c>
      <c r="C475">
        <v>2</v>
      </c>
      <c r="D475">
        <v>4</v>
      </c>
      <c r="E475">
        <v>3.6</v>
      </c>
      <c r="G475">
        <f t="shared" si="178"/>
        <v>3.6360000000000001</v>
      </c>
      <c r="H475">
        <f t="shared" si="174"/>
        <v>3.6720000000000002</v>
      </c>
      <c r="I475">
        <f t="shared" si="175"/>
        <v>3.7080000000000002</v>
      </c>
      <c r="J475">
        <f t="shared" si="176"/>
        <v>3.7440000000000002</v>
      </c>
      <c r="K475">
        <f t="shared" si="177"/>
        <v>3.7800000000000002</v>
      </c>
    </row>
    <row r="476" spans="1:11" x14ac:dyDescent="0.3">
      <c r="A476">
        <v>1</v>
      </c>
      <c r="B476">
        <v>2</v>
      </c>
      <c r="C476">
        <v>2</v>
      </c>
      <c r="D476">
        <v>5</v>
      </c>
      <c r="E476">
        <v>2.5</v>
      </c>
      <c r="G476">
        <f t="shared" si="178"/>
        <v>2.5249999999999999</v>
      </c>
      <c r="H476">
        <f t="shared" si="174"/>
        <v>2.5499999999999998</v>
      </c>
      <c r="I476">
        <f t="shared" si="175"/>
        <v>2.5750000000000002</v>
      </c>
      <c r="J476">
        <f t="shared" si="176"/>
        <v>2.6</v>
      </c>
      <c r="K476">
        <f t="shared" si="177"/>
        <v>2.625</v>
      </c>
    </row>
    <row r="477" spans="1:11" x14ac:dyDescent="0.3">
      <c r="A477">
        <v>1</v>
      </c>
      <c r="B477">
        <v>2</v>
      </c>
      <c r="C477">
        <v>2</v>
      </c>
      <c r="D477">
        <v>6</v>
      </c>
      <c r="E477">
        <v>1.5</v>
      </c>
      <c r="G477">
        <f t="shared" si="178"/>
        <v>1.5149999999999999</v>
      </c>
      <c r="H477">
        <f t="shared" si="174"/>
        <v>1.53</v>
      </c>
      <c r="I477">
        <f t="shared" si="175"/>
        <v>1.5449999999999999</v>
      </c>
      <c r="J477">
        <f t="shared" si="176"/>
        <v>1.56</v>
      </c>
      <c r="K477">
        <f t="shared" si="177"/>
        <v>1.575</v>
      </c>
    </row>
    <row r="478" spans="1:11" x14ac:dyDescent="0.3">
      <c r="A478">
        <v>1</v>
      </c>
      <c r="B478">
        <v>2</v>
      </c>
      <c r="C478">
        <v>3</v>
      </c>
      <c r="D478">
        <v>1</v>
      </c>
      <c r="E478">
        <v>2.5</v>
      </c>
      <c r="G478">
        <f t="shared" si="178"/>
        <v>2.5249999999999999</v>
      </c>
      <c r="H478">
        <f>E478+(E478*2%)</f>
        <v>2.5499999999999998</v>
      </c>
      <c r="I478">
        <f t="shared" si="175"/>
        <v>2.5750000000000002</v>
      </c>
      <c r="J478">
        <f t="shared" si="176"/>
        <v>2.6</v>
      </c>
      <c r="K478">
        <f t="shared" si="177"/>
        <v>2.625</v>
      </c>
    </row>
    <row r="479" spans="1:11" x14ac:dyDescent="0.3">
      <c r="A479">
        <v>1</v>
      </c>
      <c r="B479">
        <v>2</v>
      </c>
      <c r="C479">
        <v>3</v>
      </c>
      <c r="D479">
        <v>2</v>
      </c>
      <c r="E479">
        <v>5.3</v>
      </c>
      <c r="G479">
        <f t="shared" si="178"/>
        <v>5.3529999999999998</v>
      </c>
      <c r="H479">
        <f t="shared" si="174"/>
        <v>5.4059999999999997</v>
      </c>
      <c r="I479">
        <f t="shared" si="175"/>
        <v>5.4589999999999996</v>
      </c>
      <c r="J479">
        <f t="shared" si="176"/>
        <v>5.5119999999999996</v>
      </c>
      <c r="K479">
        <f t="shared" si="177"/>
        <v>5.5649999999999995</v>
      </c>
    </row>
    <row r="480" spans="1:11" x14ac:dyDescent="0.3">
      <c r="A480">
        <v>1</v>
      </c>
      <c r="B480">
        <v>2</v>
      </c>
      <c r="C480">
        <v>3</v>
      </c>
      <c r="D480">
        <v>3</v>
      </c>
      <c r="E480">
        <v>2.5</v>
      </c>
      <c r="G480">
        <f t="shared" si="178"/>
        <v>2.5249999999999999</v>
      </c>
      <c r="H480">
        <f t="shared" si="174"/>
        <v>2.5499999999999998</v>
      </c>
      <c r="I480">
        <f t="shared" si="175"/>
        <v>2.5750000000000002</v>
      </c>
      <c r="J480">
        <f t="shared" si="176"/>
        <v>2.6</v>
      </c>
      <c r="K480">
        <f t="shared" si="177"/>
        <v>2.625</v>
      </c>
    </row>
    <row r="481" spans="1:11" x14ac:dyDescent="0.3">
      <c r="A481">
        <v>1</v>
      </c>
      <c r="B481">
        <v>2</v>
      </c>
      <c r="C481">
        <v>3</v>
      </c>
      <c r="D481">
        <v>4</v>
      </c>
      <c r="E481">
        <v>1.7</v>
      </c>
      <c r="G481">
        <f t="shared" si="178"/>
        <v>1.7169999999999999</v>
      </c>
      <c r="H481">
        <f t="shared" si="174"/>
        <v>1.734</v>
      </c>
      <c r="I481">
        <f t="shared" si="175"/>
        <v>1.7509999999999999</v>
      </c>
      <c r="J481">
        <f t="shared" si="176"/>
        <v>1.768</v>
      </c>
      <c r="K481">
        <f t="shared" si="177"/>
        <v>1.7849999999999999</v>
      </c>
    </row>
    <row r="482" spans="1:11" x14ac:dyDescent="0.3">
      <c r="A482">
        <v>1</v>
      </c>
      <c r="B482">
        <v>2</v>
      </c>
      <c r="C482">
        <v>3</v>
      </c>
      <c r="D482">
        <v>5</v>
      </c>
      <c r="E482">
        <v>3.6</v>
      </c>
      <c r="G482">
        <f t="shared" si="178"/>
        <v>3.6360000000000001</v>
      </c>
      <c r="H482">
        <f t="shared" si="174"/>
        <v>3.6720000000000002</v>
      </c>
      <c r="I482">
        <f t="shared" si="175"/>
        <v>3.7080000000000002</v>
      </c>
      <c r="J482">
        <f t="shared" si="176"/>
        <v>3.7440000000000002</v>
      </c>
      <c r="K482">
        <f t="shared" si="177"/>
        <v>3.7800000000000002</v>
      </c>
    </row>
    <row r="483" spans="1:11" x14ac:dyDescent="0.3">
      <c r="A483">
        <v>1</v>
      </c>
      <c r="B483">
        <v>2</v>
      </c>
      <c r="C483">
        <v>3</v>
      </c>
      <c r="D483">
        <v>6</v>
      </c>
      <c r="E483">
        <v>2.6</v>
      </c>
      <c r="G483">
        <f t="shared" si="178"/>
        <v>2.6259999999999999</v>
      </c>
      <c r="H483">
        <f t="shared" si="174"/>
        <v>2.6520000000000001</v>
      </c>
      <c r="I483">
        <f t="shared" si="175"/>
        <v>2.6779999999999999</v>
      </c>
      <c r="J483">
        <f t="shared" si="176"/>
        <v>2.7040000000000002</v>
      </c>
      <c r="K483">
        <f t="shared" si="177"/>
        <v>2.73</v>
      </c>
    </row>
    <row r="484" spans="1:11" x14ac:dyDescent="0.3">
      <c r="A484">
        <v>2</v>
      </c>
      <c r="B484">
        <v>1</v>
      </c>
      <c r="C484">
        <v>1</v>
      </c>
      <c r="D484">
        <v>1</v>
      </c>
      <c r="E484">
        <v>5.6</v>
      </c>
      <c r="G484">
        <f t="shared" si="178"/>
        <v>5.6559999999999997</v>
      </c>
      <c r="H484">
        <f>E484+(E484*2%)</f>
        <v>5.7119999999999997</v>
      </c>
      <c r="I484">
        <f t="shared" si="175"/>
        <v>5.7679999999999998</v>
      </c>
      <c r="J484">
        <f t="shared" si="176"/>
        <v>5.8239999999999998</v>
      </c>
      <c r="K484">
        <f t="shared" si="177"/>
        <v>5.88</v>
      </c>
    </row>
    <row r="485" spans="1:11" x14ac:dyDescent="0.3">
      <c r="A485">
        <v>2</v>
      </c>
      <c r="B485">
        <v>1</v>
      </c>
      <c r="C485">
        <v>1</v>
      </c>
      <c r="D485">
        <v>2</v>
      </c>
      <c r="E485">
        <v>2.6</v>
      </c>
      <c r="G485">
        <f t="shared" si="178"/>
        <v>2.6259999999999999</v>
      </c>
      <c r="H485">
        <f t="shared" si="174"/>
        <v>2.6520000000000001</v>
      </c>
      <c r="I485">
        <f t="shared" si="175"/>
        <v>2.6779999999999999</v>
      </c>
      <c r="J485">
        <f t="shared" si="176"/>
        <v>2.7040000000000002</v>
      </c>
      <c r="K485">
        <f t="shared" si="177"/>
        <v>2.73</v>
      </c>
    </row>
    <row r="486" spans="1:11" x14ac:dyDescent="0.3">
      <c r="A486">
        <v>2</v>
      </c>
      <c r="B486">
        <v>1</v>
      </c>
      <c r="C486">
        <v>1</v>
      </c>
      <c r="D486">
        <v>3</v>
      </c>
      <c r="E486">
        <v>5.7</v>
      </c>
      <c r="G486">
        <f t="shared" si="178"/>
        <v>5.7570000000000006</v>
      </c>
      <c r="H486">
        <f t="shared" si="174"/>
        <v>5.8140000000000001</v>
      </c>
      <c r="I486">
        <f t="shared" si="175"/>
        <v>5.8710000000000004</v>
      </c>
      <c r="J486">
        <f t="shared" si="176"/>
        <v>5.9279999999999999</v>
      </c>
      <c r="K486">
        <f t="shared" si="177"/>
        <v>5.9850000000000003</v>
      </c>
    </row>
    <row r="487" spans="1:11" x14ac:dyDescent="0.3">
      <c r="A487">
        <v>2</v>
      </c>
      <c r="B487">
        <v>1</v>
      </c>
      <c r="C487">
        <v>1</v>
      </c>
      <c r="D487">
        <v>4</v>
      </c>
      <c r="E487">
        <v>2.4</v>
      </c>
      <c r="G487">
        <f t="shared" si="178"/>
        <v>2.4239999999999999</v>
      </c>
      <c r="H487">
        <f t="shared" si="174"/>
        <v>2.448</v>
      </c>
      <c r="I487">
        <f t="shared" si="175"/>
        <v>2.472</v>
      </c>
      <c r="J487">
        <f t="shared" si="176"/>
        <v>2.496</v>
      </c>
      <c r="K487">
        <f t="shared" si="177"/>
        <v>2.52</v>
      </c>
    </row>
    <row r="488" spans="1:11" x14ac:dyDescent="0.3">
      <c r="A488">
        <v>2</v>
      </c>
      <c r="B488">
        <v>1</v>
      </c>
      <c r="C488">
        <v>1</v>
      </c>
      <c r="D488">
        <v>5</v>
      </c>
      <c r="E488">
        <v>5.2</v>
      </c>
      <c r="G488">
        <f t="shared" si="178"/>
        <v>5.2519999999999998</v>
      </c>
      <c r="H488">
        <f t="shared" si="174"/>
        <v>5.3040000000000003</v>
      </c>
      <c r="I488">
        <f t="shared" si="175"/>
        <v>5.3559999999999999</v>
      </c>
      <c r="J488">
        <f t="shared" si="176"/>
        <v>5.4080000000000004</v>
      </c>
      <c r="K488">
        <f t="shared" si="177"/>
        <v>5.46</v>
      </c>
    </row>
    <row r="489" spans="1:11" x14ac:dyDescent="0.3">
      <c r="A489">
        <v>2</v>
      </c>
      <c r="B489">
        <v>1</v>
      </c>
      <c r="C489">
        <v>1</v>
      </c>
      <c r="D489">
        <v>6</v>
      </c>
      <c r="E489">
        <v>4.5999999999999996</v>
      </c>
      <c r="G489">
        <f t="shared" si="178"/>
        <v>4.6459999999999999</v>
      </c>
      <c r="H489">
        <f t="shared" si="174"/>
        <v>4.6919999999999993</v>
      </c>
      <c r="I489">
        <f t="shared" si="175"/>
        <v>4.7379999999999995</v>
      </c>
      <c r="J489">
        <f t="shared" si="176"/>
        <v>4.7839999999999998</v>
      </c>
      <c r="K489">
        <f t="shared" si="177"/>
        <v>4.83</v>
      </c>
    </row>
    <row r="490" spans="1:11" x14ac:dyDescent="0.3">
      <c r="A490">
        <v>2</v>
      </c>
      <c r="B490">
        <v>1</v>
      </c>
      <c r="C490">
        <v>2</v>
      </c>
      <c r="D490">
        <v>1</v>
      </c>
      <c r="E490">
        <v>4.0999999999999996</v>
      </c>
      <c r="G490">
        <f>E490+(E490*1%)</f>
        <v>4.141</v>
      </c>
      <c r="H490">
        <f t="shared" si="174"/>
        <v>4.1819999999999995</v>
      </c>
      <c r="I490">
        <f t="shared" si="175"/>
        <v>4.2229999999999999</v>
      </c>
      <c r="J490">
        <f t="shared" si="176"/>
        <v>4.2639999999999993</v>
      </c>
      <c r="K490">
        <f t="shared" si="177"/>
        <v>4.3049999999999997</v>
      </c>
    </row>
    <row r="491" spans="1:11" x14ac:dyDescent="0.3">
      <c r="A491">
        <v>2</v>
      </c>
      <c r="B491">
        <v>1</v>
      </c>
      <c r="C491">
        <v>2</v>
      </c>
      <c r="D491">
        <v>2</v>
      </c>
      <c r="E491">
        <v>3.3</v>
      </c>
      <c r="G491">
        <f t="shared" si="178"/>
        <v>3.3329999999999997</v>
      </c>
      <c r="H491">
        <f t="shared" si="174"/>
        <v>3.3659999999999997</v>
      </c>
      <c r="I491">
        <f t="shared" si="175"/>
        <v>3.399</v>
      </c>
      <c r="J491">
        <f t="shared" si="176"/>
        <v>3.4319999999999999</v>
      </c>
      <c r="K491">
        <f t="shared" si="177"/>
        <v>3.4649999999999999</v>
      </c>
    </row>
    <row r="492" spans="1:11" x14ac:dyDescent="0.3">
      <c r="A492">
        <v>2</v>
      </c>
      <c r="B492">
        <v>1</v>
      </c>
      <c r="C492">
        <v>2</v>
      </c>
      <c r="D492">
        <v>3</v>
      </c>
      <c r="E492">
        <v>2.6</v>
      </c>
      <c r="G492">
        <f t="shared" si="178"/>
        <v>2.6259999999999999</v>
      </c>
      <c r="H492">
        <f t="shared" si="174"/>
        <v>2.6520000000000001</v>
      </c>
      <c r="I492">
        <f t="shared" si="175"/>
        <v>2.6779999999999999</v>
      </c>
      <c r="J492">
        <f t="shared" si="176"/>
        <v>2.7040000000000002</v>
      </c>
      <c r="K492">
        <f t="shared" si="177"/>
        <v>2.73</v>
      </c>
    </row>
    <row r="493" spans="1:11" x14ac:dyDescent="0.3">
      <c r="A493">
        <v>2</v>
      </c>
      <c r="B493">
        <v>1</v>
      </c>
      <c r="C493">
        <v>2</v>
      </c>
      <c r="D493">
        <v>4</v>
      </c>
      <c r="E493">
        <v>2.1</v>
      </c>
      <c r="G493">
        <f t="shared" si="178"/>
        <v>2.121</v>
      </c>
      <c r="H493">
        <f t="shared" si="174"/>
        <v>2.1419999999999999</v>
      </c>
      <c r="I493">
        <f t="shared" si="175"/>
        <v>2.1630000000000003</v>
      </c>
      <c r="J493">
        <f t="shared" si="176"/>
        <v>2.1840000000000002</v>
      </c>
      <c r="K493">
        <f t="shared" si="177"/>
        <v>2.2050000000000001</v>
      </c>
    </row>
    <row r="494" spans="1:11" x14ac:dyDescent="0.3">
      <c r="A494">
        <v>2</v>
      </c>
      <c r="B494">
        <v>1</v>
      </c>
      <c r="C494">
        <v>2</v>
      </c>
      <c r="D494">
        <v>5</v>
      </c>
      <c r="E494">
        <v>2.7</v>
      </c>
      <c r="G494">
        <f t="shared" si="178"/>
        <v>2.7270000000000003</v>
      </c>
      <c r="H494">
        <f t="shared" si="174"/>
        <v>2.754</v>
      </c>
      <c r="I494">
        <f t="shared" si="175"/>
        <v>2.7810000000000001</v>
      </c>
      <c r="J494">
        <f t="shared" si="176"/>
        <v>2.8080000000000003</v>
      </c>
      <c r="K494">
        <f t="shared" si="177"/>
        <v>2.835</v>
      </c>
    </row>
    <row r="495" spans="1:11" x14ac:dyDescent="0.3">
      <c r="A495">
        <v>2</v>
      </c>
      <c r="B495">
        <v>1</v>
      </c>
      <c r="C495">
        <v>2</v>
      </c>
      <c r="D495">
        <v>6</v>
      </c>
      <c r="E495">
        <v>1.9</v>
      </c>
      <c r="G495">
        <f t="shared" si="178"/>
        <v>1.9189999999999998</v>
      </c>
      <c r="H495">
        <f t="shared" si="174"/>
        <v>1.9379999999999999</v>
      </c>
      <c r="I495">
        <f t="shared" si="175"/>
        <v>1.9569999999999999</v>
      </c>
      <c r="J495">
        <f t="shared" si="176"/>
        <v>1.976</v>
      </c>
      <c r="K495">
        <f t="shared" si="177"/>
        <v>1.9949999999999999</v>
      </c>
    </row>
    <row r="496" spans="1:11" x14ac:dyDescent="0.3">
      <c r="A496">
        <v>2</v>
      </c>
      <c r="B496">
        <v>1</v>
      </c>
      <c r="C496">
        <v>3</v>
      </c>
      <c r="D496">
        <v>1</v>
      </c>
      <c r="E496">
        <v>5.6</v>
      </c>
      <c r="G496">
        <f t="shared" si="178"/>
        <v>5.6559999999999997</v>
      </c>
      <c r="H496">
        <f t="shared" si="174"/>
        <v>5.7119999999999997</v>
      </c>
      <c r="I496">
        <f>E496+(E496*3%)</f>
        <v>5.7679999999999998</v>
      </c>
      <c r="J496">
        <f t="shared" si="176"/>
        <v>5.8239999999999998</v>
      </c>
      <c r="K496">
        <f t="shared" si="177"/>
        <v>5.88</v>
      </c>
    </row>
    <row r="497" spans="1:11" x14ac:dyDescent="0.3">
      <c r="A497">
        <v>2</v>
      </c>
      <c r="B497">
        <v>1</v>
      </c>
      <c r="C497">
        <v>3</v>
      </c>
      <c r="D497">
        <v>2</v>
      </c>
      <c r="E497">
        <v>2.5</v>
      </c>
      <c r="G497">
        <f t="shared" si="178"/>
        <v>2.5249999999999999</v>
      </c>
      <c r="H497">
        <f t="shared" si="174"/>
        <v>2.5499999999999998</v>
      </c>
      <c r="I497">
        <f t="shared" si="175"/>
        <v>2.5750000000000002</v>
      </c>
      <c r="J497">
        <f t="shared" si="176"/>
        <v>2.6</v>
      </c>
      <c r="K497">
        <f t="shared" si="177"/>
        <v>2.625</v>
      </c>
    </row>
    <row r="498" spans="1:11" x14ac:dyDescent="0.3">
      <c r="A498">
        <v>2</v>
      </c>
      <c r="B498">
        <v>1</v>
      </c>
      <c r="C498">
        <v>3</v>
      </c>
      <c r="D498">
        <v>3</v>
      </c>
      <c r="E498">
        <v>1.6</v>
      </c>
      <c r="G498">
        <f t="shared" si="178"/>
        <v>1.6160000000000001</v>
      </c>
      <c r="H498">
        <f t="shared" si="174"/>
        <v>1.6320000000000001</v>
      </c>
      <c r="I498">
        <f t="shared" si="175"/>
        <v>1.6480000000000001</v>
      </c>
      <c r="J498">
        <f t="shared" si="176"/>
        <v>1.6640000000000001</v>
      </c>
      <c r="K498">
        <f t="shared" si="177"/>
        <v>1.6800000000000002</v>
      </c>
    </row>
    <row r="499" spans="1:11" x14ac:dyDescent="0.3">
      <c r="A499">
        <v>2</v>
      </c>
      <c r="B499">
        <v>1</v>
      </c>
      <c r="C499">
        <v>3</v>
      </c>
      <c r="D499">
        <v>4</v>
      </c>
      <c r="E499">
        <v>3.7</v>
      </c>
      <c r="G499">
        <f t="shared" si="178"/>
        <v>3.7370000000000001</v>
      </c>
      <c r="H499">
        <f t="shared" si="174"/>
        <v>3.774</v>
      </c>
      <c r="I499">
        <f t="shared" si="175"/>
        <v>3.8110000000000004</v>
      </c>
      <c r="J499">
        <f t="shared" si="176"/>
        <v>3.8480000000000003</v>
      </c>
      <c r="K499">
        <f t="shared" si="177"/>
        <v>3.8850000000000002</v>
      </c>
    </row>
    <row r="500" spans="1:11" x14ac:dyDescent="0.3">
      <c r="A500">
        <v>2</v>
      </c>
      <c r="B500">
        <v>1</v>
      </c>
      <c r="C500">
        <v>3</v>
      </c>
      <c r="D500">
        <v>5</v>
      </c>
      <c r="E500">
        <v>3.8</v>
      </c>
      <c r="G500">
        <f t="shared" si="178"/>
        <v>3.8379999999999996</v>
      </c>
      <c r="H500">
        <f t="shared" si="174"/>
        <v>3.8759999999999999</v>
      </c>
      <c r="I500">
        <f t="shared" si="175"/>
        <v>3.9139999999999997</v>
      </c>
      <c r="J500">
        <f t="shared" si="176"/>
        <v>3.952</v>
      </c>
      <c r="K500">
        <f t="shared" si="177"/>
        <v>3.9899999999999998</v>
      </c>
    </row>
    <row r="501" spans="1:11" x14ac:dyDescent="0.3">
      <c r="A501">
        <v>2</v>
      </c>
      <c r="B501">
        <v>1</v>
      </c>
      <c r="C501">
        <v>3</v>
      </c>
      <c r="D501">
        <v>6</v>
      </c>
      <c r="E501">
        <v>4.5999999999999996</v>
      </c>
      <c r="G501">
        <f t="shared" si="178"/>
        <v>4.6459999999999999</v>
      </c>
      <c r="H501">
        <f t="shared" si="174"/>
        <v>4.6919999999999993</v>
      </c>
      <c r="I501">
        <f t="shared" si="175"/>
        <v>4.7379999999999995</v>
      </c>
      <c r="J501">
        <f t="shared" si="176"/>
        <v>4.7839999999999998</v>
      </c>
      <c r="K501">
        <f t="shared" si="177"/>
        <v>4.83</v>
      </c>
    </row>
    <row r="502" spans="1:11" x14ac:dyDescent="0.3">
      <c r="A502">
        <v>2</v>
      </c>
      <c r="B502">
        <v>2</v>
      </c>
      <c r="C502">
        <v>1</v>
      </c>
      <c r="D502">
        <v>1</v>
      </c>
      <c r="E502">
        <v>4.2</v>
      </c>
      <c r="G502">
        <f>E502+(E502*1%)</f>
        <v>4.242</v>
      </c>
      <c r="H502">
        <f t="shared" si="174"/>
        <v>4.2839999999999998</v>
      </c>
      <c r="I502">
        <f t="shared" si="175"/>
        <v>4.3260000000000005</v>
      </c>
      <c r="J502">
        <f t="shared" si="176"/>
        <v>4.3680000000000003</v>
      </c>
      <c r="K502">
        <f t="shared" si="177"/>
        <v>4.41</v>
      </c>
    </row>
    <row r="503" spans="1:11" x14ac:dyDescent="0.3">
      <c r="A503">
        <v>2</v>
      </c>
      <c r="B503">
        <v>2</v>
      </c>
      <c r="C503">
        <v>1</v>
      </c>
      <c r="D503">
        <v>2</v>
      </c>
      <c r="E503">
        <v>4.5</v>
      </c>
      <c r="G503">
        <f t="shared" si="178"/>
        <v>4.5449999999999999</v>
      </c>
      <c r="H503">
        <f t="shared" si="174"/>
        <v>4.59</v>
      </c>
      <c r="I503">
        <f t="shared" si="175"/>
        <v>4.6349999999999998</v>
      </c>
      <c r="J503">
        <f t="shared" si="176"/>
        <v>4.68</v>
      </c>
      <c r="K503">
        <f t="shared" si="177"/>
        <v>4.7249999999999996</v>
      </c>
    </row>
    <row r="504" spans="1:11" x14ac:dyDescent="0.3">
      <c r="A504">
        <v>2</v>
      </c>
      <c r="B504">
        <v>2</v>
      </c>
      <c r="C504">
        <v>1</v>
      </c>
      <c r="D504">
        <v>3</v>
      </c>
      <c r="E504">
        <v>2.5</v>
      </c>
      <c r="G504">
        <f t="shared" si="178"/>
        <v>2.5249999999999999</v>
      </c>
      <c r="H504">
        <f t="shared" si="174"/>
        <v>2.5499999999999998</v>
      </c>
      <c r="I504">
        <f t="shared" si="175"/>
        <v>2.5750000000000002</v>
      </c>
      <c r="J504">
        <f t="shared" si="176"/>
        <v>2.6</v>
      </c>
      <c r="K504">
        <f t="shared" si="177"/>
        <v>2.625</v>
      </c>
    </row>
    <row r="505" spans="1:11" x14ac:dyDescent="0.3">
      <c r="A505">
        <v>2</v>
      </c>
      <c r="B505">
        <v>2</v>
      </c>
      <c r="C505">
        <v>1</v>
      </c>
      <c r="D505">
        <v>4</v>
      </c>
      <c r="E505">
        <v>2.8</v>
      </c>
      <c r="G505">
        <f t="shared" si="178"/>
        <v>2.8279999999999998</v>
      </c>
      <c r="H505">
        <f t="shared" si="174"/>
        <v>2.8559999999999999</v>
      </c>
      <c r="I505">
        <f t="shared" si="175"/>
        <v>2.8839999999999999</v>
      </c>
      <c r="J505">
        <f t="shared" si="176"/>
        <v>2.9119999999999999</v>
      </c>
      <c r="K505">
        <f t="shared" si="177"/>
        <v>2.94</v>
      </c>
    </row>
    <row r="506" spans="1:11" x14ac:dyDescent="0.3">
      <c r="A506">
        <v>2</v>
      </c>
      <c r="B506">
        <v>2</v>
      </c>
      <c r="C506">
        <v>1</v>
      </c>
      <c r="D506">
        <v>5</v>
      </c>
      <c r="E506">
        <v>1.7</v>
      </c>
      <c r="G506">
        <f t="shared" si="178"/>
        <v>1.7169999999999999</v>
      </c>
      <c r="H506">
        <f t="shared" si="174"/>
        <v>1.734</v>
      </c>
      <c r="I506">
        <f t="shared" si="175"/>
        <v>1.7509999999999999</v>
      </c>
      <c r="J506">
        <f t="shared" si="176"/>
        <v>1.768</v>
      </c>
      <c r="K506">
        <f t="shared" si="177"/>
        <v>1.7849999999999999</v>
      </c>
    </row>
    <row r="507" spans="1:11" x14ac:dyDescent="0.3">
      <c r="A507">
        <v>2</v>
      </c>
      <c r="B507">
        <v>2</v>
      </c>
      <c r="C507">
        <v>1</v>
      </c>
      <c r="D507">
        <v>6</v>
      </c>
      <c r="E507">
        <v>3.8</v>
      </c>
      <c r="G507">
        <f t="shared" si="178"/>
        <v>3.8379999999999996</v>
      </c>
      <c r="H507">
        <f t="shared" si="174"/>
        <v>3.8759999999999999</v>
      </c>
      <c r="I507">
        <f t="shared" si="175"/>
        <v>3.9139999999999997</v>
      </c>
      <c r="J507">
        <f t="shared" si="176"/>
        <v>3.952</v>
      </c>
      <c r="K507">
        <f t="shared" si="177"/>
        <v>3.9899999999999998</v>
      </c>
    </row>
    <row r="508" spans="1:11" x14ac:dyDescent="0.3">
      <c r="A508">
        <v>2</v>
      </c>
      <c r="B508">
        <v>2</v>
      </c>
      <c r="C508">
        <v>2</v>
      </c>
      <c r="D508">
        <v>1</v>
      </c>
      <c r="E508">
        <v>3.6</v>
      </c>
      <c r="G508">
        <f t="shared" si="178"/>
        <v>3.6360000000000001</v>
      </c>
      <c r="H508">
        <f t="shared" si="174"/>
        <v>3.6720000000000002</v>
      </c>
      <c r="I508">
        <f t="shared" si="175"/>
        <v>3.7080000000000002</v>
      </c>
      <c r="J508">
        <f t="shared" si="176"/>
        <v>3.7440000000000002</v>
      </c>
      <c r="K508">
        <f>E508+(E508*5%)</f>
        <v>3.7800000000000002</v>
      </c>
    </row>
    <row r="509" spans="1:11" x14ac:dyDescent="0.3">
      <c r="A509">
        <v>2</v>
      </c>
      <c r="B509">
        <v>2</v>
      </c>
      <c r="C509">
        <v>2</v>
      </c>
      <c r="D509">
        <v>2</v>
      </c>
      <c r="E509">
        <v>4.0999999999999996</v>
      </c>
      <c r="G509">
        <f t="shared" si="178"/>
        <v>4.141</v>
      </c>
      <c r="H509">
        <f t="shared" si="174"/>
        <v>4.1819999999999995</v>
      </c>
      <c r="I509">
        <f t="shared" si="175"/>
        <v>4.2229999999999999</v>
      </c>
      <c r="J509">
        <f t="shared" si="176"/>
        <v>4.2639999999999993</v>
      </c>
      <c r="K509">
        <f t="shared" si="177"/>
        <v>4.3049999999999997</v>
      </c>
    </row>
    <row r="510" spans="1:11" x14ac:dyDescent="0.3">
      <c r="A510">
        <v>2</v>
      </c>
      <c r="B510">
        <v>2</v>
      </c>
      <c r="C510">
        <v>2</v>
      </c>
      <c r="D510">
        <v>3</v>
      </c>
      <c r="E510">
        <v>2.8</v>
      </c>
      <c r="G510">
        <f t="shared" si="178"/>
        <v>2.8279999999999998</v>
      </c>
      <c r="H510">
        <f t="shared" si="174"/>
        <v>2.8559999999999999</v>
      </c>
      <c r="I510">
        <f t="shared" si="175"/>
        <v>2.8839999999999999</v>
      </c>
      <c r="J510">
        <f t="shared" si="176"/>
        <v>2.9119999999999999</v>
      </c>
      <c r="K510">
        <f t="shared" si="177"/>
        <v>2.94</v>
      </c>
    </row>
    <row r="511" spans="1:11" x14ac:dyDescent="0.3">
      <c r="A511">
        <v>2</v>
      </c>
      <c r="B511">
        <v>2</v>
      </c>
      <c r="C511">
        <v>2</v>
      </c>
      <c r="D511">
        <v>4</v>
      </c>
      <c r="E511">
        <v>2.5</v>
      </c>
      <c r="G511">
        <f t="shared" si="178"/>
        <v>2.5249999999999999</v>
      </c>
      <c r="H511">
        <f t="shared" si="174"/>
        <v>2.5499999999999998</v>
      </c>
      <c r="I511">
        <f t="shared" si="175"/>
        <v>2.5750000000000002</v>
      </c>
      <c r="J511">
        <f t="shared" si="176"/>
        <v>2.6</v>
      </c>
      <c r="K511">
        <f t="shared" si="177"/>
        <v>2.625</v>
      </c>
    </row>
    <row r="512" spans="1:11" x14ac:dyDescent="0.3">
      <c r="A512">
        <v>2</v>
      </c>
      <c r="B512">
        <v>2</v>
      </c>
      <c r="C512">
        <v>2</v>
      </c>
      <c r="D512">
        <v>5</v>
      </c>
      <c r="E512">
        <v>1.9</v>
      </c>
      <c r="G512">
        <f t="shared" si="178"/>
        <v>1.9189999999999998</v>
      </c>
      <c r="H512">
        <f t="shared" si="174"/>
        <v>1.9379999999999999</v>
      </c>
      <c r="I512">
        <f t="shared" si="175"/>
        <v>1.9569999999999999</v>
      </c>
      <c r="J512">
        <f t="shared" si="176"/>
        <v>1.976</v>
      </c>
      <c r="K512">
        <f t="shared" si="177"/>
        <v>1.9949999999999999</v>
      </c>
    </row>
    <row r="513" spans="1:11" x14ac:dyDescent="0.3">
      <c r="A513">
        <v>2</v>
      </c>
      <c r="B513">
        <v>2</v>
      </c>
      <c r="C513">
        <v>2</v>
      </c>
      <c r="D513">
        <v>6</v>
      </c>
      <c r="E513">
        <v>4.2</v>
      </c>
      <c r="G513">
        <f t="shared" si="178"/>
        <v>4.242</v>
      </c>
      <c r="H513">
        <f t="shared" si="174"/>
        <v>4.2839999999999998</v>
      </c>
      <c r="I513">
        <f t="shared" si="175"/>
        <v>4.3260000000000005</v>
      </c>
      <c r="J513">
        <f t="shared" si="176"/>
        <v>4.3680000000000003</v>
      </c>
      <c r="K513">
        <f t="shared" si="177"/>
        <v>4.41</v>
      </c>
    </row>
    <row r="514" spans="1:11" x14ac:dyDescent="0.3">
      <c r="A514">
        <v>2</v>
      </c>
      <c r="B514">
        <v>2</v>
      </c>
      <c r="C514">
        <v>3</v>
      </c>
      <c r="D514">
        <v>1</v>
      </c>
      <c r="E514">
        <v>4.5999999999999996</v>
      </c>
      <c r="G514">
        <f t="shared" si="178"/>
        <v>4.6459999999999999</v>
      </c>
      <c r="H514">
        <f t="shared" si="174"/>
        <v>4.6919999999999993</v>
      </c>
      <c r="I514">
        <f t="shared" si="175"/>
        <v>4.7379999999999995</v>
      </c>
      <c r="J514">
        <f t="shared" si="176"/>
        <v>4.7839999999999998</v>
      </c>
      <c r="K514">
        <f t="shared" si="177"/>
        <v>4.83</v>
      </c>
    </row>
    <row r="515" spans="1:11" x14ac:dyDescent="0.3">
      <c r="A515">
        <v>2</v>
      </c>
      <c r="B515">
        <v>2</v>
      </c>
      <c r="C515">
        <v>3</v>
      </c>
      <c r="D515">
        <v>2</v>
      </c>
      <c r="E515">
        <v>5.0999999999999996</v>
      </c>
      <c r="G515">
        <f t="shared" si="178"/>
        <v>5.1509999999999998</v>
      </c>
      <c r="H515">
        <f t="shared" si="174"/>
        <v>5.202</v>
      </c>
      <c r="I515">
        <f t="shared" si="175"/>
        <v>5.2529999999999992</v>
      </c>
      <c r="J515">
        <f t="shared" si="176"/>
        <v>5.3039999999999994</v>
      </c>
      <c r="K515">
        <f t="shared" si="177"/>
        <v>5.3549999999999995</v>
      </c>
    </row>
    <row r="516" spans="1:11" x14ac:dyDescent="0.3">
      <c r="A516">
        <v>2</v>
      </c>
      <c r="B516">
        <v>2</v>
      </c>
      <c r="C516">
        <v>3</v>
      </c>
      <c r="D516">
        <v>3</v>
      </c>
      <c r="E516">
        <v>3.7</v>
      </c>
      <c r="G516">
        <f t="shared" si="178"/>
        <v>3.7370000000000001</v>
      </c>
      <c r="H516">
        <f t="shared" si="174"/>
        <v>3.774</v>
      </c>
      <c r="I516">
        <f t="shared" si="175"/>
        <v>3.8110000000000004</v>
      </c>
      <c r="J516">
        <f t="shared" si="176"/>
        <v>3.8480000000000003</v>
      </c>
      <c r="K516">
        <f t="shared" si="177"/>
        <v>3.8850000000000002</v>
      </c>
    </row>
    <row r="517" spans="1:11" x14ac:dyDescent="0.3">
      <c r="A517">
        <v>2</v>
      </c>
      <c r="B517">
        <v>2</v>
      </c>
      <c r="C517">
        <v>3</v>
      </c>
      <c r="D517">
        <v>4</v>
      </c>
      <c r="E517">
        <v>1.6</v>
      </c>
      <c r="G517">
        <f t="shared" si="178"/>
        <v>1.6160000000000001</v>
      </c>
      <c r="H517">
        <f t="shared" si="174"/>
        <v>1.6320000000000001</v>
      </c>
      <c r="I517">
        <f t="shared" si="175"/>
        <v>1.6480000000000001</v>
      </c>
      <c r="J517">
        <f t="shared" si="176"/>
        <v>1.6640000000000001</v>
      </c>
      <c r="K517">
        <f t="shared" si="177"/>
        <v>1.6800000000000002</v>
      </c>
    </row>
    <row r="518" spans="1:11" x14ac:dyDescent="0.3">
      <c r="A518">
        <v>2</v>
      </c>
      <c r="B518">
        <v>2</v>
      </c>
      <c r="C518">
        <v>3</v>
      </c>
      <c r="D518">
        <v>5</v>
      </c>
      <c r="E518">
        <v>2.5</v>
      </c>
      <c r="G518">
        <f t="shared" si="178"/>
        <v>2.5249999999999999</v>
      </c>
      <c r="H518">
        <f t="shared" si="174"/>
        <v>2.5499999999999998</v>
      </c>
      <c r="I518">
        <f t="shared" si="175"/>
        <v>2.5750000000000002</v>
      </c>
      <c r="J518">
        <f t="shared" si="176"/>
        <v>2.6</v>
      </c>
      <c r="K518">
        <f t="shared" si="177"/>
        <v>2.625</v>
      </c>
    </row>
    <row r="519" spans="1:11" x14ac:dyDescent="0.3">
      <c r="A519">
        <v>2</v>
      </c>
      <c r="B519">
        <v>2</v>
      </c>
      <c r="C519">
        <v>3</v>
      </c>
      <c r="D519">
        <v>6</v>
      </c>
      <c r="E519">
        <v>2.6</v>
      </c>
      <c r="G519">
        <f t="shared" si="178"/>
        <v>2.6259999999999999</v>
      </c>
      <c r="H519">
        <f t="shared" si="174"/>
        <v>2.6520000000000001</v>
      </c>
      <c r="I519">
        <f t="shared" si="175"/>
        <v>2.6779999999999999</v>
      </c>
      <c r="J519">
        <f t="shared" si="176"/>
        <v>2.7040000000000002</v>
      </c>
      <c r="K519">
        <f t="shared" si="177"/>
        <v>2.73</v>
      </c>
    </row>
    <row r="520" spans="1:11" x14ac:dyDescent="0.3">
      <c r="A520">
        <v>3</v>
      </c>
      <c r="B520">
        <v>1</v>
      </c>
      <c r="C520">
        <v>1</v>
      </c>
      <c r="D520">
        <v>1</v>
      </c>
      <c r="E520">
        <v>5.2</v>
      </c>
      <c r="G520">
        <f t="shared" si="178"/>
        <v>5.2519999999999998</v>
      </c>
      <c r="H520">
        <f t="shared" si="174"/>
        <v>5.3040000000000003</v>
      </c>
      <c r="I520">
        <f t="shared" si="175"/>
        <v>5.3559999999999999</v>
      </c>
      <c r="J520">
        <f t="shared" si="176"/>
        <v>5.4080000000000004</v>
      </c>
      <c r="K520">
        <f t="shared" si="177"/>
        <v>5.46</v>
      </c>
    </row>
    <row r="521" spans="1:11" x14ac:dyDescent="0.3">
      <c r="A521">
        <v>3</v>
      </c>
      <c r="B521">
        <v>1</v>
      </c>
      <c r="C521">
        <v>1</v>
      </c>
      <c r="D521">
        <v>2</v>
      </c>
      <c r="E521">
        <v>4.5999999999999996</v>
      </c>
      <c r="G521">
        <f t="shared" si="178"/>
        <v>4.6459999999999999</v>
      </c>
      <c r="H521">
        <f t="shared" si="174"/>
        <v>4.6919999999999993</v>
      </c>
      <c r="I521">
        <f t="shared" si="175"/>
        <v>4.7379999999999995</v>
      </c>
      <c r="J521">
        <f t="shared" si="176"/>
        <v>4.7839999999999998</v>
      </c>
      <c r="K521">
        <f t="shared" si="177"/>
        <v>4.83</v>
      </c>
    </row>
    <row r="522" spans="1:11" x14ac:dyDescent="0.3">
      <c r="A522">
        <v>3</v>
      </c>
      <c r="B522">
        <v>1</v>
      </c>
      <c r="C522">
        <v>1</v>
      </c>
      <c r="D522">
        <v>3</v>
      </c>
      <c r="E522">
        <v>2.6</v>
      </c>
      <c r="G522">
        <f t="shared" si="178"/>
        <v>2.6259999999999999</v>
      </c>
      <c r="H522">
        <f t="shared" si="174"/>
        <v>2.6520000000000001</v>
      </c>
      <c r="I522">
        <f t="shared" si="175"/>
        <v>2.6779999999999999</v>
      </c>
      <c r="J522">
        <f t="shared" si="176"/>
        <v>2.7040000000000002</v>
      </c>
      <c r="K522">
        <f t="shared" si="177"/>
        <v>2.73</v>
      </c>
    </row>
    <row r="523" spans="1:11" x14ac:dyDescent="0.3">
      <c r="A523">
        <v>3</v>
      </c>
      <c r="B523">
        <v>1</v>
      </c>
      <c r="C523">
        <v>1</v>
      </c>
      <c r="D523">
        <v>4</v>
      </c>
      <c r="E523">
        <v>2.9</v>
      </c>
      <c r="G523">
        <f t="shared" si="178"/>
        <v>2.9289999999999998</v>
      </c>
      <c r="H523">
        <f t="shared" ref="H523:H585" si="179">E523+(E523*2%)</f>
        <v>2.9579999999999997</v>
      </c>
      <c r="I523">
        <f t="shared" ref="I523:I586" si="180">E523+(E523*3%)</f>
        <v>2.9870000000000001</v>
      </c>
      <c r="J523">
        <f t="shared" ref="J523:J586" si="181">E523+(E523*4%)</f>
        <v>3.016</v>
      </c>
      <c r="K523">
        <f t="shared" ref="K523:K586" si="182">E523+(E523*5%)</f>
        <v>3.0449999999999999</v>
      </c>
    </row>
    <row r="524" spans="1:11" x14ac:dyDescent="0.3">
      <c r="A524">
        <v>3</v>
      </c>
      <c r="B524">
        <v>1</v>
      </c>
      <c r="C524">
        <v>1</v>
      </c>
      <c r="D524">
        <v>5</v>
      </c>
      <c r="E524">
        <v>1.4</v>
      </c>
      <c r="G524">
        <f t="shared" ref="G524:G587" si="183">E524+(E524*1%)</f>
        <v>1.4139999999999999</v>
      </c>
      <c r="H524">
        <f t="shared" si="179"/>
        <v>1.4279999999999999</v>
      </c>
      <c r="I524">
        <f t="shared" si="180"/>
        <v>1.4419999999999999</v>
      </c>
      <c r="J524">
        <f t="shared" si="181"/>
        <v>1.456</v>
      </c>
      <c r="K524">
        <f t="shared" si="182"/>
        <v>1.47</v>
      </c>
    </row>
    <row r="525" spans="1:11" x14ac:dyDescent="0.3">
      <c r="A525">
        <v>3</v>
      </c>
      <c r="B525">
        <v>1</v>
      </c>
      <c r="C525">
        <v>1</v>
      </c>
      <c r="D525">
        <v>6</v>
      </c>
      <c r="E525">
        <v>3.6</v>
      </c>
      <c r="G525">
        <f t="shared" si="183"/>
        <v>3.6360000000000001</v>
      </c>
      <c r="H525">
        <f t="shared" si="179"/>
        <v>3.6720000000000002</v>
      </c>
      <c r="I525">
        <f t="shared" si="180"/>
        <v>3.7080000000000002</v>
      </c>
      <c r="J525">
        <f t="shared" si="181"/>
        <v>3.7440000000000002</v>
      </c>
      <c r="K525">
        <f t="shared" si="182"/>
        <v>3.7800000000000002</v>
      </c>
    </row>
    <row r="526" spans="1:11" x14ac:dyDescent="0.3">
      <c r="A526">
        <v>3</v>
      </c>
      <c r="B526">
        <v>1</v>
      </c>
      <c r="C526">
        <v>2</v>
      </c>
      <c r="D526">
        <v>1</v>
      </c>
      <c r="E526">
        <v>2.6</v>
      </c>
      <c r="G526">
        <f t="shared" si="183"/>
        <v>2.6259999999999999</v>
      </c>
      <c r="H526">
        <f t="shared" si="179"/>
        <v>2.6520000000000001</v>
      </c>
      <c r="I526">
        <f t="shared" si="180"/>
        <v>2.6779999999999999</v>
      </c>
      <c r="J526">
        <f t="shared" si="181"/>
        <v>2.7040000000000002</v>
      </c>
      <c r="K526">
        <f t="shared" si="182"/>
        <v>2.73</v>
      </c>
    </row>
    <row r="527" spans="1:11" x14ac:dyDescent="0.3">
      <c r="A527">
        <v>3</v>
      </c>
      <c r="B527">
        <v>1</v>
      </c>
      <c r="C527">
        <v>2</v>
      </c>
      <c r="D527">
        <v>2</v>
      </c>
      <c r="E527">
        <v>4.5999999999999996</v>
      </c>
      <c r="G527">
        <f t="shared" si="183"/>
        <v>4.6459999999999999</v>
      </c>
      <c r="H527">
        <f t="shared" si="179"/>
        <v>4.6919999999999993</v>
      </c>
      <c r="I527">
        <f t="shared" si="180"/>
        <v>4.7379999999999995</v>
      </c>
      <c r="J527">
        <f t="shared" si="181"/>
        <v>4.7839999999999998</v>
      </c>
      <c r="K527">
        <f t="shared" si="182"/>
        <v>4.83</v>
      </c>
    </row>
    <row r="528" spans="1:11" x14ac:dyDescent="0.3">
      <c r="A528">
        <v>3</v>
      </c>
      <c r="B528">
        <v>1</v>
      </c>
      <c r="C528">
        <v>2</v>
      </c>
      <c r="D528">
        <v>3</v>
      </c>
      <c r="E528">
        <v>3.7</v>
      </c>
      <c r="G528">
        <f t="shared" si="183"/>
        <v>3.7370000000000001</v>
      </c>
      <c r="H528">
        <f t="shared" si="179"/>
        <v>3.774</v>
      </c>
      <c r="I528">
        <f t="shared" si="180"/>
        <v>3.8110000000000004</v>
      </c>
      <c r="J528">
        <f t="shared" si="181"/>
        <v>3.8480000000000003</v>
      </c>
      <c r="K528">
        <f t="shared" si="182"/>
        <v>3.8850000000000002</v>
      </c>
    </row>
    <row r="529" spans="1:11" x14ac:dyDescent="0.3">
      <c r="A529">
        <v>3</v>
      </c>
      <c r="B529">
        <v>1</v>
      </c>
      <c r="C529">
        <v>2</v>
      </c>
      <c r="D529">
        <v>4</v>
      </c>
      <c r="E529">
        <v>2.7</v>
      </c>
      <c r="G529">
        <f t="shared" si="183"/>
        <v>2.7270000000000003</v>
      </c>
      <c r="H529">
        <f t="shared" si="179"/>
        <v>2.754</v>
      </c>
      <c r="I529">
        <f t="shared" si="180"/>
        <v>2.7810000000000001</v>
      </c>
      <c r="J529">
        <f t="shared" si="181"/>
        <v>2.8080000000000003</v>
      </c>
      <c r="K529">
        <f t="shared" si="182"/>
        <v>2.835</v>
      </c>
    </row>
    <row r="530" spans="1:11" x14ac:dyDescent="0.3">
      <c r="A530">
        <v>3</v>
      </c>
      <c r="B530">
        <v>1</v>
      </c>
      <c r="C530">
        <v>2</v>
      </c>
      <c r="D530">
        <v>5</v>
      </c>
      <c r="E530">
        <v>2.6</v>
      </c>
      <c r="G530">
        <f t="shared" si="183"/>
        <v>2.6259999999999999</v>
      </c>
      <c r="H530">
        <f t="shared" si="179"/>
        <v>2.6520000000000001</v>
      </c>
      <c r="I530">
        <f t="shared" si="180"/>
        <v>2.6779999999999999</v>
      </c>
      <c r="J530">
        <f t="shared" si="181"/>
        <v>2.7040000000000002</v>
      </c>
      <c r="K530">
        <f t="shared" si="182"/>
        <v>2.73</v>
      </c>
    </row>
    <row r="531" spans="1:11" x14ac:dyDescent="0.3">
      <c r="A531">
        <v>3</v>
      </c>
      <c r="B531">
        <v>1</v>
      </c>
      <c r="C531">
        <v>2</v>
      </c>
      <c r="D531">
        <v>6</v>
      </c>
      <c r="E531">
        <v>2.7</v>
      </c>
      <c r="G531">
        <f t="shared" si="183"/>
        <v>2.7270000000000003</v>
      </c>
      <c r="H531">
        <f t="shared" si="179"/>
        <v>2.754</v>
      </c>
      <c r="I531">
        <f t="shared" si="180"/>
        <v>2.7810000000000001</v>
      </c>
      <c r="J531">
        <f t="shared" si="181"/>
        <v>2.8080000000000003</v>
      </c>
      <c r="K531">
        <f t="shared" si="182"/>
        <v>2.835</v>
      </c>
    </row>
    <row r="532" spans="1:11" x14ac:dyDescent="0.3">
      <c r="A532">
        <v>3</v>
      </c>
      <c r="B532">
        <v>1</v>
      </c>
      <c r="C532">
        <v>3</v>
      </c>
      <c r="D532">
        <v>1</v>
      </c>
      <c r="E532">
        <v>2.7</v>
      </c>
      <c r="G532">
        <f t="shared" si="183"/>
        <v>2.7270000000000003</v>
      </c>
      <c r="H532">
        <f t="shared" si="179"/>
        <v>2.754</v>
      </c>
      <c r="I532">
        <f t="shared" si="180"/>
        <v>2.7810000000000001</v>
      </c>
      <c r="J532">
        <f t="shared" si="181"/>
        <v>2.8080000000000003</v>
      </c>
      <c r="K532">
        <f t="shared" si="182"/>
        <v>2.835</v>
      </c>
    </row>
    <row r="533" spans="1:11" x14ac:dyDescent="0.3">
      <c r="A533">
        <v>3</v>
      </c>
      <c r="B533">
        <v>1</v>
      </c>
      <c r="C533">
        <v>3</v>
      </c>
      <c r="D533">
        <v>2</v>
      </c>
      <c r="E533">
        <v>2.8</v>
      </c>
      <c r="G533">
        <f t="shared" si="183"/>
        <v>2.8279999999999998</v>
      </c>
      <c r="H533">
        <f t="shared" si="179"/>
        <v>2.8559999999999999</v>
      </c>
      <c r="I533">
        <f t="shared" si="180"/>
        <v>2.8839999999999999</v>
      </c>
      <c r="J533">
        <f t="shared" si="181"/>
        <v>2.9119999999999999</v>
      </c>
      <c r="K533">
        <f t="shared" si="182"/>
        <v>2.94</v>
      </c>
    </row>
    <row r="534" spans="1:11" x14ac:dyDescent="0.3">
      <c r="A534">
        <v>3</v>
      </c>
      <c r="B534">
        <v>1</v>
      </c>
      <c r="C534">
        <v>3</v>
      </c>
      <c r="D534">
        <v>3</v>
      </c>
      <c r="E534">
        <v>4.2</v>
      </c>
      <c r="G534">
        <f t="shared" si="183"/>
        <v>4.242</v>
      </c>
      <c r="H534">
        <f t="shared" si="179"/>
        <v>4.2839999999999998</v>
      </c>
      <c r="I534">
        <f t="shared" si="180"/>
        <v>4.3260000000000005</v>
      </c>
      <c r="J534">
        <f t="shared" si="181"/>
        <v>4.3680000000000003</v>
      </c>
      <c r="K534">
        <f t="shared" si="182"/>
        <v>4.41</v>
      </c>
    </row>
    <row r="535" spans="1:11" x14ac:dyDescent="0.3">
      <c r="A535">
        <v>3</v>
      </c>
      <c r="B535">
        <v>1</v>
      </c>
      <c r="C535">
        <v>3</v>
      </c>
      <c r="D535">
        <v>4</v>
      </c>
      <c r="E535">
        <v>3.7</v>
      </c>
      <c r="G535">
        <f t="shared" si="183"/>
        <v>3.7370000000000001</v>
      </c>
      <c r="H535">
        <f t="shared" si="179"/>
        <v>3.774</v>
      </c>
      <c r="I535">
        <f t="shared" si="180"/>
        <v>3.8110000000000004</v>
      </c>
      <c r="J535">
        <f t="shared" si="181"/>
        <v>3.8480000000000003</v>
      </c>
      <c r="K535">
        <f t="shared" si="182"/>
        <v>3.8850000000000002</v>
      </c>
    </row>
    <row r="536" spans="1:11" x14ac:dyDescent="0.3">
      <c r="A536">
        <v>3</v>
      </c>
      <c r="B536">
        <v>1</v>
      </c>
      <c r="C536">
        <v>3</v>
      </c>
      <c r="D536">
        <v>5</v>
      </c>
      <c r="E536">
        <v>5.3</v>
      </c>
      <c r="G536">
        <f t="shared" si="183"/>
        <v>5.3529999999999998</v>
      </c>
      <c r="H536">
        <f t="shared" si="179"/>
        <v>5.4059999999999997</v>
      </c>
      <c r="I536">
        <f t="shared" si="180"/>
        <v>5.4589999999999996</v>
      </c>
      <c r="J536">
        <f t="shared" si="181"/>
        <v>5.5119999999999996</v>
      </c>
      <c r="K536">
        <f t="shared" si="182"/>
        <v>5.5649999999999995</v>
      </c>
    </row>
    <row r="537" spans="1:11" x14ac:dyDescent="0.3">
      <c r="A537">
        <v>3</v>
      </c>
      <c r="B537">
        <v>1</v>
      </c>
      <c r="C537">
        <v>3</v>
      </c>
      <c r="D537">
        <v>6</v>
      </c>
      <c r="E537">
        <v>2.9</v>
      </c>
      <c r="G537">
        <f t="shared" si="183"/>
        <v>2.9289999999999998</v>
      </c>
      <c r="H537">
        <f t="shared" si="179"/>
        <v>2.9579999999999997</v>
      </c>
      <c r="I537">
        <f t="shared" si="180"/>
        <v>2.9870000000000001</v>
      </c>
      <c r="J537">
        <f t="shared" si="181"/>
        <v>3.016</v>
      </c>
      <c r="K537">
        <f t="shared" si="182"/>
        <v>3.0449999999999999</v>
      </c>
    </row>
    <row r="538" spans="1:11" x14ac:dyDescent="0.3">
      <c r="A538">
        <v>3</v>
      </c>
      <c r="B538">
        <v>2</v>
      </c>
      <c r="C538">
        <v>1</v>
      </c>
      <c r="D538">
        <v>1</v>
      </c>
      <c r="E538">
        <v>4.7</v>
      </c>
      <c r="G538">
        <f t="shared" si="183"/>
        <v>4.7469999999999999</v>
      </c>
      <c r="H538">
        <f t="shared" si="179"/>
        <v>4.7940000000000005</v>
      </c>
      <c r="I538">
        <f t="shared" si="180"/>
        <v>4.8410000000000002</v>
      </c>
      <c r="J538">
        <f t="shared" si="181"/>
        <v>4.8879999999999999</v>
      </c>
      <c r="K538">
        <f t="shared" si="182"/>
        <v>4.9350000000000005</v>
      </c>
    </row>
    <row r="539" spans="1:11" x14ac:dyDescent="0.3">
      <c r="A539">
        <v>3</v>
      </c>
      <c r="B539">
        <v>2</v>
      </c>
      <c r="C539">
        <v>1</v>
      </c>
      <c r="D539">
        <v>2</v>
      </c>
      <c r="E539">
        <v>3.7</v>
      </c>
      <c r="G539">
        <f t="shared" si="183"/>
        <v>3.7370000000000001</v>
      </c>
      <c r="H539">
        <f t="shared" si="179"/>
        <v>3.774</v>
      </c>
      <c r="I539">
        <f t="shared" si="180"/>
        <v>3.8110000000000004</v>
      </c>
      <c r="J539">
        <f t="shared" si="181"/>
        <v>3.8480000000000003</v>
      </c>
      <c r="K539">
        <f t="shared" si="182"/>
        <v>3.8850000000000002</v>
      </c>
    </row>
    <row r="540" spans="1:11" x14ac:dyDescent="0.3">
      <c r="A540">
        <v>3</v>
      </c>
      <c r="B540">
        <v>2</v>
      </c>
      <c r="C540">
        <v>1</v>
      </c>
      <c r="D540">
        <v>3</v>
      </c>
      <c r="E540">
        <v>3.8</v>
      </c>
      <c r="G540">
        <f t="shared" si="183"/>
        <v>3.8379999999999996</v>
      </c>
      <c r="H540">
        <f t="shared" si="179"/>
        <v>3.8759999999999999</v>
      </c>
      <c r="I540">
        <f t="shared" si="180"/>
        <v>3.9139999999999997</v>
      </c>
      <c r="J540">
        <f t="shared" si="181"/>
        <v>3.952</v>
      </c>
      <c r="K540">
        <f t="shared" si="182"/>
        <v>3.9899999999999998</v>
      </c>
    </row>
    <row r="541" spans="1:11" x14ac:dyDescent="0.3">
      <c r="A541">
        <v>3</v>
      </c>
      <c r="B541">
        <v>2</v>
      </c>
      <c r="C541">
        <v>1</v>
      </c>
      <c r="D541">
        <v>4</v>
      </c>
      <c r="E541">
        <v>1.9</v>
      </c>
      <c r="G541">
        <f t="shared" si="183"/>
        <v>1.9189999999999998</v>
      </c>
      <c r="H541">
        <f t="shared" si="179"/>
        <v>1.9379999999999999</v>
      </c>
      <c r="I541">
        <f t="shared" si="180"/>
        <v>1.9569999999999999</v>
      </c>
      <c r="J541">
        <f t="shared" si="181"/>
        <v>1.976</v>
      </c>
      <c r="K541">
        <f t="shared" si="182"/>
        <v>1.9949999999999999</v>
      </c>
    </row>
    <row r="542" spans="1:11" x14ac:dyDescent="0.3">
      <c r="A542">
        <v>3</v>
      </c>
      <c r="B542">
        <v>2</v>
      </c>
      <c r="C542">
        <v>1</v>
      </c>
      <c r="D542">
        <v>5</v>
      </c>
      <c r="E542">
        <v>2.5</v>
      </c>
      <c r="G542">
        <f t="shared" si="183"/>
        <v>2.5249999999999999</v>
      </c>
      <c r="H542">
        <f t="shared" si="179"/>
        <v>2.5499999999999998</v>
      </c>
      <c r="I542">
        <f t="shared" si="180"/>
        <v>2.5750000000000002</v>
      </c>
      <c r="J542">
        <f t="shared" si="181"/>
        <v>2.6</v>
      </c>
      <c r="K542">
        <f t="shared" si="182"/>
        <v>2.625</v>
      </c>
    </row>
    <row r="543" spans="1:11" x14ac:dyDescent="0.3">
      <c r="A543">
        <v>3</v>
      </c>
      <c r="B543">
        <v>2</v>
      </c>
      <c r="C543">
        <v>1</v>
      </c>
      <c r="D543">
        <v>6</v>
      </c>
      <c r="E543">
        <v>2.9</v>
      </c>
      <c r="G543">
        <f t="shared" si="183"/>
        <v>2.9289999999999998</v>
      </c>
      <c r="H543">
        <f t="shared" si="179"/>
        <v>2.9579999999999997</v>
      </c>
      <c r="I543">
        <f t="shared" si="180"/>
        <v>2.9870000000000001</v>
      </c>
      <c r="J543">
        <f t="shared" si="181"/>
        <v>3.016</v>
      </c>
      <c r="K543">
        <f t="shared" si="182"/>
        <v>3.0449999999999999</v>
      </c>
    </row>
    <row r="544" spans="1:11" x14ac:dyDescent="0.3">
      <c r="A544">
        <v>3</v>
      </c>
      <c r="B544">
        <v>2</v>
      </c>
      <c r="C544">
        <v>2</v>
      </c>
      <c r="D544">
        <v>1</v>
      </c>
      <c r="E544">
        <v>2.6</v>
      </c>
      <c r="G544">
        <f t="shared" si="183"/>
        <v>2.6259999999999999</v>
      </c>
      <c r="H544">
        <f t="shared" si="179"/>
        <v>2.6520000000000001</v>
      </c>
      <c r="I544">
        <f t="shared" si="180"/>
        <v>2.6779999999999999</v>
      </c>
      <c r="J544">
        <f t="shared" si="181"/>
        <v>2.7040000000000002</v>
      </c>
      <c r="K544">
        <f>E544+(E544*5%)</f>
        <v>2.73</v>
      </c>
    </row>
    <row r="545" spans="1:11" x14ac:dyDescent="0.3">
      <c r="A545">
        <v>3</v>
      </c>
      <c r="B545">
        <v>2</v>
      </c>
      <c r="C545">
        <v>2</v>
      </c>
      <c r="D545">
        <v>2</v>
      </c>
      <c r="E545">
        <v>2.1</v>
      </c>
      <c r="G545">
        <f t="shared" si="183"/>
        <v>2.121</v>
      </c>
      <c r="H545">
        <f t="shared" si="179"/>
        <v>2.1419999999999999</v>
      </c>
      <c r="I545">
        <f t="shared" si="180"/>
        <v>2.1630000000000003</v>
      </c>
      <c r="J545">
        <f t="shared" si="181"/>
        <v>2.1840000000000002</v>
      </c>
      <c r="K545">
        <f t="shared" si="182"/>
        <v>2.2050000000000001</v>
      </c>
    </row>
    <row r="546" spans="1:11" x14ac:dyDescent="0.3">
      <c r="A546">
        <v>3</v>
      </c>
      <c r="B546">
        <v>2</v>
      </c>
      <c r="C546">
        <v>2</v>
      </c>
      <c r="D546">
        <v>3</v>
      </c>
      <c r="E546">
        <v>3.2</v>
      </c>
      <c r="G546">
        <f t="shared" si="183"/>
        <v>3.2320000000000002</v>
      </c>
      <c r="H546">
        <f t="shared" si="179"/>
        <v>3.2640000000000002</v>
      </c>
      <c r="I546">
        <f t="shared" si="180"/>
        <v>3.2960000000000003</v>
      </c>
      <c r="J546">
        <f t="shared" si="181"/>
        <v>3.3280000000000003</v>
      </c>
      <c r="K546">
        <f t="shared" si="182"/>
        <v>3.3600000000000003</v>
      </c>
    </row>
    <row r="547" spans="1:11" x14ac:dyDescent="0.3">
      <c r="A547">
        <v>3</v>
      </c>
      <c r="B547">
        <v>2</v>
      </c>
      <c r="C547">
        <v>2</v>
      </c>
      <c r="D547">
        <v>4</v>
      </c>
      <c r="E547">
        <v>6.2</v>
      </c>
      <c r="G547">
        <f t="shared" si="183"/>
        <v>6.2620000000000005</v>
      </c>
      <c r="H547">
        <f t="shared" si="179"/>
        <v>6.3239999999999998</v>
      </c>
      <c r="I547">
        <f t="shared" si="180"/>
        <v>6.3860000000000001</v>
      </c>
      <c r="J547">
        <f t="shared" si="181"/>
        <v>6.4480000000000004</v>
      </c>
      <c r="K547">
        <f t="shared" si="182"/>
        <v>6.51</v>
      </c>
    </row>
    <row r="548" spans="1:11" x14ac:dyDescent="0.3">
      <c r="A548">
        <v>3</v>
      </c>
      <c r="B548">
        <v>2</v>
      </c>
      <c r="C548">
        <v>2</v>
      </c>
      <c r="D548">
        <v>5</v>
      </c>
      <c r="E548">
        <v>1.7</v>
      </c>
      <c r="G548">
        <f t="shared" si="183"/>
        <v>1.7169999999999999</v>
      </c>
      <c r="H548">
        <f t="shared" si="179"/>
        <v>1.734</v>
      </c>
      <c r="I548">
        <f t="shared" si="180"/>
        <v>1.7509999999999999</v>
      </c>
      <c r="J548">
        <f t="shared" si="181"/>
        <v>1.768</v>
      </c>
      <c r="K548">
        <f t="shared" si="182"/>
        <v>1.7849999999999999</v>
      </c>
    </row>
    <row r="549" spans="1:11" x14ac:dyDescent="0.3">
      <c r="A549">
        <v>3</v>
      </c>
      <c r="B549">
        <v>2</v>
      </c>
      <c r="C549">
        <v>2</v>
      </c>
      <c r="D549">
        <v>6</v>
      </c>
      <c r="E549">
        <v>1.5</v>
      </c>
      <c r="G549">
        <f t="shared" si="183"/>
        <v>1.5149999999999999</v>
      </c>
      <c r="H549">
        <f t="shared" si="179"/>
        <v>1.53</v>
      </c>
      <c r="I549">
        <f t="shared" si="180"/>
        <v>1.5449999999999999</v>
      </c>
      <c r="J549">
        <f t="shared" si="181"/>
        <v>1.56</v>
      </c>
      <c r="K549">
        <f t="shared" si="182"/>
        <v>1.575</v>
      </c>
    </row>
    <row r="550" spans="1:11" x14ac:dyDescent="0.3">
      <c r="A550">
        <v>3</v>
      </c>
      <c r="B550">
        <v>2</v>
      </c>
      <c r="C550">
        <v>3</v>
      </c>
      <c r="D550">
        <v>1</v>
      </c>
      <c r="E550">
        <v>1.3</v>
      </c>
      <c r="G550">
        <f>E550+(E550*1%)</f>
        <v>1.3129999999999999</v>
      </c>
      <c r="H550">
        <f t="shared" si="179"/>
        <v>1.3260000000000001</v>
      </c>
      <c r="I550">
        <f t="shared" si="180"/>
        <v>1.339</v>
      </c>
      <c r="J550">
        <f t="shared" si="181"/>
        <v>1.3520000000000001</v>
      </c>
      <c r="K550">
        <f t="shared" si="182"/>
        <v>1.365</v>
      </c>
    </row>
    <row r="551" spans="1:11" x14ac:dyDescent="0.3">
      <c r="A551">
        <v>3</v>
      </c>
      <c r="B551">
        <v>2</v>
      </c>
      <c r="C551">
        <v>3</v>
      </c>
      <c r="D551">
        <v>2</v>
      </c>
      <c r="E551">
        <v>1.8</v>
      </c>
      <c r="G551">
        <f t="shared" si="183"/>
        <v>1.8180000000000001</v>
      </c>
      <c r="H551">
        <f t="shared" si="179"/>
        <v>1.8360000000000001</v>
      </c>
      <c r="I551">
        <f t="shared" si="180"/>
        <v>1.8540000000000001</v>
      </c>
      <c r="J551">
        <f t="shared" si="181"/>
        <v>1.8720000000000001</v>
      </c>
      <c r="K551">
        <f t="shared" si="182"/>
        <v>1.8900000000000001</v>
      </c>
    </row>
    <row r="552" spans="1:11" x14ac:dyDescent="0.3">
      <c r="A552">
        <v>3</v>
      </c>
      <c r="B552">
        <v>2</v>
      </c>
      <c r="C552">
        <v>3</v>
      </c>
      <c r="D552">
        <v>3</v>
      </c>
      <c r="E552">
        <v>4.0999999999999996</v>
      </c>
      <c r="G552">
        <f t="shared" si="183"/>
        <v>4.141</v>
      </c>
      <c r="H552">
        <f t="shared" si="179"/>
        <v>4.1819999999999995</v>
      </c>
      <c r="I552">
        <f t="shared" si="180"/>
        <v>4.2229999999999999</v>
      </c>
      <c r="J552">
        <f t="shared" si="181"/>
        <v>4.2639999999999993</v>
      </c>
      <c r="K552">
        <f t="shared" si="182"/>
        <v>4.3049999999999997</v>
      </c>
    </row>
    <row r="553" spans="1:11" x14ac:dyDescent="0.3">
      <c r="A553">
        <v>3</v>
      </c>
      <c r="B553">
        <v>2</v>
      </c>
      <c r="C553">
        <v>3</v>
      </c>
      <c r="D553">
        <v>4</v>
      </c>
      <c r="E553">
        <v>3.6</v>
      </c>
      <c r="G553">
        <f t="shared" si="183"/>
        <v>3.6360000000000001</v>
      </c>
      <c r="H553">
        <f t="shared" si="179"/>
        <v>3.6720000000000002</v>
      </c>
      <c r="I553">
        <f t="shared" si="180"/>
        <v>3.7080000000000002</v>
      </c>
      <c r="J553">
        <f t="shared" si="181"/>
        <v>3.7440000000000002</v>
      </c>
      <c r="K553">
        <f t="shared" si="182"/>
        <v>3.7800000000000002</v>
      </c>
    </row>
    <row r="554" spans="1:11" x14ac:dyDescent="0.3">
      <c r="A554">
        <v>3</v>
      </c>
      <c r="B554">
        <v>2</v>
      </c>
      <c r="C554">
        <v>3</v>
      </c>
      <c r="D554">
        <v>5</v>
      </c>
      <c r="E554">
        <v>3.4</v>
      </c>
      <c r="G554">
        <f t="shared" si="183"/>
        <v>3.4339999999999997</v>
      </c>
      <c r="H554">
        <f t="shared" si="179"/>
        <v>3.468</v>
      </c>
      <c r="I554">
        <f t="shared" si="180"/>
        <v>3.5019999999999998</v>
      </c>
      <c r="J554">
        <f t="shared" si="181"/>
        <v>3.536</v>
      </c>
      <c r="K554">
        <f t="shared" si="182"/>
        <v>3.57</v>
      </c>
    </row>
    <row r="555" spans="1:11" x14ac:dyDescent="0.3">
      <c r="A555">
        <v>3</v>
      </c>
      <c r="B555">
        <v>2</v>
      </c>
      <c r="C555">
        <v>3</v>
      </c>
      <c r="D555">
        <v>6</v>
      </c>
      <c r="E555">
        <v>2.5</v>
      </c>
      <c r="G555">
        <f t="shared" si="183"/>
        <v>2.5249999999999999</v>
      </c>
      <c r="H555">
        <f t="shared" si="179"/>
        <v>2.5499999999999998</v>
      </c>
      <c r="I555">
        <f t="shared" si="180"/>
        <v>2.5750000000000002</v>
      </c>
      <c r="J555">
        <f t="shared" si="181"/>
        <v>2.6</v>
      </c>
      <c r="K555">
        <f t="shared" si="182"/>
        <v>2.625</v>
      </c>
    </row>
    <row r="556" spans="1:11" x14ac:dyDescent="0.3">
      <c r="A556">
        <v>4</v>
      </c>
      <c r="B556">
        <v>1</v>
      </c>
      <c r="C556">
        <v>1</v>
      </c>
      <c r="D556">
        <v>1</v>
      </c>
      <c r="E556">
        <v>3.4</v>
      </c>
      <c r="G556">
        <f t="shared" si="183"/>
        <v>3.4339999999999997</v>
      </c>
      <c r="H556">
        <f t="shared" si="179"/>
        <v>3.468</v>
      </c>
      <c r="I556">
        <f t="shared" si="180"/>
        <v>3.5019999999999998</v>
      </c>
      <c r="J556">
        <f t="shared" si="181"/>
        <v>3.536</v>
      </c>
      <c r="K556">
        <f t="shared" si="182"/>
        <v>3.57</v>
      </c>
    </row>
    <row r="557" spans="1:11" x14ac:dyDescent="0.3">
      <c r="A557">
        <v>4</v>
      </c>
      <c r="B557">
        <v>1</v>
      </c>
      <c r="C557">
        <v>1</v>
      </c>
      <c r="D557">
        <v>2</v>
      </c>
      <c r="E557">
        <v>6.4</v>
      </c>
      <c r="G557">
        <f t="shared" si="183"/>
        <v>6.4640000000000004</v>
      </c>
      <c r="H557">
        <f t="shared" si="179"/>
        <v>6.5280000000000005</v>
      </c>
      <c r="I557">
        <f t="shared" si="180"/>
        <v>6.5920000000000005</v>
      </c>
      <c r="J557">
        <f t="shared" si="181"/>
        <v>6.6560000000000006</v>
      </c>
      <c r="K557">
        <f t="shared" si="182"/>
        <v>6.7200000000000006</v>
      </c>
    </row>
    <row r="558" spans="1:11" x14ac:dyDescent="0.3">
      <c r="A558">
        <v>4</v>
      </c>
      <c r="B558">
        <v>1</v>
      </c>
      <c r="C558">
        <v>1</v>
      </c>
      <c r="D558">
        <v>3</v>
      </c>
      <c r="E558">
        <v>4.5999999999999996</v>
      </c>
      <c r="G558">
        <f t="shared" si="183"/>
        <v>4.6459999999999999</v>
      </c>
      <c r="H558">
        <f t="shared" si="179"/>
        <v>4.6919999999999993</v>
      </c>
      <c r="I558">
        <f t="shared" si="180"/>
        <v>4.7379999999999995</v>
      </c>
      <c r="J558">
        <f t="shared" si="181"/>
        <v>4.7839999999999998</v>
      </c>
      <c r="K558">
        <f t="shared" si="182"/>
        <v>4.83</v>
      </c>
    </row>
    <row r="559" spans="1:11" x14ac:dyDescent="0.3">
      <c r="A559">
        <v>4</v>
      </c>
      <c r="B559">
        <v>1</v>
      </c>
      <c r="C559">
        <v>1</v>
      </c>
      <c r="D559">
        <v>4</v>
      </c>
      <c r="E559">
        <v>2.4</v>
      </c>
      <c r="G559">
        <f t="shared" si="183"/>
        <v>2.4239999999999999</v>
      </c>
      <c r="H559">
        <f t="shared" si="179"/>
        <v>2.448</v>
      </c>
      <c r="I559">
        <f t="shared" si="180"/>
        <v>2.472</v>
      </c>
      <c r="J559">
        <f t="shared" si="181"/>
        <v>2.496</v>
      </c>
      <c r="K559">
        <f t="shared" si="182"/>
        <v>2.52</v>
      </c>
    </row>
    <row r="560" spans="1:11" x14ac:dyDescent="0.3">
      <c r="A560">
        <v>4</v>
      </c>
      <c r="B560">
        <v>1</v>
      </c>
      <c r="C560">
        <v>1</v>
      </c>
      <c r="D560">
        <v>5</v>
      </c>
      <c r="E560">
        <v>3.6</v>
      </c>
      <c r="G560">
        <f t="shared" si="183"/>
        <v>3.6360000000000001</v>
      </c>
      <c r="H560">
        <f t="shared" si="179"/>
        <v>3.6720000000000002</v>
      </c>
      <c r="I560">
        <f t="shared" si="180"/>
        <v>3.7080000000000002</v>
      </c>
      <c r="J560">
        <f t="shared" si="181"/>
        <v>3.7440000000000002</v>
      </c>
      <c r="K560">
        <f t="shared" si="182"/>
        <v>3.7800000000000002</v>
      </c>
    </row>
    <row r="561" spans="1:11" x14ac:dyDescent="0.3">
      <c r="A561">
        <v>4</v>
      </c>
      <c r="B561">
        <v>1</v>
      </c>
      <c r="C561">
        <v>1</v>
      </c>
      <c r="D561">
        <v>6</v>
      </c>
      <c r="E561">
        <v>4.5999999999999996</v>
      </c>
      <c r="G561">
        <f t="shared" si="183"/>
        <v>4.6459999999999999</v>
      </c>
      <c r="H561">
        <f t="shared" si="179"/>
        <v>4.6919999999999993</v>
      </c>
      <c r="I561">
        <f t="shared" si="180"/>
        <v>4.7379999999999995</v>
      </c>
      <c r="J561">
        <f t="shared" si="181"/>
        <v>4.7839999999999998</v>
      </c>
      <c r="K561">
        <f t="shared" si="182"/>
        <v>4.83</v>
      </c>
    </row>
    <row r="562" spans="1:11" x14ac:dyDescent="0.3">
      <c r="A562">
        <v>4</v>
      </c>
      <c r="B562">
        <v>1</v>
      </c>
      <c r="C562">
        <v>2</v>
      </c>
      <c r="D562">
        <v>1</v>
      </c>
      <c r="E562">
        <v>1.4</v>
      </c>
      <c r="G562">
        <f t="shared" si="183"/>
        <v>1.4139999999999999</v>
      </c>
      <c r="H562">
        <f t="shared" si="179"/>
        <v>1.4279999999999999</v>
      </c>
      <c r="I562">
        <f>E562+(E562*3%)</f>
        <v>1.4419999999999999</v>
      </c>
      <c r="J562">
        <f>E562+(E562*4%)</f>
        <v>1.456</v>
      </c>
      <c r="K562">
        <f t="shared" si="182"/>
        <v>1.47</v>
      </c>
    </row>
    <row r="563" spans="1:11" x14ac:dyDescent="0.3">
      <c r="A563">
        <v>4</v>
      </c>
      <c r="B563">
        <v>1</v>
      </c>
      <c r="C563">
        <v>2</v>
      </c>
      <c r="D563">
        <v>2</v>
      </c>
      <c r="E563">
        <v>3.5</v>
      </c>
      <c r="G563">
        <f t="shared" si="183"/>
        <v>3.5350000000000001</v>
      </c>
      <c r="H563">
        <f t="shared" si="179"/>
        <v>3.57</v>
      </c>
      <c r="I563">
        <f t="shared" si="180"/>
        <v>3.605</v>
      </c>
      <c r="J563">
        <f t="shared" si="181"/>
        <v>3.64</v>
      </c>
      <c r="K563">
        <f t="shared" si="182"/>
        <v>3.6749999999999998</v>
      </c>
    </row>
    <row r="564" spans="1:11" x14ac:dyDescent="0.3">
      <c r="A564">
        <v>4</v>
      </c>
      <c r="B564">
        <v>1</v>
      </c>
      <c r="C564">
        <v>2</v>
      </c>
      <c r="D564">
        <v>3</v>
      </c>
      <c r="E564">
        <v>2.6</v>
      </c>
      <c r="G564">
        <f t="shared" si="183"/>
        <v>2.6259999999999999</v>
      </c>
      <c r="H564">
        <f t="shared" si="179"/>
        <v>2.6520000000000001</v>
      </c>
      <c r="I564">
        <f t="shared" si="180"/>
        <v>2.6779999999999999</v>
      </c>
      <c r="J564">
        <f t="shared" si="181"/>
        <v>2.7040000000000002</v>
      </c>
      <c r="K564">
        <f t="shared" si="182"/>
        <v>2.73</v>
      </c>
    </row>
    <row r="565" spans="1:11" x14ac:dyDescent="0.3">
      <c r="A565">
        <v>4</v>
      </c>
      <c r="B565">
        <v>1</v>
      </c>
      <c r="C565">
        <v>2</v>
      </c>
      <c r="D565">
        <v>4</v>
      </c>
      <c r="E565">
        <v>3.6</v>
      </c>
      <c r="G565">
        <f t="shared" si="183"/>
        <v>3.6360000000000001</v>
      </c>
      <c r="H565">
        <f t="shared" si="179"/>
        <v>3.6720000000000002</v>
      </c>
      <c r="I565">
        <f t="shared" si="180"/>
        <v>3.7080000000000002</v>
      </c>
      <c r="J565">
        <f t="shared" si="181"/>
        <v>3.7440000000000002</v>
      </c>
      <c r="K565">
        <f t="shared" si="182"/>
        <v>3.7800000000000002</v>
      </c>
    </row>
    <row r="566" spans="1:11" x14ac:dyDescent="0.3">
      <c r="A566">
        <v>4</v>
      </c>
      <c r="B566">
        <v>1</v>
      </c>
      <c r="C566">
        <v>2</v>
      </c>
      <c r="D566">
        <v>5</v>
      </c>
      <c r="E566">
        <v>2.4</v>
      </c>
      <c r="G566">
        <f t="shared" si="183"/>
        <v>2.4239999999999999</v>
      </c>
      <c r="H566">
        <f t="shared" si="179"/>
        <v>2.448</v>
      </c>
      <c r="I566">
        <f t="shared" si="180"/>
        <v>2.472</v>
      </c>
      <c r="J566">
        <f t="shared" si="181"/>
        <v>2.496</v>
      </c>
      <c r="K566">
        <f t="shared" si="182"/>
        <v>2.52</v>
      </c>
    </row>
    <row r="567" spans="1:11" x14ac:dyDescent="0.3">
      <c r="A567">
        <v>4</v>
      </c>
      <c r="B567">
        <v>1</v>
      </c>
      <c r="C567">
        <v>2</v>
      </c>
      <c r="D567">
        <v>6</v>
      </c>
      <c r="E567">
        <v>5.7</v>
      </c>
      <c r="G567">
        <f t="shared" si="183"/>
        <v>5.7570000000000006</v>
      </c>
      <c r="H567">
        <f t="shared" si="179"/>
        <v>5.8140000000000001</v>
      </c>
      <c r="I567">
        <f t="shared" si="180"/>
        <v>5.8710000000000004</v>
      </c>
      <c r="J567">
        <f t="shared" si="181"/>
        <v>5.9279999999999999</v>
      </c>
      <c r="K567">
        <f t="shared" si="182"/>
        <v>5.9850000000000003</v>
      </c>
    </row>
    <row r="568" spans="1:11" x14ac:dyDescent="0.3">
      <c r="A568">
        <v>4</v>
      </c>
      <c r="B568">
        <v>1</v>
      </c>
      <c r="C568">
        <v>3</v>
      </c>
      <c r="D568">
        <v>1</v>
      </c>
      <c r="E568">
        <v>3.6</v>
      </c>
      <c r="G568">
        <f t="shared" si="183"/>
        <v>3.6360000000000001</v>
      </c>
      <c r="H568">
        <f t="shared" si="179"/>
        <v>3.6720000000000002</v>
      </c>
      <c r="I568">
        <f>E568+(E568*3%)</f>
        <v>3.7080000000000002</v>
      </c>
      <c r="J568">
        <f t="shared" si="181"/>
        <v>3.7440000000000002</v>
      </c>
      <c r="K568">
        <f t="shared" si="182"/>
        <v>3.7800000000000002</v>
      </c>
    </row>
    <row r="569" spans="1:11" x14ac:dyDescent="0.3">
      <c r="A569">
        <v>4</v>
      </c>
      <c r="B569">
        <v>1</v>
      </c>
      <c r="C569">
        <v>3</v>
      </c>
      <c r="D569">
        <v>2</v>
      </c>
      <c r="E569">
        <v>3.6</v>
      </c>
      <c r="G569">
        <f t="shared" si="183"/>
        <v>3.6360000000000001</v>
      </c>
      <c r="H569">
        <f t="shared" si="179"/>
        <v>3.6720000000000002</v>
      </c>
      <c r="I569">
        <f t="shared" si="180"/>
        <v>3.7080000000000002</v>
      </c>
      <c r="J569">
        <f t="shared" si="181"/>
        <v>3.7440000000000002</v>
      </c>
      <c r="K569">
        <f t="shared" si="182"/>
        <v>3.7800000000000002</v>
      </c>
    </row>
    <row r="570" spans="1:11" x14ac:dyDescent="0.3">
      <c r="A570">
        <v>4</v>
      </c>
      <c r="B570">
        <v>1</v>
      </c>
      <c r="C570">
        <v>3</v>
      </c>
      <c r="D570">
        <v>3</v>
      </c>
      <c r="E570">
        <v>2.7</v>
      </c>
      <c r="G570">
        <f t="shared" si="183"/>
        <v>2.7270000000000003</v>
      </c>
      <c r="H570">
        <f t="shared" si="179"/>
        <v>2.754</v>
      </c>
      <c r="I570">
        <f t="shared" si="180"/>
        <v>2.7810000000000001</v>
      </c>
      <c r="J570">
        <f t="shared" si="181"/>
        <v>2.8080000000000003</v>
      </c>
      <c r="K570">
        <f t="shared" si="182"/>
        <v>2.835</v>
      </c>
    </row>
    <row r="571" spans="1:11" x14ac:dyDescent="0.3">
      <c r="A571">
        <v>4</v>
      </c>
      <c r="B571">
        <v>1</v>
      </c>
      <c r="C571">
        <v>3</v>
      </c>
      <c r="D571">
        <v>4</v>
      </c>
      <c r="E571">
        <v>2.2000000000000002</v>
      </c>
      <c r="G571">
        <f t="shared" si="183"/>
        <v>2.222</v>
      </c>
      <c r="H571">
        <f t="shared" si="179"/>
        <v>2.2440000000000002</v>
      </c>
      <c r="I571">
        <f t="shared" si="180"/>
        <v>2.266</v>
      </c>
      <c r="J571">
        <f t="shared" si="181"/>
        <v>2.2880000000000003</v>
      </c>
      <c r="K571">
        <f t="shared" si="182"/>
        <v>2.31</v>
      </c>
    </row>
    <row r="572" spans="1:11" x14ac:dyDescent="0.3">
      <c r="A572">
        <v>4</v>
      </c>
      <c r="B572">
        <v>1</v>
      </c>
      <c r="C572">
        <v>3</v>
      </c>
      <c r="D572">
        <v>5</v>
      </c>
      <c r="E572">
        <v>2.5</v>
      </c>
      <c r="G572">
        <f t="shared" si="183"/>
        <v>2.5249999999999999</v>
      </c>
      <c r="H572">
        <f t="shared" si="179"/>
        <v>2.5499999999999998</v>
      </c>
      <c r="I572">
        <f t="shared" si="180"/>
        <v>2.5750000000000002</v>
      </c>
      <c r="J572">
        <f t="shared" si="181"/>
        <v>2.6</v>
      </c>
      <c r="K572">
        <f t="shared" si="182"/>
        <v>2.625</v>
      </c>
    </row>
    <row r="573" spans="1:11" x14ac:dyDescent="0.3">
      <c r="A573">
        <v>4</v>
      </c>
      <c r="B573">
        <v>1</v>
      </c>
      <c r="C573">
        <v>3</v>
      </c>
      <c r="D573">
        <v>6</v>
      </c>
      <c r="E573">
        <v>1.8</v>
      </c>
      <c r="G573">
        <f t="shared" si="183"/>
        <v>1.8180000000000001</v>
      </c>
      <c r="H573">
        <f t="shared" si="179"/>
        <v>1.8360000000000001</v>
      </c>
      <c r="I573">
        <f t="shared" si="180"/>
        <v>1.8540000000000001</v>
      </c>
      <c r="J573">
        <f t="shared" si="181"/>
        <v>1.8720000000000001</v>
      </c>
      <c r="K573">
        <f t="shared" si="182"/>
        <v>1.8900000000000001</v>
      </c>
    </row>
    <row r="574" spans="1:11" x14ac:dyDescent="0.3">
      <c r="A574">
        <v>4</v>
      </c>
      <c r="B574">
        <v>2</v>
      </c>
      <c r="C574">
        <v>1</v>
      </c>
      <c r="D574">
        <v>1</v>
      </c>
      <c r="E574">
        <v>1.4</v>
      </c>
      <c r="G574">
        <f>E574+(E574*1%)</f>
        <v>1.4139999999999999</v>
      </c>
      <c r="H574">
        <f>E574+(E574*2%)</f>
        <v>1.4279999999999999</v>
      </c>
      <c r="I574">
        <f>E574+(E574*3%)</f>
        <v>1.4419999999999999</v>
      </c>
      <c r="J574">
        <f t="shared" si="181"/>
        <v>1.456</v>
      </c>
      <c r="K574">
        <f t="shared" si="182"/>
        <v>1.47</v>
      </c>
    </row>
    <row r="575" spans="1:11" x14ac:dyDescent="0.3">
      <c r="A575">
        <v>4</v>
      </c>
      <c r="B575">
        <v>2</v>
      </c>
      <c r="C575">
        <v>1</v>
      </c>
      <c r="D575">
        <v>2</v>
      </c>
      <c r="E575">
        <v>1.9</v>
      </c>
      <c r="G575">
        <f t="shared" si="183"/>
        <v>1.9189999999999998</v>
      </c>
      <c r="H575">
        <f t="shared" si="179"/>
        <v>1.9379999999999999</v>
      </c>
      <c r="I575">
        <f t="shared" si="180"/>
        <v>1.9569999999999999</v>
      </c>
      <c r="J575">
        <f t="shared" si="181"/>
        <v>1.976</v>
      </c>
      <c r="K575">
        <f t="shared" si="182"/>
        <v>1.9949999999999999</v>
      </c>
    </row>
    <row r="576" spans="1:11" x14ac:dyDescent="0.3">
      <c r="A576">
        <v>4</v>
      </c>
      <c r="B576">
        <v>2</v>
      </c>
      <c r="C576">
        <v>1</v>
      </c>
      <c r="D576">
        <v>3</v>
      </c>
      <c r="E576">
        <v>2.1</v>
      </c>
      <c r="G576">
        <f t="shared" si="183"/>
        <v>2.121</v>
      </c>
      <c r="H576">
        <f t="shared" si="179"/>
        <v>2.1419999999999999</v>
      </c>
      <c r="I576">
        <f t="shared" si="180"/>
        <v>2.1630000000000003</v>
      </c>
      <c r="J576">
        <f t="shared" si="181"/>
        <v>2.1840000000000002</v>
      </c>
      <c r="K576">
        <f t="shared" si="182"/>
        <v>2.2050000000000001</v>
      </c>
    </row>
    <row r="577" spans="1:11" x14ac:dyDescent="0.3">
      <c r="A577">
        <v>4</v>
      </c>
      <c r="B577">
        <v>2</v>
      </c>
      <c r="C577">
        <v>1</v>
      </c>
      <c r="D577">
        <v>4</v>
      </c>
      <c r="E577">
        <v>3.5</v>
      </c>
      <c r="G577">
        <f t="shared" si="183"/>
        <v>3.5350000000000001</v>
      </c>
      <c r="H577">
        <f t="shared" si="179"/>
        <v>3.57</v>
      </c>
      <c r="I577">
        <f t="shared" si="180"/>
        <v>3.605</v>
      </c>
      <c r="J577">
        <f t="shared" si="181"/>
        <v>3.64</v>
      </c>
      <c r="K577">
        <f t="shared" si="182"/>
        <v>3.6749999999999998</v>
      </c>
    </row>
    <row r="578" spans="1:11" x14ac:dyDescent="0.3">
      <c r="A578">
        <v>4</v>
      </c>
      <c r="B578">
        <v>2</v>
      </c>
      <c r="C578">
        <v>1</v>
      </c>
      <c r="D578">
        <v>5</v>
      </c>
      <c r="E578">
        <v>1.4</v>
      </c>
      <c r="G578">
        <f t="shared" si="183"/>
        <v>1.4139999999999999</v>
      </c>
      <c r="H578">
        <f t="shared" si="179"/>
        <v>1.4279999999999999</v>
      </c>
      <c r="I578">
        <f t="shared" si="180"/>
        <v>1.4419999999999999</v>
      </c>
      <c r="J578">
        <f t="shared" si="181"/>
        <v>1.456</v>
      </c>
      <c r="K578">
        <f t="shared" si="182"/>
        <v>1.47</v>
      </c>
    </row>
    <row r="579" spans="1:11" x14ac:dyDescent="0.3">
      <c r="A579">
        <v>4</v>
      </c>
      <c r="B579">
        <v>2</v>
      </c>
      <c r="C579">
        <v>1</v>
      </c>
      <c r="D579">
        <v>6</v>
      </c>
      <c r="E579">
        <v>2.6</v>
      </c>
      <c r="G579">
        <f t="shared" si="183"/>
        <v>2.6259999999999999</v>
      </c>
      <c r="H579">
        <f t="shared" si="179"/>
        <v>2.6520000000000001</v>
      </c>
      <c r="I579">
        <f t="shared" si="180"/>
        <v>2.6779999999999999</v>
      </c>
      <c r="J579">
        <f t="shared" si="181"/>
        <v>2.7040000000000002</v>
      </c>
      <c r="K579">
        <f t="shared" si="182"/>
        <v>2.73</v>
      </c>
    </row>
    <row r="580" spans="1:11" x14ac:dyDescent="0.3">
      <c r="A580">
        <v>4</v>
      </c>
      <c r="B580">
        <v>2</v>
      </c>
      <c r="C580">
        <v>2</v>
      </c>
      <c r="D580">
        <v>1</v>
      </c>
      <c r="E580">
        <v>2.4</v>
      </c>
      <c r="G580">
        <f t="shared" si="183"/>
        <v>2.4239999999999999</v>
      </c>
      <c r="H580">
        <f t="shared" si="179"/>
        <v>2.448</v>
      </c>
      <c r="I580">
        <f t="shared" si="180"/>
        <v>2.472</v>
      </c>
      <c r="J580">
        <f>E580+(E580*4%)</f>
        <v>2.496</v>
      </c>
      <c r="K580">
        <f t="shared" si="182"/>
        <v>2.52</v>
      </c>
    </row>
    <row r="581" spans="1:11" x14ac:dyDescent="0.3">
      <c r="A581">
        <v>4</v>
      </c>
      <c r="B581">
        <v>2</v>
      </c>
      <c r="C581">
        <v>2</v>
      </c>
      <c r="D581">
        <v>2</v>
      </c>
      <c r="E581">
        <v>1.4</v>
      </c>
      <c r="G581">
        <f t="shared" si="183"/>
        <v>1.4139999999999999</v>
      </c>
      <c r="H581">
        <f t="shared" si="179"/>
        <v>1.4279999999999999</v>
      </c>
      <c r="I581">
        <f t="shared" si="180"/>
        <v>1.4419999999999999</v>
      </c>
      <c r="J581">
        <f t="shared" si="181"/>
        <v>1.456</v>
      </c>
      <c r="K581">
        <f t="shared" si="182"/>
        <v>1.47</v>
      </c>
    </row>
    <row r="582" spans="1:11" x14ac:dyDescent="0.3">
      <c r="A582">
        <v>4</v>
      </c>
      <c r="B582">
        <v>2</v>
      </c>
      <c r="C582">
        <v>2</v>
      </c>
      <c r="D582">
        <v>3</v>
      </c>
      <c r="E582">
        <v>5.3</v>
      </c>
      <c r="G582">
        <f t="shared" si="183"/>
        <v>5.3529999999999998</v>
      </c>
      <c r="H582">
        <f t="shared" si="179"/>
        <v>5.4059999999999997</v>
      </c>
      <c r="I582">
        <f t="shared" si="180"/>
        <v>5.4589999999999996</v>
      </c>
      <c r="J582">
        <f t="shared" si="181"/>
        <v>5.5119999999999996</v>
      </c>
      <c r="K582">
        <f t="shared" si="182"/>
        <v>5.5649999999999995</v>
      </c>
    </row>
    <row r="583" spans="1:11" x14ac:dyDescent="0.3">
      <c r="A583">
        <v>4</v>
      </c>
      <c r="B583">
        <v>2</v>
      </c>
      <c r="C583">
        <v>2</v>
      </c>
      <c r="D583">
        <v>4</v>
      </c>
      <c r="E583">
        <v>5.2</v>
      </c>
      <c r="G583">
        <f t="shared" si="183"/>
        <v>5.2519999999999998</v>
      </c>
      <c r="H583">
        <f t="shared" si="179"/>
        <v>5.3040000000000003</v>
      </c>
      <c r="I583">
        <f t="shared" si="180"/>
        <v>5.3559999999999999</v>
      </c>
      <c r="J583">
        <f t="shared" si="181"/>
        <v>5.4080000000000004</v>
      </c>
      <c r="K583">
        <f t="shared" si="182"/>
        <v>5.46</v>
      </c>
    </row>
    <row r="584" spans="1:11" x14ac:dyDescent="0.3">
      <c r="A584">
        <v>4</v>
      </c>
      <c r="B584">
        <v>2</v>
      </c>
      <c r="C584">
        <v>2</v>
      </c>
      <c r="D584">
        <v>5</v>
      </c>
      <c r="E584">
        <v>1.6</v>
      </c>
      <c r="G584">
        <f t="shared" si="183"/>
        <v>1.6160000000000001</v>
      </c>
      <c r="H584">
        <f t="shared" si="179"/>
        <v>1.6320000000000001</v>
      </c>
      <c r="I584">
        <f t="shared" si="180"/>
        <v>1.6480000000000001</v>
      </c>
      <c r="J584">
        <f t="shared" si="181"/>
        <v>1.6640000000000001</v>
      </c>
      <c r="K584">
        <f t="shared" si="182"/>
        <v>1.6800000000000002</v>
      </c>
    </row>
    <row r="585" spans="1:11" x14ac:dyDescent="0.3">
      <c r="A585">
        <v>4</v>
      </c>
      <c r="B585">
        <v>2</v>
      </c>
      <c r="C585">
        <v>2</v>
      </c>
      <c r="D585">
        <v>6</v>
      </c>
      <c r="E585">
        <v>3.4</v>
      </c>
      <c r="G585">
        <f t="shared" si="183"/>
        <v>3.4339999999999997</v>
      </c>
      <c r="H585">
        <f t="shared" si="179"/>
        <v>3.468</v>
      </c>
      <c r="I585">
        <f t="shared" si="180"/>
        <v>3.5019999999999998</v>
      </c>
      <c r="J585">
        <f t="shared" si="181"/>
        <v>3.536</v>
      </c>
      <c r="K585">
        <f t="shared" si="182"/>
        <v>3.57</v>
      </c>
    </row>
    <row r="586" spans="1:11" x14ac:dyDescent="0.3">
      <c r="A586">
        <v>4</v>
      </c>
      <c r="B586">
        <v>2</v>
      </c>
      <c r="C586">
        <v>3</v>
      </c>
      <c r="D586">
        <v>1</v>
      </c>
      <c r="E586">
        <v>5.3</v>
      </c>
      <c r="G586">
        <f t="shared" si="183"/>
        <v>5.3529999999999998</v>
      </c>
      <c r="H586">
        <f>E586+(E586*2%)</f>
        <v>5.4059999999999997</v>
      </c>
      <c r="I586">
        <f t="shared" si="180"/>
        <v>5.4589999999999996</v>
      </c>
      <c r="J586">
        <f t="shared" si="181"/>
        <v>5.5119999999999996</v>
      </c>
      <c r="K586">
        <f t="shared" si="182"/>
        <v>5.5649999999999995</v>
      </c>
    </row>
    <row r="587" spans="1:11" x14ac:dyDescent="0.3">
      <c r="A587">
        <v>4</v>
      </c>
      <c r="B587">
        <v>2</v>
      </c>
      <c r="C587">
        <v>3</v>
      </c>
      <c r="D587">
        <v>2</v>
      </c>
      <c r="E587">
        <v>2.6</v>
      </c>
      <c r="G587">
        <f t="shared" si="183"/>
        <v>2.6259999999999999</v>
      </c>
      <c r="H587">
        <f t="shared" ref="H587:H591" si="184">E587+(E587*2%)</f>
        <v>2.6520000000000001</v>
      </c>
      <c r="I587">
        <f t="shared" ref="I587:I591" si="185">E587+(E587*3%)</f>
        <v>2.6779999999999999</v>
      </c>
      <c r="J587">
        <f t="shared" ref="J587:J591" si="186">E587+(E587*4%)</f>
        <v>2.7040000000000002</v>
      </c>
      <c r="K587">
        <f t="shared" ref="K587:K591" si="187">E587+(E587*5%)</f>
        <v>2.73</v>
      </c>
    </row>
    <row r="588" spans="1:11" x14ac:dyDescent="0.3">
      <c r="A588">
        <v>4</v>
      </c>
      <c r="B588">
        <v>2</v>
      </c>
      <c r="C588">
        <v>3</v>
      </c>
      <c r="D588">
        <v>3</v>
      </c>
      <c r="E588">
        <v>2.5</v>
      </c>
      <c r="G588">
        <f t="shared" ref="G588:G591" si="188">E588+(E588*1%)</f>
        <v>2.5249999999999999</v>
      </c>
      <c r="H588">
        <f t="shared" si="184"/>
        <v>2.5499999999999998</v>
      </c>
      <c r="I588">
        <f t="shared" si="185"/>
        <v>2.5750000000000002</v>
      </c>
      <c r="J588">
        <f t="shared" si="186"/>
        <v>2.6</v>
      </c>
      <c r="K588">
        <f t="shared" si="187"/>
        <v>2.625</v>
      </c>
    </row>
    <row r="589" spans="1:11" x14ac:dyDescent="0.3">
      <c r="A589">
        <v>4</v>
      </c>
      <c r="B589">
        <v>2</v>
      </c>
      <c r="C589">
        <v>3</v>
      </c>
      <c r="D589">
        <v>4</v>
      </c>
      <c r="E589">
        <v>1.7</v>
      </c>
      <c r="G589">
        <f t="shared" si="188"/>
        <v>1.7169999999999999</v>
      </c>
      <c r="H589">
        <f t="shared" si="184"/>
        <v>1.734</v>
      </c>
      <c r="I589">
        <f t="shared" si="185"/>
        <v>1.7509999999999999</v>
      </c>
      <c r="J589">
        <f t="shared" si="186"/>
        <v>1.768</v>
      </c>
      <c r="K589">
        <f t="shared" si="187"/>
        <v>1.7849999999999999</v>
      </c>
    </row>
    <row r="590" spans="1:11" x14ac:dyDescent="0.3">
      <c r="A590">
        <v>4</v>
      </c>
      <c r="B590">
        <v>2</v>
      </c>
      <c r="C590">
        <v>3</v>
      </c>
      <c r="D590">
        <v>5</v>
      </c>
      <c r="E590">
        <v>1.5</v>
      </c>
      <c r="G590">
        <f t="shared" si="188"/>
        <v>1.5149999999999999</v>
      </c>
      <c r="H590">
        <f t="shared" si="184"/>
        <v>1.53</v>
      </c>
      <c r="I590">
        <f t="shared" si="185"/>
        <v>1.5449999999999999</v>
      </c>
      <c r="J590">
        <f t="shared" si="186"/>
        <v>1.56</v>
      </c>
      <c r="K590">
        <f t="shared" si="187"/>
        <v>1.575</v>
      </c>
    </row>
    <row r="591" spans="1:11" x14ac:dyDescent="0.3">
      <c r="A591">
        <v>4</v>
      </c>
      <c r="B591">
        <v>2</v>
      </c>
      <c r="C591">
        <v>3</v>
      </c>
      <c r="D591">
        <v>6</v>
      </c>
      <c r="E591">
        <v>5.6</v>
      </c>
      <c r="G591">
        <f t="shared" si="188"/>
        <v>5.6559999999999997</v>
      </c>
      <c r="H591">
        <f t="shared" si="184"/>
        <v>5.7119999999999997</v>
      </c>
      <c r="I591">
        <f t="shared" si="185"/>
        <v>5.7679999999999998</v>
      </c>
      <c r="J591">
        <f t="shared" si="186"/>
        <v>5.8239999999999998</v>
      </c>
      <c r="K591">
        <f t="shared" si="187"/>
        <v>5.88</v>
      </c>
    </row>
    <row r="593" spans="1:11" x14ac:dyDescent="0.3">
      <c r="A593" t="s">
        <v>222</v>
      </c>
      <c r="B593" t="s">
        <v>160</v>
      </c>
      <c r="G593" s="16">
        <f>(G594-B594)/B594*100</f>
        <v>1.5039899879532388E-3</v>
      </c>
      <c r="H593" s="16">
        <f>(H594-B594)/B594*100</f>
        <v>3.0079799759064776E-3</v>
      </c>
      <c r="I593" s="16">
        <f>(I594-B594)/B594*100</f>
        <v>4.5119699638597162E-3</v>
      </c>
      <c r="J593" s="16">
        <f>(J594-B594)/B594*100</f>
        <v>6.0159599518129553E-3</v>
      </c>
      <c r="K593" s="16">
        <f>(K594-B594)/B594*100</f>
        <v>7.5199499397661943E-3</v>
      </c>
    </row>
    <row r="594" spans="1:11" x14ac:dyDescent="0.3">
      <c r="A594" t="s">
        <v>158</v>
      </c>
      <c r="B594">
        <v>815497.45</v>
      </c>
      <c r="G594" s="21">
        <v>815509.71499999997</v>
      </c>
      <c r="H594" s="21">
        <v>815521.98</v>
      </c>
      <c r="I594" s="21">
        <v>815534.245</v>
      </c>
      <c r="J594" s="21">
        <v>815546.51</v>
      </c>
      <c r="K594" s="21">
        <v>815558.77500000002</v>
      </c>
    </row>
    <row r="595" spans="1:11" x14ac:dyDescent="0.3">
      <c r="A595" t="s">
        <v>159</v>
      </c>
      <c r="B595">
        <v>4840.7044030870002</v>
      </c>
      <c r="G595" s="21">
        <v>4840.7044030870002</v>
      </c>
      <c r="H595" s="21">
        <v>4840.7044030870002</v>
      </c>
      <c r="I595" s="21">
        <v>4840.7044030870002</v>
      </c>
      <c r="J595" s="21">
        <v>4840.7044030870002</v>
      </c>
      <c r="K595" s="21">
        <v>4840.7044030870002</v>
      </c>
    </row>
    <row r="598" spans="1:11" x14ac:dyDescent="0.3">
      <c r="B598" t="s">
        <v>161</v>
      </c>
      <c r="G598" s="16">
        <f>(G599-B599)/B599*100</f>
        <v>1.9869055024704769E-3</v>
      </c>
      <c r="H598" s="16">
        <f>(H599-B599)/B599*100</f>
        <v>3.0027715542256216E-3</v>
      </c>
      <c r="I598" s="16">
        <f>(I599-B599)/B599*100</f>
        <v>3.9918882173478679E-3</v>
      </c>
      <c r="J598" s="16">
        <f>(J599-B599)/B599*100</f>
        <v>2.269423018124737E-3</v>
      </c>
      <c r="K598" s="16">
        <f>(K599-B599)/B599*100</f>
        <v>4.2017304533614472E-3</v>
      </c>
    </row>
    <row r="599" spans="1:11" x14ac:dyDescent="0.3">
      <c r="B599">
        <v>818710.3</v>
      </c>
      <c r="G599" s="21">
        <v>818726.56700000004</v>
      </c>
      <c r="H599" s="21">
        <v>818734.88399999996</v>
      </c>
      <c r="I599" s="21">
        <v>818742.98199999996</v>
      </c>
      <c r="J599" s="21">
        <v>818728.88</v>
      </c>
      <c r="K599" s="21">
        <v>818744.7</v>
      </c>
    </row>
    <row r="600" spans="1:11" x14ac:dyDescent="0.3">
      <c r="B600">
        <v>4741.7772567669999</v>
      </c>
      <c r="G600" s="21">
        <v>4741.7772567669999</v>
      </c>
      <c r="H600" s="21">
        <v>4741.7772567669999</v>
      </c>
      <c r="I600" s="21">
        <v>4741.7772567669999</v>
      </c>
      <c r="J600" s="24">
        <v>4741.971872393</v>
      </c>
      <c r="K600" s="24">
        <v>4741.971872393</v>
      </c>
    </row>
    <row r="601" spans="1:11" x14ac:dyDescent="0.3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</row>
    <row r="603" spans="1:11" x14ac:dyDescent="0.3">
      <c r="A603" t="s">
        <v>73</v>
      </c>
    </row>
    <row r="604" spans="1:11" x14ac:dyDescent="0.3">
      <c r="A604" s="10" t="s">
        <v>69</v>
      </c>
    </row>
    <row r="605" spans="1:11" x14ac:dyDescent="0.3">
      <c r="A605" s="11" t="s">
        <v>162</v>
      </c>
    </row>
    <row r="606" spans="1:11" x14ac:dyDescent="0.3">
      <c r="A606" s="11" t="s">
        <v>163</v>
      </c>
    </row>
    <row r="607" spans="1:11" x14ac:dyDescent="0.3">
      <c r="A607" s="11" t="s">
        <v>164</v>
      </c>
    </row>
    <row r="608" spans="1:11" x14ac:dyDescent="0.3">
      <c r="A608" s="11" t="s">
        <v>165</v>
      </c>
    </row>
    <row r="609" spans="1:11" x14ac:dyDescent="0.3">
      <c r="A609" s="11" t="s">
        <v>166</v>
      </c>
    </row>
    <row r="611" spans="1:11" x14ac:dyDescent="0.3">
      <c r="A611" s="11" t="s">
        <v>28</v>
      </c>
      <c r="B611" t="s">
        <v>71</v>
      </c>
      <c r="C611" t="s">
        <v>72</v>
      </c>
      <c r="D611" t="s">
        <v>10</v>
      </c>
      <c r="E611" t="s">
        <v>70</v>
      </c>
      <c r="G611" s="20">
        <v>0.01</v>
      </c>
      <c r="H611" s="20">
        <v>0.02</v>
      </c>
      <c r="I611" s="20">
        <v>0.03</v>
      </c>
      <c r="J611" s="20">
        <v>0.04</v>
      </c>
      <c r="K611" s="20">
        <v>0.05</v>
      </c>
    </row>
    <row r="612" spans="1:11" x14ac:dyDescent="0.3">
      <c r="A612">
        <v>1</v>
      </c>
      <c r="B612">
        <v>1</v>
      </c>
      <c r="C612">
        <v>1</v>
      </c>
      <c r="D612">
        <v>1</v>
      </c>
      <c r="E612">
        <v>2.4</v>
      </c>
      <c r="G612">
        <f>E612+(E612*1%)</f>
        <v>2.4239999999999999</v>
      </c>
      <c r="H612">
        <f>E612+(E612*2%)</f>
        <v>2.448</v>
      </c>
      <c r="I612">
        <f>E612+(E612*3%)</f>
        <v>2.472</v>
      </c>
      <c r="J612">
        <f>E612+(E612*4%)</f>
        <v>2.496</v>
      </c>
      <c r="K612">
        <f>E612+(E612*5%)</f>
        <v>2.52</v>
      </c>
    </row>
    <row r="613" spans="1:11" x14ac:dyDescent="0.3">
      <c r="A613">
        <v>1</v>
      </c>
      <c r="B613">
        <v>1</v>
      </c>
      <c r="C613">
        <v>1</v>
      </c>
      <c r="D613">
        <v>2</v>
      </c>
      <c r="E613">
        <v>6.6</v>
      </c>
      <c r="G613">
        <f t="shared" ref="G613:G617" si="189">E613+(E613*1%)</f>
        <v>6.6659999999999995</v>
      </c>
      <c r="H613">
        <f t="shared" ref="H613:H617" si="190">E613+(E613*2%)</f>
        <v>6.7319999999999993</v>
      </c>
      <c r="I613">
        <f t="shared" ref="I613:I629" si="191">E613+(E613*3%)</f>
        <v>6.798</v>
      </c>
      <c r="J613">
        <f t="shared" ref="J613:J630" si="192">E613+(E613*4%)</f>
        <v>6.8639999999999999</v>
      </c>
      <c r="K613">
        <f t="shared" ref="K613:K630" si="193">E613+(E613*5%)</f>
        <v>6.93</v>
      </c>
    </row>
    <row r="614" spans="1:11" x14ac:dyDescent="0.3">
      <c r="A614">
        <v>1</v>
      </c>
      <c r="B614">
        <v>1</v>
      </c>
      <c r="C614">
        <v>1</v>
      </c>
      <c r="D614">
        <v>3</v>
      </c>
      <c r="E614">
        <v>7.4</v>
      </c>
      <c r="G614">
        <f t="shared" si="189"/>
        <v>7.4740000000000002</v>
      </c>
      <c r="H614">
        <f t="shared" si="190"/>
        <v>7.548</v>
      </c>
      <c r="I614">
        <f t="shared" si="191"/>
        <v>7.6220000000000008</v>
      </c>
      <c r="J614">
        <f t="shared" si="192"/>
        <v>7.6960000000000006</v>
      </c>
      <c r="K614">
        <f t="shared" si="193"/>
        <v>7.7700000000000005</v>
      </c>
    </row>
    <row r="615" spans="1:11" x14ac:dyDescent="0.3">
      <c r="A615">
        <v>1</v>
      </c>
      <c r="B615">
        <v>1</v>
      </c>
      <c r="C615">
        <v>1</v>
      </c>
      <c r="D615">
        <v>4</v>
      </c>
      <c r="E615">
        <v>5.8</v>
      </c>
      <c r="G615">
        <f t="shared" si="189"/>
        <v>5.8579999999999997</v>
      </c>
      <c r="H615">
        <f t="shared" si="190"/>
        <v>5.9159999999999995</v>
      </c>
      <c r="I615">
        <f t="shared" si="191"/>
        <v>5.9740000000000002</v>
      </c>
      <c r="J615">
        <f t="shared" si="192"/>
        <v>6.032</v>
      </c>
      <c r="K615">
        <f t="shared" si="193"/>
        <v>6.09</v>
      </c>
    </row>
    <row r="616" spans="1:11" x14ac:dyDescent="0.3">
      <c r="A616">
        <v>1</v>
      </c>
      <c r="B616">
        <v>1</v>
      </c>
      <c r="C616">
        <v>1</v>
      </c>
      <c r="D616">
        <v>5</v>
      </c>
      <c r="E616">
        <v>3.7</v>
      </c>
      <c r="G616">
        <f t="shared" si="189"/>
        <v>3.7370000000000001</v>
      </c>
      <c r="H616">
        <f t="shared" si="190"/>
        <v>3.774</v>
      </c>
      <c r="I616">
        <f t="shared" si="191"/>
        <v>3.8110000000000004</v>
      </c>
      <c r="J616">
        <f t="shared" si="192"/>
        <v>3.8480000000000003</v>
      </c>
      <c r="K616">
        <f t="shared" si="193"/>
        <v>3.8850000000000002</v>
      </c>
    </row>
    <row r="617" spans="1:11" x14ac:dyDescent="0.3">
      <c r="A617">
        <v>1</v>
      </c>
      <c r="B617">
        <v>1</v>
      </c>
      <c r="C617">
        <v>1</v>
      </c>
      <c r="D617">
        <v>6</v>
      </c>
      <c r="E617">
        <v>6.3</v>
      </c>
      <c r="G617">
        <f t="shared" si="189"/>
        <v>6.3629999999999995</v>
      </c>
      <c r="H617">
        <f t="shared" si="190"/>
        <v>6.4260000000000002</v>
      </c>
      <c r="I617">
        <f t="shared" si="191"/>
        <v>6.4889999999999999</v>
      </c>
      <c r="J617">
        <f t="shared" si="192"/>
        <v>6.5519999999999996</v>
      </c>
      <c r="K617">
        <f t="shared" si="193"/>
        <v>6.6150000000000002</v>
      </c>
    </row>
    <row r="618" spans="1:11" x14ac:dyDescent="0.3">
      <c r="A618">
        <v>1</v>
      </c>
      <c r="B618">
        <v>1</v>
      </c>
      <c r="C618">
        <v>2</v>
      </c>
      <c r="D618">
        <v>1</v>
      </c>
      <c r="E618">
        <v>6.8</v>
      </c>
      <c r="G618">
        <f>E618+(E618*1%)</f>
        <v>6.8679999999999994</v>
      </c>
      <c r="H618">
        <f>E618+(E618*2%)</f>
        <v>6.9359999999999999</v>
      </c>
      <c r="I618">
        <f t="shared" si="191"/>
        <v>7.0039999999999996</v>
      </c>
      <c r="J618">
        <f t="shared" si="192"/>
        <v>7.0720000000000001</v>
      </c>
      <c r="K618">
        <f t="shared" si="193"/>
        <v>7.14</v>
      </c>
    </row>
    <row r="619" spans="1:11" x14ac:dyDescent="0.3">
      <c r="A619">
        <v>1</v>
      </c>
      <c r="B619">
        <v>1</v>
      </c>
      <c r="C619">
        <v>2</v>
      </c>
      <c r="D619">
        <v>2</v>
      </c>
      <c r="E619">
        <v>4.5999999999999996</v>
      </c>
      <c r="G619">
        <f>E619+(E619*1%)</f>
        <v>4.6459999999999999</v>
      </c>
      <c r="H619">
        <f t="shared" ref="H619:H630" si="194">E619+(E619*2%)</f>
        <v>4.6919999999999993</v>
      </c>
      <c r="I619">
        <f t="shared" si="191"/>
        <v>4.7379999999999995</v>
      </c>
      <c r="J619">
        <f t="shared" si="192"/>
        <v>4.7839999999999998</v>
      </c>
      <c r="K619">
        <f t="shared" si="193"/>
        <v>4.83</v>
      </c>
    </row>
    <row r="620" spans="1:11" x14ac:dyDescent="0.3">
      <c r="A620">
        <v>1</v>
      </c>
      <c r="B620">
        <v>1</v>
      </c>
      <c r="C620">
        <v>2</v>
      </c>
      <c r="D620">
        <v>3</v>
      </c>
      <c r="E620">
        <v>5.7</v>
      </c>
      <c r="G620">
        <f t="shared" ref="G620:G630" si="195">E620+(E620*1%)</f>
        <v>5.7570000000000006</v>
      </c>
      <c r="H620">
        <f t="shared" si="194"/>
        <v>5.8140000000000001</v>
      </c>
      <c r="I620">
        <f t="shared" si="191"/>
        <v>5.8710000000000004</v>
      </c>
      <c r="J620">
        <f t="shared" si="192"/>
        <v>5.9279999999999999</v>
      </c>
      <c r="K620">
        <f t="shared" si="193"/>
        <v>5.9850000000000003</v>
      </c>
    </row>
    <row r="621" spans="1:11" x14ac:dyDescent="0.3">
      <c r="A621">
        <v>1</v>
      </c>
      <c r="B621">
        <v>1</v>
      </c>
      <c r="C621">
        <v>2</v>
      </c>
      <c r="D621">
        <v>4</v>
      </c>
      <c r="E621">
        <v>4.7</v>
      </c>
      <c r="G621">
        <f t="shared" si="195"/>
        <v>4.7469999999999999</v>
      </c>
      <c r="H621">
        <f t="shared" si="194"/>
        <v>4.7940000000000005</v>
      </c>
      <c r="I621">
        <f t="shared" si="191"/>
        <v>4.8410000000000002</v>
      </c>
      <c r="J621">
        <f t="shared" si="192"/>
        <v>4.8879999999999999</v>
      </c>
      <c r="K621">
        <f t="shared" si="193"/>
        <v>4.9350000000000005</v>
      </c>
    </row>
    <row r="622" spans="1:11" x14ac:dyDescent="0.3">
      <c r="A622">
        <v>1</v>
      </c>
      <c r="B622">
        <v>1</v>
      </c>
      <c r="C622">
        <v>2</v>
      </c>
      <c r="D622">
        <v>5</v>
      </c>
      <c r="E622">
        <v>3.6</v>
      </c>
      <c r="G622">
        <f t="shared" si="195"/>
        <v>3.6360000000000001</v>
      </c>
      <c r="H622">
        <f t="shared" si="194"/>
        <v>3.6720000000000002</v>
      </c>
      <c r="I622">
        <f t="shared" si="191"/>
        <v>3.7080000000000002</v>
      </c>
      <c r="J622">
        <f t="shared" si="192"/>
        <v>3.7440000000000002</v>
      </c>
      <c r="K622">
        <f t="shared" si="193"/>
        <v>3.7800000000000002</v>
      </c>
    </row>
    <row r="623" spans="1:11" x14ac:dyDescent="0.3">
      <c r="A623">
        <v>1</v>
      </c>
      <c r="B623">
        <v>1</v>
      </c>
      <c r="C623">
        <v>2</v>
      </c>
      <c r="D623">
        <v>6</v>
      </c>
      <c r="E623">
        <v>4.7</v>
      </c>
      <c r="G623">
        <f t="shared" si="195"/>
        <v>4.7469999999999999</v>
      </c>
      <c r="H623">
        <f t="shared" si="194"/>
        <v>4.7940000000000005</v>
      </c>
      <c r="I623">
        <f t="shared" si="191"/>
        <v>4.8410000000000002</v>
      </c>
      <c r="J623">
        <f t="shared" si="192"/>
        <v>4.8879999999999999</v>
      </c>
      <c r="K623">
        <f t="shared" si="193"/>
        <v>4.9350000000000005</v>
      </c>
    </row>
    <row r="624" spans="1:11" x14ac:dyDescent="0.3">
      <c r="A624">
        <v>1</v>
      </c>
      <c r="B624">
        <v>2</v>
      </c>
      <c r="C624">
        <v>1</v>
      </c>
      <c r="D624">
        <v>1</v>
      </c>
      <c r="E624">
        <v>5.7</v>
      </c>
      <c r="G624">
        <f t="shared" si="195"/>
        <v>5.7570000000000006</v>
      </c>
      <c r="H624">
        <f t="shared" si="194"/>
        <v>5.8140000000000001</v>
      </c>
      <c r="I624">
        <f t="shared" si="191"/>
        <v>5.8710000000000004</v>
      </c>
      <c r="J624">
        <f t="shared" si="192"/>
        <v>5.9279999999999999</v>
      </c>
      <c r="K624">
        <f t="shared" si="193"/>
        <v>5.9850000000000003</v>
      </c>
    </row>
    <row r="625" spans="1:11" x14ac:dyDescent="0.3">
      <c r="A625">
        <v>1</v>
      </c>
      <c r="B625">
        <v>2</v>
      </c>
      <c r="C625">
        <v>1</v>
      </c>
      <c r="D625">
        <v>2</v>
      </c>
      <c r="E625">
        <v>9.5</v>
      </c>
      <c r="G625">
        <f t="shared" si="195"/>
        <v>9.5950000000000006</v>
      </c>
      <c r="H625">
        <f t="shared" si="194"/>
        <v>9.69</v>
      </c>
      <c r="I625">
        <f t="shared" si="191"/>
        <v>9.7850000000000001</v>
      </c>
      <c r="J625">
        <f t="shared" si="192"/>
        <v>9.8800000000000008</v>
      </c>
      <c r="K625">
        <f t="shared" si="193"/>
        <v>9.9749999999999996</v>
      </c>
    </row>
    <row r="626" spans="1:11" x14ac:dyDescent="0.3">
      <c r="A626">
        <v>1</v>
      </c>
      <c r="B626">
        <v>2</v>
      </c>
      <c r="C626">
        <v>1</v>
      </c>
      <c r="D626">
        <v>3</v>
      </c>
      <c r="E626">
        <v>7.8</v>
      </c>
      <c r="G626">
        <f t="shared" si="195"/>
        <v>7.8780000000000001</v>
      </c>
      <c r="H626">
        <f t="shared" si="194"/>
        <v>7.9559999999999995</v>
      </c>
      <c r="I626">
        <f t="shared" si="191"/>
        <v>8.0339999999999989</v>
      </c>
      <c r="J626">
        <f t="shared" si="192"/>
        <v>8.1120000000000001</v>
      </c>
      <c r="K626">
        <f t="shared" si="193"/>
        <v>8.19</v>
      </c>
    </row>
    <row r="627" spans="1:11" x14ac:dyDescent="0.3">
      <c r="A627">
        <v>1</v>
      </c>
      <c r="B627">
        <v>2</v>
      </c>
      <c r="C627">
        <v>1</v>
      </c>
      <c r="D627">
        <v>4</v>
      </c>
      <c r="E627">
        <v>4.7</v>
      </c>
      <c r="G627">
        <f t="shared" si="195"/>
        <v>4.7469999999999999</v>
      </c>
      <c r="H627">
        <f t="shared" si="194"/>
        <v>4.7940000000000005</v>
      </c>
      <c r="I627">
        <f t="shared" si="191"/>
        <v>4.8410000000000002</v>
      </c>
      <c r="J627">
        <f t="shared" si="192"/>
        <v>4.8879999999999999</v>
      </c>
      <c r="K627">
        <f t="shared" si="193"/>
        <v>4.9350000000000005</v>
      </c>
    </row>
    <row r="628" spans="1:11" x14ac:dyDescent="0.3">
      <c r="A628">
        <v>1</v>
      </c>
      <c r="B628">
        <v>2</v>
      </c>
      <c r="C628">
        <v>1</v>
      </c>
      <c r="D628">
        <v>5</v>
      </c>
      <c r="E628">
        <v>4.8</v>
      </c>
      <c r="G628">
        <f t="shared" si="195"/>
        <v>4.8479999999999999</v>
      </c>
      <c r="H628">
        <f t="shared" si="194"/>
        <v>4.8959999999999999</v>
      </c>
      <c r="I628">
        <f t="shared" si="191"/>
        <v>4.944</v>
      </c>
      <c r="J628">
        <f t="shared" si="192"/>
        <v>4.992</v>
      </c>
      <c r="K628">
        <f t="shared" si="193"/>
        <v>5.04</v>
      </c>
    </row>
    <row r="629" spans="1:11" x14ac:dyDescent="0.3">
      <c r="A629">
        <v>1</v>
      </c>
      <c r="B629">
        <v>2</v>
      </c>
      <c r="C629">
        <v>1</v>
      </c>
      <c r="D629">
        <v>6</v>
      </c>
      <c r="E629">
        <v>5.7</v>
      </c>
      <c r="G629">
        <f t="shared" si="195"/>
        <v>5.7570000000000006</v>
      </c>
      <c r="H629">
        <f t="shared" si="194"/>
        <v>5.8140000000000001</v>
      </c>
      <c r="I629">
        <f t="shared" si="191"/>
        <v>5.8710000000000004</v>
      </c>
      <c r="J629">
        <f t="shared" si="192"/>
        <v>5.9279999999999999</v>
      </c>
      <c r="K629">
        <f t="shared" si="193"/>
        <v>5.9850000000000003</v>
      </c>
    </row>
    <row r="630" spans="1:11" x14ac:dyDescent="0.3">
      <c r="A630">
        <v>1</v>
      </c>
      <c r="B630">
        <v>2</v>
      </c>
      <c r="C630">
        <v>2</v>
      </c>
      <c r="D630">
        <v>1</v>
      </c>
      <c r="E630">
        <v>5.7</v>
      </c>
      <c r="G630">
        <f t="shared" si="195"/>
        <v>5.7570000000000006</v>
      </c>
      <c r="H630">
        <f t="shared" si="194"/>
        <v>5.8140000000000001</v>
      </c>
      <c r="I630">
        <f>E630+(E630*3%)</f>
        <v>5.8710000000000004</v>
      </c>
      <c r="J630">
        <f t="shared" si="192"/>
        <v>5.9279999999999999</v>
      </c>
      <c r="K630">
        <f t="shared" si="193"/>
        <v>5.9850000000000003</v>
      </c>
    </row>
    <row r="631" spans="1:11" x14ac:dyDescent="0.3">
      <c r="A631">
        <v>1</v>
      </c>
      <c r="B631">
        <v>2</v>
      </c>
      <c r="C631">
        <v>2</v>
      </c>
      <c r="D631">
        <v>2</v>
      </c>
      <c r="E631">
        <v>9.1999999999999993</v>
      </c>
      <c r="G631">
        <f t="shared" ref="G631:G683" si="196">E631+(E631*1%)</f>
        <v>9.2919999999999998</v>
      </c>
      <c r="H631">
        <f t="shared" ref="H631:H683" si="197">E631+(E631*2%)</f>
        <v>9.3839999999999986</v>
      </c>
      <c r="I631">
        <f t="shared" ref="I631:I683" si="198">E631+(E631*3%)</f>
        <v>9.4759999999999991</v>
      </c>
      <c r="J631">
        <f t="shared" ref="J631:J683" si="199">E631+(E631*4%)</f>
        <v>9.5679999999999996</v>
      </c>
      <c r="K631">
        <f t="shared" ref="K631:K683" si="200">E631+(E631*5%)</f>
        <v>9.66</v>
      </c>
    </row>
    <row r="632" spans="1:11" x14ac:dyDescent="0.3">
      <c r="A632">
        <v>1</v>
      </c>
      <c r="B632">
        <v>2</v>
      </c>
      <c r="C632">
        <v>2</v>
      </c>
      <c r="D632">
        <v>3</v>
      </c>
      <c r="E632">
        <v>7.9</v>
      </c>
      <c r="G632">
        <f t="shared" si="196"/>
        <v>7.9790000000000001</v>
      </c>
      <c r="H632">
        <f t="shared" si="197"/>
        <v>8.0579999999999998</v>
      </c>
      <c r="I632">
        <f t="shared" si="198"/>
        <v>8.1370000000000005</v>
      </c>
      <c r="J632">
        <f t="shared" si="199"/>
        <v>8.2160000000000011</v>
      </c>
      <c r="K632">
        <f t="shared" si="200"/>
        <v>8.2949999999999999</v>
      </c>
    </row>
    <row r="633" spans="1:11" x14ac:dyDescent="0.3">
      <c r="A633">
        <v>1</v>
      </c>
      <c r="B633">
        <v>2</v>
      </c>
      <c r="C633">
        <v>2</v>
      </c>
      <c r="D633">
        <v>4</v>
      </c>
      <c r="E633">
        <v>5.6</v>
      </c>
      <c r="G633">
        <f t="shared" si="196"/>
        <v>5.6559999999999997</v>
      </c>
      <c r="H633">
        <f t="shared" si="197"/>
        <v>5.7119999999999997</v>
      </c>
      <c r="I633">
        <f t="shared" si="198"/>
        <v>5.7679999999999998</v>
      </c>
      <c r="J633">
        <f t="shared" si="199"/>
        <v>5.8239999999999998</v>
      </c>
      <c r="K633">
        <f t="shared" si="200"/>
        <v>5.88</v>
      </c>
    </row>
    <row r="634" spans="1:11" x14ac:dyDescent="0.3">
      <c r="A634">
        <v>1</v>
      </c>
      <c r="B634">
        <v>2</v>
      </c>
      <c r="C634">
        <v>2</v>
      </c>
      <c r="D634">
        <v>5</v>
      </c>
      <c r="E634">
        <v>6.8</v>
      </c>
      <c r="G634">
        <f t="shared" si="196"/>
        <v>6.8679999999999994</v>
      </c>
      <c r="H634">
        <f t="shared" si="197"/>
        <v>6.9359999999999999</v>
      </c>
      <c r="I634">
        <f t="shared" si="198"/>
        <v>7.0039999999999996</v>
      </c>
      <c r="J634">
        <f t="shared" si="199"/>
        <v>7.0720000000000001</v>
      </c>
      <c r="K634">
        <f t="shared" si="200"/>
        <v>7.14</v>
      </c>
    </row>
    <row r="635" spans="1:11" x14ac:dyDescent="0.3">
      <c r="A635">
        <v>1</v>
      </c>
      <c r="B635">
        <v>2</v>
      </c>
      <c r="C635">
        <v>2</v>
      </c>
      <c r="D635">
        <v>6</v>
      </c>
      <c r="E635">
        <v>5.8</v>
      </c>
      <c r="G635">
        <f t="shared" si="196"/>
        <v>5.8579999999999997</v>
      </c>
      <c r="H635">
        <f t="shared" si="197"/>
        <v>5.9159999999999995</v>
      </c>
      <c r="I635">
        <f t="shared" si="198"/>
        <v>5.9740000000000002</v>
      </c>
      <c r="J635">
        <f t="shared" si="199"/>
        <v>6.032</v>
      </c>
      <c r="K635">
        <f t="shared" si="200"/>
        <v>6.09</v>
      </c>
    </row>
    <row r="636" spans="1:11" x14ac:dyDescent="0.3">
      <c r="A636">
        <v>2</v>
      </c>
      <c r="B636">
        <v>1</v>
      </c>
      <c r="C636">
        <v>1</v>
      </c>
      <c r="D636">
        <v>1</v>
      </c>
      <c r="E636">
        <v>5.7</v>
      </c>
      <c r="G636">
        <f t="shared" si="196"/>
        <v>5.7570000000000006</v>
      </c>
      <c r="H636">
        <f t="shared" si="197"/>
        <v>5.8140000000000001</v>
      </c>
      <c r="I636">
        <f t="shared" si="198"/>
        <v>5.8710000000000004</v>
      </c>
      <c r="J636">
        <f t="shared" si="199"/>
        <v>5.9279999999999999</v>
      </c>
      <c r="K636">
        <f t="shared" si="200"/>
        <v>5.9850000000000003</v>
      </c>
    </row>
    <row r="637" spans="1:11" x14ac:dyDescent="0.3">
      <c r="A637">
        <v>2</v>
      </c>
      <c r="B637">
        <v>1</v>
      </c>
      <c r="C637">
        <v>1</v>
      </c>
      <c r="D637">
        <v>2</v>
      </c>
      <c r="E637">
        <v>3.6</v>
      </c>
      <c r="G637">
        <f t="shared" si="196"/>
        <v>3.6360000000000001</v>
      </c>
      <c r="H637">
        <f t="shared" si="197"/>
        <v>3.6720000000000002</v>
      </c>
      <c r="I637">
        <f t="shared" si="198"/>
        <v>3.7080000000000002</v>
      </c>
      <c r="J637">
        <f t="shared" si="199"/>
        <v>3.7440000000000002</v>
      </c>
      <c r="K637">
        <f t="shared" si="200"/>
        <v>3.7800000000000002</v>
      </c>
    </row>
    <row r="638" spans="1:11" x14ac:dyDescent="0.3">
      <c r="A638">
        <v>2</v>
      </c>
      <c r="B638">
        <v>1</v>
      </c>
      <c r="C638">
        <v>1</v>
      </c>
      <c r="D638">
        <v>3</v>
      </c>
      <c r="E638">
        <v>7.6</v>
      </c>
      <c r="G638">
        <f t="shared" si="196"/>
        <v>7.6759999999999993</v>
      </c>
      <c r="H638">
        <f t="shared" si="197"/>
        <v>7.7519999999999998</v>
      </c>
      <c r="I638">
        <f t="shared" si="198"/>
        <v>7.8279999999999994</v>
      </c>
      <c r="J638">
        <f t="shared" si="199"/>
        <v>7.9039999999999999</v>
      </c>
      <c r="K638">
        <f t="shared" si="200"/>
        <v>7.9799999999999995</v>
      </c>
    </row>
    <row r="639" spans="1:11" x14ac:dyDescent="0.3">
      <c r="A639">
        <v>2</v>
      </c>
      <c r="B639">
        <v>1</v>
      </c>
      <c r="C639">
        <v>1</v>
      </c>
      <c r="D639">
        <v>4</v>
      </c>
      <c r="E639">
        <v>8.5</v>
      </c>
      <c r="G639">
        <f t="shared" si="196"/>
        <v>8.5850000000000009</v>
      </c>
      <c r="H639">
        <f t="shared" si="197"/>
        <v>8.67</v>
      </c>
      <c r="I639">
        <f t="shared" si="198"/>
        <v>8.7550000000000008</v>
      </c>
      <c r="J639">
        <f t="shared" si="199"/>
        <v>8.84</v>
      </c>
      <c r="K639">
        <f t="shared" si="200"/>
        <v>8.9250000000000007</v>
      </c>
    </row>
    <row r="640" spans="1:11" x14ac:dyDescent="0.3">
      <c r="A640">
        <v>2</v>
      </c>
      <c r="B640">
        <v>1</v>
      </c>
      <c r="C640">
        <v>1</v>
      </c>
      <c r="D640">
        <v>5</v>
      </c>
      <c r="E640">
        <v>7.5</v>
      </c>
      <c r="G640">
        <f t="shared" si="196"/>
        <v>7.5750000000000002</v>
      </c>
      <c r="H640">
        <f t="shared" si="197"/>
        <v>7.65</v>
      </c>
      <c r="I640">
        <f t="shared" si="198"/>
        <v>7.7249999999999996</v>
      </c>
      <c r="J640">
        <f t="shared" si="199"/>
        <v>7.8</v>
      </c>
      <c r="K640">
        <f t="shared" si="200"/>
        <v>7.875</v>
      </c>
    </row>
    <row r="641" spans="1:11" x14ac:dyDescent="0.3">
      <c r="A641">
        <v>2</v>
      </c>
      <c r="B641">
        <v>1</v>
      </c>
      <c r="C641">
        <v>1</v>
      </c>
      <c r="D641">
        <v>6</v>
      </c>
      <c r="E641">
        <v>8.5</v>
      </c>
      <c r="G641">
        <f t="shared" si="196"/>
        <v>8.5850000000000009</v>
      </c>
      <c r="H641">
        <f t="shared" si="197"/>
        <v>8.67</v>
      </c>
      <c r="I641">
        <f t="shared" si="198"/>
        <v>8.7550000000000008</v>
      </c>
      <c r="J641">
        <f t="shared" si="199"/>
        <v>8.84</v>
      </c>
      <c r="K641">
        <f t="shared" si="200"/>
        <v>8.9250000000000007</v>
      </c>
    </row>
    <row r="642" spans="1:11" x14ac:dyDescent="0.3">
      <c r="A642">
        <v>2</v>
      </c>
      <c r="B642">
        <v>1</v>
      </c>
      <c r="C642">
        <v>2</v>
      </c>
      <c r="D642">
        <v>1</v>
      </c>
      <c r="E642">
        <v>5.0999999999999996</v>
      </c>
      <c r="G642">
        <f t="shared" si="196"/>
        <v>5.1509999999999998</v>
      </c>
      <c r="H642">
        <f t="shared" si="197"/>
        <v>5.202</v>
      </c>
      <c r="I642">
        <f t="shared" si="198"/>
        <v>5.2529999999999992</v>
      </c>
      <c r="J642">
        <f t="shared" si="199"/>
        <v>5.3039999999999994</v>
      </c>
      <c r="K642">
        <f t="shared" si="200"/>
        <v>5.3549999999999995</v>
      </c>
    </row>
    <row r="643" spans="1:11" x14ac:dyDescent="0.3">
      <c r="A643">
        <v>2</v>
      </c>
      <c r="B643">
        <v>1</v>
      </c>
      <c r="C643">
        <v>2</v>
      </c>
      <c r="D643">
        <v>2</v>
      </c>
      <c r="E643">
        <v>5.3</v>
      </c>
      <c r="G643">
        <f t="shared" si="196"/>
        <v>5.3529999999999998</v>
      </c>
      <c r="H643">
        <f t="shared" si="197"/>
        <v>5.4059999999999997</v>
      </c>
      <c r="I643">
        <f t="shared" si="198"/>
        <v>5.4589999999999996</v>
      </c>
      <c r="J643">
        <f t="shared" si="199"/>
        <v>5.5119999999999996</v>
      </c>
      <c r="K643">
        <f t="shared" si="200"/>
        <v>5.5649999999999995</v>
      </c>
    </row>
    <row r="644" spans="1:11" x14ac:dyDescent="0.3">
      <c r="A644">
        <v>2</v>
      </c>
      <c r="B644">
        <v>1</v>
      </c>
      <c r="C644">
        <v>2</v>
      </c>
      <c r="D644">
        <v>3</v>
      </c>
      <c r="E644">
        <v>6.9</v>
      </c>
      <c r="G644">
        <f t="shared" si="196"/>
        <v>6.9690000000000003</v>
      </c>
      <c r="H644">
        <f t="shared" si="197"/>
        <v>7.0380000000000003</v>
      </c>
      <c r="I644">
        <f t="shared" si="198"/>
        <v>7.1070000000000002</v>
      </c>
      <c r="J644">
        <f t="shared" si="199"/>
        <v>7.1760000000000002</v>
      </c>
      <c r="K644">
        <f t="shared" si="200"/>
        <v>7.2450000000000001</v>
      </c>
    </row>
    <row r="645" spans="1:11" x14ac:dyDescent="0.3">
      <c r="A645">
        <v>2</v>
      </c>
      <c r="B645">
        <v>1</v>
      </c>
      <c r="C645">
        <v>2</v>
      </c>
      <c r="D645">
        <v>4</v>
      </c>
      <c r="E645">
        <v>6.8</v>
      </c>
      <c r="G645">
        <f t="shared" si="196"/>
        <v>6.8679999999999994</v>
      </c>
      <c r="H645">
        <f t="shared" si="197"/>
        <v>6.9359999999999999</v>
      </c>
      <c r="I645">
        <f t="shared" si="198"/>
        <v>7.0039999999999996</v>
      </c>
      <c r="J645">
        <f t="shared" si="199"/>
        <v>7.0720000000000001</v>
      </c>
      <c r="K645">
        <f t="shared" si="200"/>
        <v>7.14</v>
      </c>
    </row>
    <row r="646" spans="1:11" x14ac:dyDescent="0.3">
      <c r="A646">
        <v>2</v>
      </c>
      <c r="B646">
        <v>1</v>
      </c>
      <c r="C646">
        <v>2</v>
      </c>
      <c r="D646">
        <v>5</v>
      </c>
      <c r="E646">
        <v>3.7</v>
      </c>
      <c r="G646">
        <f t="shared" si="196"/>
        <v>3.7370000000000001</v>
      </c>
      <c r="H646">
        <f t="shared" si="197"/>
        <v>3.774</v>
      </c>
      <c r="I646">
        <f t="shared" si="198"/>
        <v>3.8110000000000004</v>
      </c>
      <c r="J646">
        <f t="shared" si="199"/>
        <v>3.8480000000000003</v>
      </c>
      <c r="K646">
        <f t="shared" si="200"/>
        <v>3.8850000000000002</v>
      </c>
    </row>
    <row r="647" spans="1:11" x14ac:dyDescent="0.3">
      <c r="A647">
        <v>2</v>
      </c>
      <c r="B647">
        <v>1</v>
      </c>
      <c r="C647">
        <v>2</v>
      </c>
      <c r="D647">
        <v>6</v>
      </c>
      <c r="E647">
        <v>4.7</v>
      </c>
      <c r="G647">
        <f t="shared" si="196"/>
        <v>4.7469999999999999</v>
      </c>
      <c r="H647">
        <f t="shared" si="197"/>
        <v>4.7940000000000005</v>
      </c>
      <c r="I647">
        <f t="shared" si="198"/>
        <v>4.8410000000000002</v>
      </c>
      <c r="J647">
        <f t="shared" si="199"/>
        <v>4.8879999999999999</v>
      </c>
      <c r="K647">
        <f t="shared" si="200"/>
        <v>4.9350000000000005</v>
      </c>
    </row>
    <row r="648" spans="1:11" x14ac:dyDescent="0.3">
      <c r="A648">
        <v>2</v>
      </c>
      <c r="B648">
        <v>2</v>
      </c>
      <c r="C648">
        <v>1</v>
      </c>
      <c r="D648">
        <v>1</v>
      </c>
      <c r="E648">
        <v>5.7</v>
      </c>
      <c r="G648">
        <f t="shared" si="196"/>
        <v>5.7570000000000006</v>
      </c>
      <c r="H648">
        <f t="shared" si="197"/>
        <v>5.8140000000000001</v>
      </c>
      <c r="I648">
        <f t="shared" si="198"/>
        <v>5.8710000000000004</v>
      </c>
      <c r="J648">
        <f t="shared" si="199"/>
        <v>5.9279999999999999</v>
      </c>
      <c r="K648">
        <f t="shared" si="200"/>
        <v>5.9850000000000003</v>
      </c>
    </row>
    <row r="649" spans="1:11" x14ac:dyDescent="0.3">
      <c r="A649">
        <v>2</v>
      </c>
      <c r="B649">
        <v>2</v>
      </c>
      <c r="C649">
        <v>1</v>
      </c>
      <c r="D649">
        <v>2</v>
      </c>
      <c r="E649">
        <v>7.7</v>
      </c>
      <c r="G649">
        <f t="shared" si="196"/>
        <v>7.7770000000000001</v>
      </c>
      <c r="H649">
        <f t="shared" si="197"/>
        <v>7.8540000000000001</v>
      </c>
      <c r="I649">
        <f t="shared" si="198"/>
        <v>7.931</v>
      </c>
      <c r="J649">
        <f t="shared" si="199"/>
        <v>8.0080000000000009</v>
      </c>
      <c r="K649">
        <f t="shared" si="200"/>
        <v>8.0850000000000009</v>
      </c>
    </row>
    <row r="650" spans="1:11" x14ac:dyDescent="0.3">
      <c r="A650">
        <v>2</v>
      </c>
      <c r="B650">
        <v>2</v>
      </c>
      <c r="C650">
        <v>1</v>
      </c>
      <c r="D650">
        <v>3</v>
      </c>
      <c r="E650">
        <v>4.7</v>
      </c>
      <c r="G650">
        <f t="shared" si="196"/>
        <v>4.7469999999999999</v>
      </c>
      <c r="H650">
        <f t="shared" si="197"/>
        <v>4.7940000000000005</v>
      </c>
      <c r="I650">
        <f t="shared" si="198"/>
        <v>4.8410000000000002</v>
      </c>
      <c r="J650">
        <f t="shared" si="199"/>
        <v>4.8879999999999999</v>
      </c>
      <c r="K650">
        <f t="shared" si="200"/>
        <v>4.9350000000000005</v>
      </c>
    </row>
    <row r="651" spans="1:11" x14ac:dyDescent="0.3">
      <c r="A651">
        <v>2</v>
      </c>
      <c r="B651">
        <v>2</v>
      </c>
      <c r="C651">
        <v>1</v>
      </c>
      <c r="D651">
        <v>4</v>
      </c>
      <c r="E651">
        <v>8.5</v>
      </c>
      <c r="G651">
        <f t="shared" si="196"/>
        <v>8.5850000000000009</v>
      </c>
      <c r="H651">
        <f t="shared" si="197"/>
        <v>8.67</v>
      </c>
      <c r="I651">
        <f t="shared" si="198"/>
        <v>8.7550000000000008</v>
      </c>
      <c r="J651">
        <f t="shared" si="199"/>
        <v>8.84</v>
      </c>
      <c r="K651">
        <f t="shared" si="200"/>
        <v>8.9250000000000007</v>
      </c>
    </row>
    <row r="652" spans="1:11" x14ac:dyDescent="0.3">
      <c r="A652">
        <v>2</v>
      </c>
      <c r="B652">
        <v>2</v>
      </c>
      <c r="C652">
        <v>1</v>
      </c>
      <c r="D652">
        <v>5</v>
      </c>
      <c r="E652">
        <v>6.8</v>
      </c>
      <c r="G652">
        <f t="shared" si="196"/>
        <v>6.8679999999999994</v>
      </c>
      <c r="H652">
        <f t="shared" si="197"/>
        <v>6.9359999999999999</v>
      </c>
      <c r="I652">
        <f t="shared" si="198"/>
        <v>7.0039999999999996</v>
      </c>
      <c r="J652">
        <f t="shared" si="199"/>
        <v>7.0720000000000001</v>
      </c>
      <c r="K652">
        <f t="shared" si="200"/>
        <v>7.14</v>
      </c>
    </row>
    <row r="653" spans="1:11" x14ac:dyDescent="0.3">
      <c r="A653">
        <v>2</v>
      </c>
      <c r="B653">
        <v>2</v>
      </c>
      <c r="C653">
        <v>1</v>
      </c>
      <c r="D653">
        <v>6</v>
      </c>
      <c r="E653">
        <v>5.7</v>
      </c>
      <c r="G653">
        <f t="shared" si="196"/>
        <v>5.7570000000000006</v>
      </c>
      <c r="H653">
        <f t="shared" si="197"/>
        <v>5.8140000000000001</v>
      </c>
      <c r="I653">
        <f t="shared" si="198"/>
        <v>5.8710000000000004</v>
      </c>
      <c r="J653">
        <f t="shared" si="199"/>
        <v>5.9279999999999999</v>
      </c>
      <c r="K653">
        <f t="shared" si="200"/>
        <v>5.9850000000000003</v>
      </c>
    </row>
    <row r="654" spans="1:11" x14ac:dyDescent="0.3">
      <c r="A654">
        <v>2</v>
      </c>
      <c r="B654">
        <v>2</v>
      </c>
      <c r="C654">
        <v>2</v>
      </c>
      <c r="D654">
        <v>1</v>
      </c>
      <c r="E654">
        <v>4.5999999999999996</v>
      </c>
      <c r="G654">
        <f t="shared" si="196"/>
        <v>4.6459999999999999</v>
      </c>
      <c r="H654">
        <f t="shared" si="197"/>
        <v>4.6919999999999993</v>
      </c>
      <c r="I654">
        <f t="shared" si="198"/>
        <v>4.7379999999999995</v>
      </c>
      <c r="J654">
        <f t="shared" si="199"/>
        <v>4.7839999999999998</v>
      </c>
      <c r="K654">
        <f t="shared" si="200"/>
        <v>4.83</v>
      </c>
    </row>
    <row r="655" spans="1:11" x14ac:dyDescent="0.3">
      <c r="A655">
        <v>2</v>
      </c>
      <c r="B655">
        <v>2</v>
      </c>
      <c r="C655">
        <v>2</v>
      </c>
      <c r="D655">
        <v>2</v>
      </c>
      <c r="E655">
        <v>5.6</v>
      </c>
      <c r="G655">
        <f t="shared" si="196"/>
        <v>5.6559999999999997</v>
      </c>
      <c r="H655">
        <f t="shared" si="197"/>
        <v>5.7119999999999997</v>
      </c>
      <c r="I655">
        <f t="shared" si="198"/>
        <v>5.7679999999999998</v>
      </c>
      <c r="J655">
        <f t="shared" si="199"/>
        <v>5.8239999999999998</v>
      </c>
      <c r="K655">
        <f t="shared" si="200"/>
        <v>5.88</v>
      </c>
    </row>
    <row r="656" spans="1:11" x14ac:dyDescent="0.3">
      <c r="A656">
        <v>2</v>
      </c>
      <c r="B656">
        <v>2</v>
      </c>
      <c r="C656">
        <v>2</v>
      </c>
      <c r="D656">
        <v>3</v>
      </c>
      <c r="E656">
        <v>4.5999999999999996</v>
      </c>
      <c r="G656">
        <f t="shared" si="196"/>
        <v>4.6459999999999999</v>
      </c>
      <c r="H656">
        <f t="shared" si="197"/>
        <v>4.6919999999999993</v>
      </c>
      <c r="I656">
        <f t="shared" si="198"/>
        <v>4.7379999999999995</v>
      </c>
      <c r="J656">
        <f t="shared" si="199"/>
        <v>4.7839999999999998</v>
      </c>
      <c r="K656">
        <f t="shared" si="200"/>
        <v>4.83</v>
      </c>
    </row>
    <row r="657" spans="1:11" x14ac:dyDescent="0.3">
      <c r="A657">
        <v>2</v>
      </c>
      <c r="B657">
        <v>2</v>
      </c>
      <c r="C657">
        <v>2</v>
      </c>
      <c r="D657">
        <v>4</v>
      </c>
      <c r="E657">
        <v>6.8</v>
      </c>
      <c r="G657">
        <f t="shared" si="196"/>
        <v>6.8679999999999994</v>
      </c>
      <c r="H657">
        <f t="shared" si="197"/>
        <v>6.9359999999999999</v>
      </c>
      <c r="I657">
        <f t="shared" si="198"/>
        <v>7.0039999999999996</v>
      </c>
      <c r="J657">
        <f t="shared" si="199"/>
        <v>7.0720000000000001</v>
      </c>
      <c r="K657">
        <f t="shared" si="200"/>
        <v>7.14</v>
      </c>
    </row>
    <row r="658" spans="1:11" x14ac:dyDescent="0.3">
      <c r="A658">
        <v>2</v>
      </c>
      <c r="B658">
        <v>2</v>
      </c>
      <c r="C658">
        <v>2</v>
      </c>
      <c r="D658">
        <v>5</v>
      </c>
      <c r="E658">
        <v>8.3000000000000007</v>
      </c>
      <c r="G658">
        <f t="shared" si="196"/>
        <v>8.3830000000000009</v>
      </c>
      <c r="H658">
        <f t="shared" si="197"/>
        <v>8.4660000000000011</v>
      </c>
      <c r="I658">
        <f t="shared" si="198"/>
        <v>8.5490000000000013</v>
      </c>
      <c r="J658">
        <f t="shared" si="199"/>
        <v>8.6320000000000014</v>
      </c>
      <c r="K658">
        <f t="shared" si="200"/>
        <v>8.7149999999999999</v>
      </c>
    </row>
    <row r="659" spans="1:11" x14ac:dyDescent="0.3">
      <c r="A659">
        <v>2</v>
      </c>
      <c r="B659">
        <v>2</v>
      </c>
      <c r="C659">
        <v>2</v>
      </c>
      <c r="D659">
        <v>6</v>
      </c>
      <c r="E659">
        <v>7.1</v>
      </c>
      <c r="G659">
        <f t="shared" si="196"/>
        <v>7.1709999999999994</v>
      </c>
      <c r="H659">
        <f t="shared" si="197"/>
        <v>7.242</v>
      </c>
      <c r="I659">
        <f t="shared" si="198"/>
        <v>7.3129999999999997</v>
      </c>
      <c r="J659">
        <f t="shared" si="199"/>
        <v>7.3839999999999995</v>
      </c>
      <c r="K659">
        <f t="shared" si="200"/>
        <v>7.4550000000000001</v>
      </c>
    </row>
    <row r="660" spans="1:11" x14ac:dyDescent="0.3">
      <c r="A660">
        <v>3</v>
      </c>
      <c r="B660">
        <v>1</v>
      </c>
      <c r="C660">
        <v>1</v>
      </c>
      <c r="D660">
        <v>1</v>
      </c>
      <c r="E660">
        <v>6.3</v>
      </c>
      <c r="G660">
        <f>E660+(E660*1%)</f>
        <v>6.3629999999999995</v>
      </c>
      <c r="H660">
        <f t="shared" si="197"/>
        <v>6.4260000000000002</v>
      </c>
      <c r="I660">
        <f t="shared" si="198"/>
        <v>6.4889999999999999</v>
      </c>
      <c r="J660">
        <f t="shared" si="199"/>
        <v>6.5519999999999996</v>
      </c>
      <c r="K660">
        <f t="shared" si="200"/>
        <v>6.6150000000000002</v>
      </c>
    </row>
    <row r="661" spans="1:11" x14ac:dyDescent="0.3">
      <c r="A661">
        <v>3</v>
      </c>
      <c r="B661">
        <v>1</v>
      </c>
      <c r="C661">
        <v>1</v>
      </c>
      <c r="D661">
        <v>2</v>
      </c>
      <c r="E661">
        <v>7.5</v>
      </c>
      <c r="G661">
        <f t="shared" si="196"/>
        <v>7.5750000000000002</v>
      </c>
      <c r="H661">
        <f t="shared" si="197"/>
        <v>7.65</v>
      </c>
      <c r="I661">
        <f t="shared" si="198"/>
        <v>7.7249999999999996</v>
      </c>
      <c r="J661">
        <f t="shared" si="199"/>
        <v>7.8</v>
      </c>
      <c r="K661">
        <f t="shared" si="200"/>
        <v>7.875</v>
      </c>
    </row>
    <row r="662" spans="1:11" x14ac:dyDescent="0.3">
      <c r="A662">
        <v>3</v>
      </c>
      <c r="B662">
        <v>1</v>
      </c>
      <c r="C662">
        <v>1</v>
      </c>
      <c r="D662">
        <v>3</v>
      </c>
      <c r="E662">
        <v>3.6</v>
      </c>
      <c r="G662">
        <f t="shared" si="196"/>
        <v>3.6360000000000001</v>
      </c>
      <c r="H662">
        <f t="shared" si="197"/>
        <v>3.6720000000000002</v>
      </c>
      <c r="I662">
        <f t="shared" si="198"/>
        <v>3.7080000000000002</v>
      </c>
      <c r="J662">
        <f t="shared" si="199"/>
        <v>3.7440000000000002</v>
      </c>
      <c r="K662">
        <f t="shared" si="200"/>
        <v>3.7800000000000002</v>
      </c>
    </row>
    <row r="663" spans="1:11" x14ac:dyDescent="0.3">
      <c r="A663">
        <v>3</v>
      </c>
      <c r="B663">
        <v>1</v>
      </c>
      <c r="C663">
        <v>1</v>
      </c>
      <c r="D663">
        <v>4</v>
      </c>
      <c r="E663">
        <v>2.6</v>
      </c>
      <c r="G663">
        <f t="shared" si="196"/>
        <v>2.6259999999999999</v>
      </c>
      <c r="H663">
        <f t="shared" si="197"/>
        <v>2.6520000000000001</v>
      </c>
      <c r="I663">
        <f t="shared" si="198"/>
        <v>2.6779999999999999</v>
      </c>
      <c r="J663">
        <f t="shared" si="199"/>
        <v>2.7040000000000002</v>
      </c>
      <c r="K663">
        <f t="shared" si="200"/>
        <v>2.73</v>
      </c>
    </row>
    <row r="664" spans="1:11" x14ac:dyDescent="0.3">
      <c r="A664">
        <v>3</v>
      </c>
      <c r="B664">
        <v>1</v>
      </c>
      <c r="C664">
        <v>1</v>
      </c>
      <c r="D664">
        <v>5</v>
      </c>
      <c r="E664">
        <v>5.7</v>
      </c>
      <c r="G664">
        <f t="shared" si="196"/>
        <v>5.7570000000000006</v>
      </c>
      <c r="H664">
        <f t="shared" si="197"/>
        <v>5.8140000000000001</v>
      </c>
      <c r="I664">
        <f t="shared" si="198"/>
        <v>5.8710000000000004</v>
      </c>
      <c r="J664">
        <f t="shared" si="199"/>
        <v>5.9279999999999999</v>
      </c>
      <c r="K664">
        <f t="shared" si="200"/>
        <v>5.9850000000000003</v>
      </c>
    </row>
    <row r="665" spans="1:11" x14ac:dyDescent="0.3">
      <c r="A665">
        <v>3</v>
      </c>
      <c r="B665">
        <v>1</v>
      </c>
      <c r="C665">
        <v>1</v>
      </c>
      <c r="D665">
        <v>6</v>
      </c>
      <c r="E665">
        <v>3.6</v>
      </c>
      <c r="G665">
        <f t="shared" si="196"/>
        <v>3.6360000000000001</v>
      </c>
      <c r="H665">
        <f t="shared" si="197"/>
        <v>3.6720000000000002</v>
      </c>
      <c r="I665">
        <f t="shared" si="198"/>
        <v>3.7080000000000002</v>
      </c>
      <c r="J665">
        <f t="shared" si="199"/>
        <v>3.7440000000000002</v>
      </c>
      <c r="K665">
        <f t="shared" si="200"/>
        <v>3.7800000000000002</v>
      </c>
    </row>
    <row r="666" spans="1:11" x14ac:dyDescent="0.3">
      <c r="A666">
        <v>3</v>
      </c>
      <c r="B666">
        <v>1</v>
      </c>
      <c r="C666">
        <v>2</v>
      </c>
      <c r="D666">
        <v>1</v>
      </c>
      <c r="E666">
        <v>3.5</v>
      </c>
      <c r="G666">
        <f t="shared" si="196"/>
        <v>3.5350000000000001</v>
      </c>
      <c r="H666">
        <f t="shared" si="197"/>
        <v>3.57</v>
      </c>
      <c r="I666">
        <f>E666+(E666*3%)</f>
        <v>3.605</v>
      </c>
      <c r="J666">
        <f t="shared" si="199"/>
        <v>3.64</v>
      </c>
      <c r="K666">
        <f t="shared" si="200"/>
        <v>3.6749999999999998</v>
      </c>
    </row>
    <row r="667" spans="1:11" x14ac:dyDescent="0.3">
      <c r="A667">
        <v>3</v>
      </c>
      <c r="B667">
        <v>1</v>
      </c>
      <c r="C667">
        <v>2</v>
      </c>
      <c r="D667">
        <v>2</v>
      </c>
      <c r="E667">
        <v>3.7</v>
      </c>
      <c r="G667">
        <f t="shared" si="196"/>
        <v>3.7370000000000001</v>
      </c>
      <c r="H667">
        <f t="shared" si="197"/>
        <v>3.774</v>
      </c>
      <c r="I667">
        <f t="shared" si="198"/>
        <v>3.8110000000000004</v>
      </c>
      <c r="J667">
        <f t="shared" si="199"/>
        <v>3.8480000000000003</v>
      </c>
      <c r="K667">
        <f t="shared" si="200"/>
        <v>3.8850000000000002</v>
      </c>
    </row>
    <row r="668" spans="1:11" x14ac:dyDescent="0.3">
      <c r="A668">
        <v>3</v>
      </c>
      <c r="B668">
        <v>1</v>
      </c>
      <c r="C668">
        <v>2</v>
      </c>
      <c r="D668">
        <v>3</v>
      </c>
      <c r="E668">
        <v>8.6999999999999993</v>
      </c>
      <c r="G668">
        <f t="shared" si="196"/>
        <v>8.786999999999999</v>
      </c>
      <c r="H668">
        <f t="shared" si="197"/>
        <v>8.8739999999999988</v>
      </c>
      <c r="I668">
        <f t="shared" si="198"/>
        <v>8.9609999999999985</v>
      </c>
      <c r="J668">
        <f t="shared" si="199"/>
        <v>9.048</v>
      </c>
      <c r="K668">
        <f t="shared" si="200"/>
        <v>9.1349999999999998</v>
      </c>
    </row>
    <row r="669" spans="1:11" x14ac:dyDescent="0.3">
      <c r="A669">
        <v>3</v>
      </c>
      <c r="B669">
        <v>1</v>
      </c>
      <c r="C669">
        <v>2</v>
      </c>
      <c r="D669">
        <v>4</v>
      </c>
      <c r="E669">
        <v>4.7</v>
      </c>
      <c r="G669">
        <f t="shared" si="196"/>
        <v>4.7469999999999999</v>
      </c>
      <c r="H669">
        <f t="shared" si="197"/>
        <v>4.7940000000000005</v>
      </c>
      <c r="I669">
        <f t="shared" si="198"/>
        <v>4.8410000000000002</v>
      </c>
      <c r="J669">
        <f t="shared" si="199"/>
        <v>4.8879999999999999</v>
      </c>
      <c r="K669">
        <f t="shared" si="200"/>
        <v>4.9350000000000005</v>
      </c>
    </row>
    <row r="670" spans="1:11" x14ac:dyDescent="0.3">
      <c r="A670">
        <v>3</v>
      </c>
      <c r="B670">
        <v>1</v>
      </c>
      <c r="C670">
        <v>2</v>
      </c>
      <c r="D670">
        <v>5</v>
      </c>
      <c r="E670">
        <v>3.7</v>
      </c>
      <c r="G670">
        <f t="shared" si="196"/>
        <v>3.7370000000000001</v>
      </c>
      <c r="H670">
        <f t="shared" si="197"/>
        <v>3.774</v>
      </c>
      <c r="I670">
        <f t="shared" si="198"/>
        <v>3.8110000000000004</v>
      </c>
      <c r="J670">
        <f t="shared" si="199"/>
        <v>3.8480000000000003</v>
      </c>
      <c r="K670">
        <f t="shared" si="200"/>
        <v>3.8850000000000002</v>
      </c>
    </row>
    <row r="671" spans="1:11" x14ac:dyDescent="0.3">
      <c r="A671">
        <v>3</v>
      </c>
      <c r="B671">
        <v>1</v>
      </c>
      <c r="C671">
        <v>2</v>
      </c>
      <c r="D671">
        <v>6</v>
      </c>
      <c r="E671">
        <v>2.8</v>
      </c>
      <c r="G671">
        <f t="shared" si="196"/>
        <v>2.8279999999999998</v>
      </c>
      <c r="H671">
        <f t="shared" si="197"/>
        <v>2.8559999999999999</v>
      </c>
      <c r="I671">
        <f t="shared" si="198"/>
        <v>2.8839999999999999</v>
      </c>
      <c r="J671">
        <f t="shared" si="199"/>
        <v>2.9119999999999999</v>
      </c>
      <c r="K671">
        <f t="shared" si="200"/>
        <v>2.94</v>
      </c>
    </row>
    <row r="672" spans="1:11" x14ac:dyDescent="0.3">
      <c r="A672">
        <v>3</v>
      </c>
      <c r="B672">
        <v>2</v>
      </c>
      <c r="C672">
        <v>1</v>
      </c>
      <c r="D672">
        <v>1</v>
      </c>
      <c r="E672">
        <v>4.7</v>
      </c>
      <c r="G672">
        <f t="shared" si="196"/>
        <v>4.7469999999999999</v>
      </c>
      <c r="H672">
        <f t="shared" si="197"/>
        <v>4.7940000000000005</v>
      </c>
      <c r="I672">
        <f t="shared" si="198"/>
        <v>4.8410000000000002</v>
      </c>
      <c r="J672">
        <f t="shared" si="199"/>
        <v>4.8879999999999999</v>
      </c>
      <c r="K672">
        <f t="shared" si="200"/>
        <v>4.9350000000000005</v>
      </c>
    </row>
    <row r="673" spans="1:11" x14ac:dyDescent="0.3">
      <c r="A673">
        <v>3</v>
      </c>
      <c r="B673">
        <v>2</v>
      </c>
      <c r="C673">
        <v>1</v>
      </c>
      <c r="D673">
        <v>2</v>
      </c>
      <c r="E673">
        <v>8.5</v>
      </c>
      <c r="G673">
        <f t="shared" si="196"/>
        <v>8.5850000000000009</v>
      </c>
      <c r="H673">
        <f t="shared" si="197"/>
        <v>8.67</v>
      </c>
      <c r="I673">
        <f t="shared" si="198"/>
        <v>8.7550000000000008</v>
      </c>
      <c r="J673">
        <f t="shared" si="199"/>
        <v>8.84</v>
      </c>
      <c r="K673">
        <f t="shared" si="200"/>
        <v>8.9250000000000007</v>
      </c>
    </row>
    <row r="674" spans="1:11" x14ac:dyDescent="0.3">
      <c r="A674">
        <v>3</v>
      </c>
      <c r="B674">
        <v>2</v>
      </c>
      <c r="C674">
        <v>1</v>
      </c>
      <c r="D674">
        <v>3</v>
      </c>
      <c r="E674">
        <v>8.6999999999999993</v>
      </c>
      <c r="G674">
        <f t="shared" si="196"/>
        <v>8.786999999999999</v>
      </c>
      <c r="H674">
        <f t="shared" si="197"/>
        <v>8.8739999999999988</v>
      </c>
      <c r="I674">
        <f t="shared" si="198"/>
        <v>8.9609999999999985</v>
      </c>
      <c r="J674">
        <f t="shared" si="199"/>
        <v>9.048</v>
      </c>
      <c r="K674">
        <f t="shared" si="200"/>
        <v>9.1349999999999998</v>
      </c>
    </row>
    <row r="675" spans="1:11" x14ac:dyDescent="0.3">
      <c r="A675">
        <v>3</v>
      </c>
      <c r="B675">
        <v>2</v>
      </c>
      <c r="C675">
        <v>1</v>
      </c>
      <c r="D675">
        <v>4</v>
      </c>
      <c r="E675">
        <v>3.6</v>
      </c>
      <c r="G675">
        <f t="shared" si="196"/>
        <v>3.6360000000000001</v>
      </c>
      <c r="H675">
        <f t="shared" si="197"/>
        <v>3.6720000000000002</v>
      </c>
      <c r="I675">
        <f t="shared" si="198"/>
        <v>3.7080000000000002</v>
      </c>
      <c r="J675">
        <f t="shared" si="199"/>
        <v>3.7440000000000002</v>
      </c>
      <c r="K675">
        <f t="shared" si="200"/>
        <v>3.7800000000000002</v>
      </c>
    </row>
    <row r="676" spans="1:11" x14ac:dyDescent="0.3">
      <c r="A676">
        <v>3</v>
      </c>
      <c r="B676">
        <v>2</v>
      </c>
      <c r="C676">
        <v>1</v>
      </c>
      <c r="D676">
        <v>5</v>
      </c>
      <c r="E676">
        <v>6.8</v>
      </c>
      <c r="G676">
        <f t="shared" si="196"/>
        <v>6.8679999999999994</v>
      </c>
      <c r="H676">
        <f t="shared" si="197"/>
        <v>6.9359999999999999</v>
      </c>
      <c r="I676">
        <f t="shared" si="198"/>
        <v>7.0039999999999996</v>
      </c>
      <c r="J676">
        <f t="shared" si="199"/>
        <v>7.0720000000000001</v>
      </c>
      <c r="K676">
        <f t="shared" si="200"/>
        <v>7.14</v>
      </c>
    </row>
    <row r="677" spans="1:11" x14ac:dyDescent="0.3">
      <c r="A677">
        <v>3</v>
      </c>
      <c r="B677">
        <v>2</v>
      </c>
      <c r="C677">
        <v>1</v>
      </c>
      <c r="D677">
        <v>6</v>
      </c>
      <c r="E677">
        <v>6.7</v>
      </c>
      <c r="G677">
        <f t="shared" si="196"/>
        <v>6.7670000000000003</v>
      </c>
      <c r="H677">
        <f t="shared" si="197"/>
        <v>6.8340000000000005</v>
      </c>
      <c r="I677">
        <f t="shared" si="198"/>
        <v>6.9009999999999998</v>
      </c>
      <c r="J677">
        <f t="shared" si="199"/>
        <v>6.968</v>
      </c>
      <c r="K677">
        <f t="shared" si="200"/>
        <v>7.0350000000000001</v>
      </c>
    </row>
    <row r="678" spans="1:11" x14ac:dyDescent="0.3">
      <c r="A678">
        <v>3</v>
      </c>
      <c r="B678">
        <v>2</v>
      </c>
      <c r="C678">
        <v>2</v>
      </c>
      <c r="D678">
        <v>1</v>
      </c>
      <c r="E678">
        <v>6.7</v>
      </c>
      <c r="G678">
        <f>E678+(E678*1%)</f>
        <v>6.7670000000000003</v>
      </c>
      <c r="H678">
        <f t="shared" si="197"/>
        <v>6.8340000000000005</v>
      </c>
      <c r="I678">
        <f t="shared" si="198"/>
        <v>6.9009999999999998</v>
      </c>
      <c r="J678">
        <f t="shared" si="199"/>
        <v>6.968</v>
      </c>
      <c r="K678">
        <f t="shared" si="200"/>
        <v>7.0350000000000001</v>
      </c>
    </row>
    <row r="679" spans="1:11" x14ac:dyDescent="0.3">
      <c r="A679">
        <v>3</v>
      </c>
      <c r="B679">
        <v>2</v>
      </c>
      <c r="C679">
        <v>2</v>
      </c>
      <c r="D679">
        <v>2</v>
      </c>
      <c r="E679">
        <v>4.7</v>
      </c>
      <c r="G679">
        <f t="shared" si="196"/>
        <v>4.7469999999999999</v>
      </c>
      <c r="H679">
        <f t="shared" si="197"/>
        <v>4.7940000000000005</v>
      </c>
      <c r="I679">
        <f t="shared" si="198"/>
        <v>4.8410000000000002</v>
      </c>
      <c r="J679">
        <f t="shared" si="199"/>
        <v>4.8879999999999999</v>
      </c>
      <c r="K679">
        <f t="shared" si="200"/>
        <v>4.9350000000000005</v>
      </c>
    </row>
    <row r="680" spans="1:11" x14ac:dyDescent="0.3">
      <c r="A680">
        <v>3</v>
      </c>
      <c r="B680">
        <v>2</v>
      </c>
      <c r="C680">
        <v>2</v>
      </c>
      <c r="D680">
        <v>3</v>
      </c>
      <c r="E680">
        <v>5.7</v>
      </c>
      <c r="G680">
        <f t="shared" si="196"/>
        <v>5.7570000000000006</v>
      </c>
      <c r="H680">
        <f t="shared" si="197"/>
        <v>5.8140000000000001</v>
      </c>
      <c r="I680">
        <f t="shared" si="198"/>
        <v>5.8710000000000004</v>
      </c>
      <c r="J680">
        <f t="shared" si="199"/>
        <v>5.9279999999999999</v>
      </c>
      <c r="K680">
        <f t="shared" si="200"/>
        <v>5.9850000000000003</v>
      </c>
    </row>
    <row r="681" spans="1:11" x14ac:dyDescent="0.3">
      <c r="A681">
        <v>3</v>
      </c>
      <c r="B681">
        <v>2</v>
      </c>
      <c r="C681">
        <v>2</v>
      </c>
      <c r="D681">
        <v>4</v>
      </c>
      <c r="E681">
        <v>4.7</v>
      </c>
      <c r="G681">
        <f t="shared" si="196"/>
        <v>4.7469999999999999</v>
      </c>
      <c r="H681">
        <f t="shared" si="197"/>
        <v>4.7940000000000005</v>
      </c>
      <c r="I681">
        <f t="shared" si="198"/>
        <v>4.8410000000000002</v>
      </c>
      <c r="J681">
        <f t="shared" si="199"/>
        <v>4.8879999999999999</v>
      </c>
      <c r="K681">
        <f t="shared" si="200"/>
        <v>4.9350000000000005</v>
      </c>
    </row>
    <row r="682" spans="1:11" x14ac:dyDescent="0.3">
      <c r="A682">
        <v>3</v>
      </c>
      <c r="B682">
        <v>2</v>
      </c>
      <c r="C682">
        <v>2</v>
      </c>
      <c r="D682">
        <v>5</v>
      </c>
      <c r="E682">
        <v>8.9</v>
      </c>
      <c r="G682">
        <f t="shared" si="196"/>
        <v>8.9890000000000008</v>
      </c>
      <c r="H682">
        <f t="shared" si="197"/>
        <v>9.0780000000000012</v>
      </c>
      <c r="I682">
        <f t="shared" si="198"/>
        <v>9.1669999999999998</v>
      </c>
      <c r="J682">
        <f t="shared" si="199"/>
        <v>9.2560000000000002</v>
      </c>
      <c r="K682">
        <f t="shared" si="200"/>
        <v>9.3450000000000006</v>
      </c>
    </row>
    <row r="683" spans="1:11" x14ac:dyDescent="0.3">
      <c r="A683">
        <v>3</v>
      </c>
      <c r="B683">
        <v>2</v>
      </c>
      <c r="C683">
        <v>2</v>
      </c>
      <c r="D683">
        <v>6</v>
      </c>
      <c r="E683">
        <v>8.5</v>
      </c>
      <c r="G683">
        <f t="shared" si="196"/>
        <v>8.5850000000000009</v>
      </c>
      <c r="H683">
        <f t="shared" si="197"/>
        <v>8.67</v>
      </c>
      <c r="I683">
        <f t="shared" si="198"/>
        <v>8.7550000000000008</v>
      </c>
      <c r="J683">
        <f t="shared" si="199"/>
        <v>8.84</v>
      </c>
      <c r="K683">
        <f t="shared" si="200"/>
        <v>8.9250000000000007</v>
      </c>
    </row>
    <row r="685" spans="1:11" x14ac:dyDescent="0.3">
      <c r="A685" t="s">
        <v>223</v>
      </c>
      <c r="B685" t="s">
        <v>160</v>
      </c>
      <c r="G685" s="16">
        <f>(G686-B686)/B686*100</f>
        <v>2.9845586886919537E-3</v>
      </c>
      <c r="H685" s="16">
        <f>(H686-B686)/B686*100</f>
        <v>5.9691173773839075E-3</v>
      </c>
      <c r="I685" s="16">
        <f>(I686-B686)/B686*100</f>
        <v>8.9536760660615874E-3</v>
      </c>
      <c r="J685" s="16">
        <f>(J686-B686)/B686*100</f>
        <v>1.193823475475354E-2</v>
      </c>
      <c r="K685" s="16">
        <f>(K686-B686)/B686*100</f>
        <v>1.4922793443445496E-2</v>
      </c>
    </row>
    <row r="686" spans="1:11" x14ac:dyDescent="0.3">
      <c r="A686" t="s">
        <v>158</v>
      </c>
      <c r="B686">
        <v>815497.45</v>
      </c>
      <c r="G686" s="21">
        <v>815521.78899999999</v>
      </c>
      <c r="H686" s="21">
        <v>815546.12800000003</v>
      </c>
      <c r="I686" s="21">
        <v>815570.46699999995</v>
      </c>
      <c r="J686" s="21">
        <v>815594.80599999998</v>
      </c>
      <c r="K686" s="21">
        <v>815619.14500000002</v>
      </c>
    </row>
    <row r="687" spans="1:11" x14ac:dyDescent="0.3">
      <c r="A687" t="s">
        <v>159</v>
      </c>
      <c r="B687">
        <v>4840.7044030870002</v>
      </c>
      <c r="G687" s="21">
        <v>4840.7044030870002</v>
      </c>
      <c r="H687" s="21">
        <v>4840.7044030870002</v>
      </c>
      <c r="I687" s="21">
        <v>4840.7044030870002</v>
      </c>
      <c r="J687" s="21">
        <v>4840.7044030870002</v>
      </c>
      <c r="K687" s="21">
        <v>4840.7044030870002</v>
      </c>
    </row>
    <row r="690" spans="1:11" x14ac:dyDescent="0.3">
      <c r="B690" t="s">
        <v>161</v>
      </c>
      <c r="G690" s="16">
        <f>(G691-B691)/B691*100</f>
        <v>3.0929133296512036E-3</v>
      </c>
      <c r="H690" s="16">
        <f>(H691-B691)/B691*100</f>
        <v>6.1858266593166258E-3</v>
      </c>
      <c r="I690" s="16">
        <f>(I691-B691)/B691*100</f>
        <v>9.2787399889678289E-3</v>
      </c>
      <c r="J690" s="16">
        <f>(J691-B691)/B691*100</f>
        <v>1.2371653318633252E-2</v>
      </c>
      <c r="K690" s="16">
        <f>(K691-B691)/B691*100</f>
        <v>1.5464566648298674E-2</v>
      </c>
    </row>
    <row r="691" spans="1:11" x14ac:dyDescent="0.3">
      <c r="B691">
        <v>818710.3</v>
      </c>
      <c r="G691" s="21">
        <v>818735.62199999997</v>
      </c>
      <c r="H691" s="21">
        <v>818760.94400000002</v>
      </c>
      <c r="I691" s="21">
        <v>818786.26599999995</v>
      </c>
      <c r="J691" s="21">
        <v>818811.58799999999</v>
      </c>
      <c r="K691" s="21">
        <v>818836.91</v>
      </c>
    </row>
    <row r="692" spans="1:11" x14ac:dyDescent="0.3">
      <c r="B692">
        <v>4741.7772567669999</v>
      </c>
      <c r="G692" s="21">
        <v>4741.7772567669999</v>
      </c>
      <c r="H692" s="21">
        <v>4741.7772567669999</v>
      </c>
      <c r="I692" s="21">
        <v>4741.7772567669999</v>
      </c>
      <c r="J692" s="21">
        <v>4741.7772567669999</v>
      </c>
      <c r="K692" s="21">
        <v>4741.7772567669999</v>
      </c>
    </row>
    <row r="693" spans="1:11" x14ac:dyDescent="0.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</row>
    <row r="695" spans="1:11" x14ac:dyDescent="0.3">
      <c r="A695" t="s">
        <v>169</v>
      </c>
    </row>
    <row r="696" spans="1:11" x14ac:dyDescent="0.3">
      <c r="A696" s="10" t="s">
        <v>167</v>
      </c>
    </row>
    <row r="697" spans="1:11" x14ac:dyDescent="0.3">
      <c r="A697" s="11" t="s">
        <v>168</v>
      </c>
    </row>
    <row r="699" spans="1:11" x14ac:dyDescent="0.3">
      <c r="A699" t="s">
        <v>71</v>
      </c>
      <c r="B699" t="s">
        <v>10</v>
      </c>
      <c r="C699" t="s">
        <v>170</v>
      </c>
      <c r="E699" s="20">
        <v>0.01</v>
      </c>
      <c r="F699" s="20">
        <v>0.02</v>
      </c>
      <c r="G699" s="20">
        <v>0.03</v>
      </c>
      <c r="H699" s="20">
        <v>0.04</v>
      </c>
      <c r="I699" s="20">
        <v>0.05</v>
      </c>
    </row>
    <row r="700" spans="1:11" x14ac:dyDescent="0.3">
      <c r="A700">
        <v>1</v>
      </c>
      <c r="B700">
        <v>1</v>
      </c>
      <c r="C700">
        <v>2.8</v>
      </c>
      <c r="E700">
        <f>C700+(C700*1%)</f>
        <v>2.8279999999999998</v>
      </c>
      <c r="F700">
        <f>C700+(C700*2%)</f>
        <v>2.8559999999999999</v>
      </c>
      <c r="G700">
        <f>C700+(C700*3%)</f>
        <v>2.8839999999999999</v>
      </c>
      <c r="H700">
        <f>C700+(C700*4%)</f>
        <v>2.9119999999999999</v>
      </c>
      <c r="I700">
        <f>C700+(C700*5%)</f>
        <v>2.94</v>
      </c>
    </row>
    <row r="701" spans="1:11" x14ac:dyDescent="0.3">
      <c r="A701">
        <v>1</v>
      </c>
      <c r="B701">
        <v>2</v>
      </c>
      <c r="C701">
        <v>3.3</v>
      </c>
      <c r="E701">
        <f t="shared" ref="E701:E705" si="201">C701+(C701*1%)</f>
        <v>3.3329999999999997</v>
      </c>
      <c r="F701">
        <f t="shared" ref="F701:F705" si="202">C701+(C701*2%)</f>
        <v>3.3659999999999997</v>
      </c>
      <c r="G701">
        <f t="shared" ref="G701:G710" si="203">C701+(C701*3%)</f>
        <v>3.399</v>
      </c>
      <c r="H701">
        <f t="shared" ref="H701:H710" si="204">C701+(C701*4%)</f>
        <v>3.4319999999999999</v>
      </c>
      <c r="I701">
        <f t="shared" ref="I701:I710" si="205">C701+(C701*5%)</f>
        <v>3.4649999999999999</v>
      </c>
    </row>
    <row r="702" spans="1:11" x14ac:dyDescent="0.3">
      <c r="A702">
        <v>1</v>
      </c>
      <c r="B702">
        <v>3</v>
      </c>
      <c r="C702">
        <v>1.4</v>
      </c>
      <c r="E702">
        <f t="shared" si="201"/>
        <v>1.4139999999999999</v>
      </c>
      <c r="F702">
        <f t="shared" si="202"/>
        <v>1.4279999999999999</v>
      </c>
      <c r="G702">
        <f t="shared" si="203"/>
        <v>1.4419999999999999</v>
      </c>
      <c r="H702">
        <f t="shared" si="204"/>
        <v>1.456</v>
      </c>
      <c r="I702">
        <f t="shared" si="205"/>
        <v>1.47</v>
      </c>
    </row>
    <row r="703" spans="1:11" x14ac:dyDescent="0.3">
      <c r="A703">
        <v>1</v>
      </c>
      <c r="B703">
        <v>4</v>
      </c>
      <c r="C703">
        <v>3.7</v>
      </c>
      <c r="E703">
        <f t="shared" si="201"/>
        <v>3.7370000000000001</v>
      </c>
      <c r="F703">
        <f t="shared" si="202"/>
        <v>3.774</v>
      </c>
      <c r="G703">
        <f t="shared" si="203"/>
        <v>3.8110000000000004</v>
      </c>
      <c r="H703">
        <f t="shared" si="204"/>
        <v>3.8480000000000003</v>
      </c>
      <c r="I703">
        <f t="shared" si="205"/>
        <v>3.8850000000000002</v>
      </c>
    </row>
    <row r="704" spans="1:11" x14ac:dyDescent="0.3">
      <c r="A704">
        <v>1</v>
      </c>
      <c r="B704">
        <v>5</v>
      </c>
      <c r="C704">
        <v>2.7</v>
      </c>
      <c r="E704">
        <f t="shared" si="201"/>
        <v>2.7270000000000003</v>
      </c>
      <c r="F704">
        <f t="shared" si="202"/>
        <v>2.754</v>
      </c>
      <c r="G704">
        <f t="shared" si="203"/>
        <v>2.7810000000000001</v>
      </c>
      <c r="H704">
        <f t="shared" si="204"/>
        <v>2.8080000000000003</v>
      </c>
      <c r="I704">
        <f t="shared" si="205"/>
        <v>2.835</v>
      </c>
    </row>
    <row r="705" spans="1:9" x14ac:dyDescent="0.3">
      <c r="A705">
        <v>1</v>
      </c>
      <c r="B705">
        <v>6</v>
      </c>
      <c r="C705">
        <v>4.2</v>
      </c>
      <c r="E705">
        <f t="shared" si="201"/>
        <v>4.242</v>
      </c>
      <c r="F705">
        <f t="shared" si="202"/>
        <v>4.2839999999999998</v>
      </c>
      <c r="G705">
        <f t="shared" si="203"/>
        <v>4.3260000000000005</v>
      </c>
      <c r="H705">
        <f t="shared" si="204"/>
        <v>4.3680000000000003</v>
      </c>
      <c r="I705">
        <f t="shared" si="205"/>
        <v>4.41</v>
      </c>
    </row>
    <row r="706" spans="1:9" x14ac:dyDescent="0.3">
      <c r="A706">
        <v>2</v>
      </c>
      <c r="B706">
        <v>1</v>
      </c>
      <c r="C706">
        <v>2.2999999999999998</v>
      </c>
      <c r="E706">
        <f>C706+(C706*1%)</f>
        <v>2.323</v>
      </c>
      <c r="F706">
        <f>C706+(C706*2%)</f>
        <v>2.3459999999999996</v>
      </c>
      <c r="G706">
        <f t="shared" si="203"/>
        <v>2.3689999999999998</v>
      </c>
      <c r="H706">
        <f t="shared" si="204"/>
        <v>2.3919999999999999</v>
      </c>
      <c r="I706">
        <f t="shared" si="205"/>
        <v>2.415</v>
      </c>
    </row>
    <row r="707" spans="1:9" x14ac:dyDescent="0.3">
      <c r="A707">
        <v>2</v>
      </c>
      <c r="B707">
        <v>2</v>
      </c>
      <c r="C707">
        <v>4.2</v>
      </c>
      <c r="E707">
        <f>C707+(C707*1%)</f>
        <v>4.242</v>
      </c>
      <c r="F707">
        <f t="shared" ref="F707:F710" si="206">C707+(C707*2%)</f>
        <v>4.2839999999999998</v>
      </c>
      <c r="G707">
        <f t="shared" si="203"/>
        <v>4.3260000000000005</v>
      </c>
      <c r="H707">
        <f t="shared" si="204"/>
        <v>4.3680000000000003</v>
      </c>
      <c r="I707">
        <f t="shared" si="205"/>
        <v>4.41</v>
      </c>
    </row>
    <row r="708" spans="1:9" x14ac:dyDescent="0.3">
      <c r="A708">
        <v>2</v>
      </c>
      <c r="B708">
        <v>3</v>
      </c>
      <c r="C708">
        <v>3.7</v>
      </c>
      <c r="E708">
        <f t="shared" ref="E708:E710" si="207">C708+(C708*1%)</f>
        <v>3.7370000000000001</v>
      </c>
      <c r="F708">
        <f t="shared" si="206"/>
        <v>3.774</v>
      </c>
      <c r="G708">
        <f t="shared" si="203"/>
        <v>3.8110000000000004</v>
      </c>
      <c r="H708">
        <f t="shared" si="204"/>
        <v>3.8480000000000003</v>
      </c>
      <c r="I708">
        <f t="shared" si="205"/>
        <v>3.8850000000000002</v>
      </c>
    </row>
    <row r="709" spans="1:9" x14ac:dyDescent="0.3">
      <c r="A709">
        <v>2</v>
      </c>
      <c r="B709">
        <v>4</v>
      </c>
      <c r="C709">
        <v>3.6</v>
      </c>
      <c r="E709">
        <f>C709+(C709*1%)</f>
        <v>3.6360000000000001</v>
      </c>
      <c r="F709">
        <f t="shared" si="206"/>
        <v>3.6720000000000002</v>
      </c>
      <c r="G709">
        <f t="shared" si="203"/>
        <v>3.7080000000000002</v>
      </c>
      <c r="H709">
        <f t="shared" si="204"/>
        <v>3.7440000000000002</v>
      </c>
      <c r="I709">
        <f t="shared" si="205"/>
        <v>3.7800000000000002</v>
      </c>
    </row>
    <row r="710" spans="1:9" x14ac:dyDescent="0.3">
      <c r="A710">
        <v>2</v>
      </c>
      <c r="B710">
        <v>5</v>
      </c>
      <c r="C710">
        <v>2.6</v>
      </c>
      <c r="E710">
        <f t="shared" si="207"/>
        <v>2.6259999999999999</v>
      </c>
      <c r="F710">
        <f t="shared" si="206"/>
        <v>2.6520000000000001</v>
      </c>
      <c r="G710">
        <f t="shared" si="203"/>
        <v>2.6779999999999999</v>
      </c>
      <c r="H710">
        <f t="shared" si="204"/>
        <v>2.7040000000000002</v>
      </c>
      <c r="I710">
        <f t="shared" si="205"/>
        <v>2.73</v>
      </c>
    </row>
    <row r="711" spans="1:9" x14ac:dyDescent="0.3">
      <c r="A711">
        <v>2</v>
      </c>
      <c r="B711">
        <v>6</v>
      </c>
      <c r="C711">
        <v>2.4</v>
      </c>
      <c r="E711">
        <f t="shared" ref="E711" si="208">C711+(C711*1%)</f>
        <v>2.4239999999999999</v>
      </c>
      <c r="F711">
        <f t="shared" ref="F711" si="209">C711+(C711*2%)</f>
        <v>2.448</v>
      </c>
      <c r="G711">
        <f t="shared" ref="G711" si="210">C711+(C711*3%)</f>
        <v>2.472</v>
      </c>
      <c r="H711">
        <f t="shared" ref="H711" si="211">C711+(C711*4%)</f>
        <v>2.496</v>
      </c>
      <c r="I711">
        <f t="shared" ref="I711" si="212">C711+(C711*5%)</f>
        <v>2.52</v>
      </c>
    </row>
    <row r="713" spans="1:9" x14ac:dyDescent="0.3">
      <c r="A713" t="s">
        <v>224</v>
      </c>
      <c r="B713" t="s">
        <v>160</v>
      </c>
      <c r="E713" s="16">
        <f>(E714-B714)/B714*100</f>
        <v>-2.2369168658920107E-3</v>
      </c>
      <c r="F713" s="16">
        <f>(F714-B714)/B714*100</f>
        <v>-4.4738337317840214E-3</v>
      </c>
      <c r="G713" s="16">
        <f>(G714-B714)/B714*100</f>
        <v>-6.7107505976760316E-3</v>
      </c>
      <c r="H713" s="16">
        <f>(H714-B714)/B714*100</f>
        <v>-8.9476674635823178E-3</v>
      </c>
      <c r="I713" s="16">
        <f>(I714-B714)/B714*100</f>
        <v>-1.1184584329474329E-2</v>
      </c>
    </row>
    <row r="714" spans="1:9" x14ac:dyDescent="0.3">
      <c r="A714" t="s">
        <v>158</v>
      </c>
      <c r="B714">
        <v>815497.45</v>
      </c>
      <c r="E714" s="21">
        <v>815479.20799999998</v>
      </c>
      <c r="F714" s="21">
        <v>815460.96600000001</v>
      </c>
      <c r="G714" s="21">
        <v>815442.72400000005</v>
      </c>
      <c r="H714" s="21">
        <v>815424.48199999996</v>
      </c>
      <c r="I714" s="21">
        <v>815406.24</v>
      </c>
    </row>
    <row r="715" spans="1:9" x14ac:dyDescent="0.3">
      <c r="A715" t="s">
        <v>159</v>
      </c>
      <c r="B715">
        <v>4840.7044030870002</v>
      </c>
      <c r="E715" s="25">
        <v>4840.7044030870002</v>
      </c>
      <c r="F715" s="25">
        <v>4840.7044030870002</v>
      </c>
      <c r="G715" s="25">
        <v>4840.7044030870002</v>
      </c>
      <c r="H715" s="25">
        <v>4840.7044030870002</v>
      </c>
      <c r="I715" s="25">
        <v>4840.7044030870002</v>
      </c>
    </row>
    <row r="718" spans="1:9" x14ac:dyDescent="0.3">
      <c r="B718" t="s">
        <v>161</v>
      </c>
      <c r="E718" s="16">
        <f>(E719-B719)/B719*100</f>
        <v>-2.2281385735693909E-3</v>
      </c>
      <c r="F718" s="16">
        <f>(F719-B719)/B719*100</f>
        <v>-4.4562771471245623E-3</v>
      </c>
      <c r="G718" s="16">
        <f>(G719-B719)/B719*100</f>
        <v>-6.6844157206797346E-3</v>
      </c>
      <c r="H718" s="16">
        <f>(H719-B719)/B719*100</f>
        <v>-8.9125542942349052E-3</v>
      </c>
      <c r="I718" s="16">
        <f>(I719-B719)/B719*100</f>
        <v>-1.1140692867804296E-2</v>
      </c>
    </row>
    <row r="719" spans="1:9" x14ac:dyDescent="0.3">
      <c r="B719">
        <v>818710.3</v>
      </c>
      <c r="E719" s="21">
        <v>818692.05799999996</v>
      </c>
      <c r="F719" s="21">
        <v>818673.81599999999</v>
      </c>
      <c r="G719" s="21">
        <v>818655.57400000002</v>
      </c>
      <c r="H719" s="21">
        <v>818637.33200000005</v>
      </c>
      <c r="I719" s="21">
        <v>818619.09</v>
      </c>
    </row>
    <row r="720" spans="1:9" x14ac:dyDescent="0.3">
      <c r="B720">
        <v>4741.7772567669999</v>
      </c>
      <c r="E720" s="21">
        <v>4741.7772567669999</v>
      </c>
      <c r="F720" s="21">
        <v>4741.7772567669999</v>
      </c>
      <c r="G720" s="21">
        <v>4741.7772567669999</v>
      </c>
      <c r="H720" s="21">
        <v>4741.7772567669999</v>
      </c>
      <c r="I720" s="21">
        <v>4741.7772567669999</v>
      </c>
    </row>
    <row r="721" spans="1:10" x14ac:dyDescent="0.3">
      <c r="A721" s="22"/>
      <c r="B721" s="22"/>
      <c r="C721" s="22"/>
      <c r="D721" s="22"/>
      <c r="E721" s="22"/>
      <c r="F721" s="22"/>
      <c r="G721" s="22"/>
      <c r="H721" s="22"/>
      <c r="I721" s="22"/>
      <c r="J721" s="22"/>
    </row>
  </sheetData>
  <mergeCells count="4">
    <mergeCell ref="E1:F1"/>
    <mergeCell ref="A9:H9"/>
    <mergeCell ref="T1:AA1"/>
    <mergeCell ref="A11:H11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AC23B-193F-475E-9387-958DA374A945}">
  <dimension ref="A1:AC743"/>
  <sheetViews>
    <sheetView topLeftCell="A267" zoomScale="70" zoomScaleNormal="70" workbookViewId="0">
      <selection activeCell="Q301" sqref="Q301"/>
    </sheetView>
  </sheetViews>
  <sheetFormatPr defaultRowHeight="14.4" x14ac:dyDescent="0.3"/>
  <cols>
    <col min="21" max="21" width="8.88671875" customWidth="1"/>
  </cols>
  <sheetData>
    <row r="1" spans="1:27" x14ac:dyDescent="0.3">
      <c r="J1" s="26"/>
      <c r="K1" s="27"/>
      <c r="L1" s="27"/>
      <c r="M1" s="27"/>
      <c r="N1" s="65" t="s">
        <v>174</v>
      </c>
      <c r="O1" s="66"/>
    </row>
    <row r="2" spans="1:27" x14ac:dyDescent="0.3">
      <c r="J2" s="30"/>
      <c r="K2" t="s">
        <v>172</v>
      </c>
      <c r="L2" t="s">
        <v>173</v>
      </c>
      <c r="N2" t="s">
        <v>160</v>
      </c>
      <c r="O2" s="33" t="s">
        <v>161</v>
      </c>
    </row>
    <row r="3" spans="1:27" x14ac:dyDescent="0.3">
      <c r="J3" s="30" t="s">
        <v>158</v>
      </c>
      <c r="K3" s="21">
        <v>815497.45</v>
      </c>
      <c r="L3" s="21">
        <v>821882.7</v>
      </c>
      <c r="N3" s="21">
        <v>815497.45</v>
      </c>
      <c r="O3" s="31">
        <v>818713.8</v>
      </c>
    </row>
    <row r="4" spans="1:27" x14ac:dyDescent="0.3">
      <c r="J4" s="30" t="s">
        <v>171</v>
      </c>
      <c r="K4" s="21">
        <v>4841.118381581</v>
      </c>
      <c r="L4" s="21">
        <v>4754.1997030590001</v>
      </c>
      <c r="N4" s="21">
        <v>4840.7044030870002</v>
      </c>
      <c r="O4" s="31">
        <v>4757.7240947110004</v>
      </c>
    </row>
    <row r="5" spans="1:27" x14ac:dyDescent="0.3">
      <c r="J5" s="30"/>
      <c r="O5" s="33"/>
    </row>
    <row r="6" spans="1:27" x14ac:dyDescent="0.3">
      <c r="J6" s="30" t="s">
        <v>225</v>
      </c>
      <c r="K6" s="21">
        <v>815497.45</v>
      </c>
      <c r="L6" s="21">
        <v>4754.1997030590001</v>
      </c>
      <c r="O6" s="33"/>
    </row>
    <row r="7" spans="1:27" x14ac:dyDescent="0.3">
      <c r="J7" s="34" t="s">
        <v>176</v>
      </c>
      <c r="K7" s="35">
        <v>821882.7</v>
      </c>
      <c r="L7" s="35">
        <v>4841.118381581</v>
      </c>
      <c r="M7" s="22"/>
      <c r="N7" s="22"/>
      <c r="O7" s="40"/>
    </row>
    <row r="9" spans="1:27" x14ac:dyDescent="0.3">
      <c r="A9" s="62" t="s">
        <v>157</v>
      </c>
      <c r="B9" s="62"/>
      <c r="C9" s="62"/>
      <c r="D9" s="62"/>
      <c r="E9" s="62"/>
      <c r="F9" s="62"/>
      <c r="G9" s="62"/>
      <c r="H9" s="62"/>
      <c r="T9" s="70" t="s">
        <v>177</v>
      </c>
      <c r="U9" s="71"/>
      <c r="V9" s="71"/>
      <c r="W9" s="71"/>
      <c r="X9" s="71"/>
      <c r="Y9" s="71"/>
      <c r="Z9" s="71"/>
      <c r="AA9" s="72"/>
    </row>
    <row r="11" spans="1:27" x14ac:dyDescent="0.3">
      <c r="A11" s="64" t="s">
        <v>1</v>
      </c>
      <c r="B11" s="65"/>
      <c r="C11" s="65"/>
      <c r="D11" s="65"/>
      <c r="E11" s="65"/>
      <c r="F11" s="65"/>
      <c r="G11" s="65"/>
      <c r="H11" s="66"/>
    </row>
    <row r="12" spans="1:27" x14ac:dyDescent="0.3">
      <c r="A12" s="54" t="s">
        <v>0</v>
      </c>
      <c r="H12" s="33"/>
      <c r="T12" s="67" t="s">
        <v>85</v>
      </c>
      <c r="U12" s="68"/>
      <c r="V12" s="68"/>
      <c r="W12" s="68"/>
      <c r="X12" s="68"/>
      <c r="Y12" s="68"/>
      <c r="Z12" s="68"/>
      <c r="AA12" s="69"/>
    </row>
    <row r="13" spans="1:27" x14ac:dyDescent="0.3">
      <c r="A13" s="30"/>
      <c r="H13" s="33"/>
      <c r="T13" s="57" t="s">
        <v>74</v>
      </c>
      <c r="AA13" s="33"/>
    </row>
    <row r="14" spans="1:27" x14ac:dyDescent="0.3">
      <c r="A14" s="30" t="s">
        <v>2</v>
      </c>
      <c r="B14" t="s">
        <v>3</v>
      </c>
      <c r="D14" s="20">
        <v>0.01</v>
      </c>
      <c r="E14" s="20">
        <v>0.02</v>
      </c>
      <c r="F14" s="20">
        <v>0.03</v>
      </c>
      <c r="G14" s="20">
        <v>0.04</v>
      </c>
      <c r="H14" s="55">
        <v>0.05</v>
      </c>
      <c r="T14" s="30"/>
      <c r="AA14" s="33"/>
    </row>
    <row r="15" spans="1:27" x14ac:dyDescent="0.3">
      <c r="A15" s="30">
        <v>1</v>
      </c>
      <c r="B15">
        <v>545</v>
      </c>
      <c r="D15">
        <f>B15+(B15*1%)</f>
        <v>550.45000000000005</v>
      </c>
      <c r="E15">
        <f>B15+(B15*2%)</f>
        <v>555.9</v>
      </c>
      <c r="F15">
        <f>B15+(B15*3%)</f>
        <v>561.35</v>
      </c>
      <c r="G15">
        <f>B15+(B15*4%)</f>
        <v>566.79999999999995</v>
      </c>
      <c r="H15" s="33">
        <f>B15+(B15*5%)</f>
        <v>572.25</v>
      </c>
      <c r="T15" s="30" t="s">
        <v>40</v>
      </c>
      <c r="U15" t="s">
        <v>83</v>
      </c>
      <c r="W15" s="20">
        <v>0.01</v>
      </c>
      <c r="X15" s="20">
        <v>0.02</v>
      </c>
      <c r="Y15" s="20">
        <v>0.03</v>
      </c>
      <c r="Z15" s="20">
        <v>0.04</v>
      </c>
      <c r="AA15" s="55">
        <v>0.05</v>
      </c>
    </row>
    <row r="16" spans="1:27" x14ac:dyDescent="0.3">
      <c r="A16" s="30">
        <v>2</v>
      </c>
      <c r="B16">
        <v>423</v>
      </c>
      <c r="D16">
        <f t="shared" ref="D16:D18" si="0">B16+(B16*1%)</f>
        <v>427.23</v>
      </c>
      <c r="E16">
        <f t="shared" ref="E16:E18" si="1">B16+(B16*2%)</f>
        <v>431.46</v>
      </c>
      <c r="F16">
        <f t="shared" ref="F16:F18" si="2">B16+(B16*3%)</f>
        <v>435.69</v>
      </c>
      <c r="G16">
        <f t="shared" ref="G16:G18" si="3">B16+(B16*4%)</f>
        <v>439.92</v>
      </c>
      <c r="H16" s="33">
        <f t="shared" ref="H16:H18" si="4">B16+(B16*5%)</f>
        <v>444.15</v>
      </c>
      <c r="T16" s="30">
        <v>1</v>
      </c>
      <c r="U16">
        <v>2.2999999999999998</v>
      </c>
      <c r="W16">
        <f>U16+(U16*1%)</f>
        <v>2.323</v>
      </c>
      <c r="X16">
        <f>U16+(U16*2%)</f>
        <v>2.3459999999999996</v>
      </c>
      <c r="Y16">
        <f>U16+(U16*3%)</f>
        <v>2.3689999999999998</v>
      </c>
      <c r="Z16">
        <f>U16+(U16*4%)</f>
        <v>2.3919999999999999</v>
      </c>
      <c r="AA16" s="33">
        <f>U16+(U16*5%)</f>
        <v>2.415</v>
      </c>
    </row>
    <row r="17" spans="1:28" x14ac:dyDescent="0.3">
      <c r="A17" s="30">
        <v>3</v>
      </c>
      <c r="B17">
        <v>587</v>
      </c>
      <c r="D17">
        <f t="shared" si="0"/>
        <v>592.87</v>
      </c>
      <c r="E17">
        <f t="shared" si="1"/>
        <v>598.74</v>
      </c>
      <c r="F17">
        <f t="shared" si="2"/>
        <v>604.61</v>
      </c>
      <c r="G17">
        <f t="shared" si="3"/>
        <v>610.48</v>
      </c>
      <c r="H17" s="33">
        <f t="shared" si="4"/>
        <v>616.35</v>
      </c>
      <c r="T17" s="54">
        <v>2</v>
      </c>
      <c r="U17">
        <v>2.4</v>
      </c>
      <c r="W17">
        <f t="shared" ref="W17:W18" si="5">U17+(U17*1%)</f>
        <v>2.4239999999999999</v>
      </c>
      <c r="X17">
        <f t="shared" ref="X17:X18" si="6">U17+(U17*2%)</f>
        <v>2.448</v>
      </c>
      <c r="Y17">
        <f t="shared" ref="Y17:Y18" si="7">U17+(U17*3%)</f>
        <v>2.472</v>
      </c>
      <c r="Z17">
        <f t="shared" ref="Z17:Z18" si="8">U17+(U17*4%)</f>
        <v>2.496</v>
      </c>
      <c r="AA17" s="33">
        <f t="shared" ref="AA17:AA18" si="9">U17+(U17*5%)</f>
        <v>2.52</v>
      </c>
    </row>
    <row r="18" spans="1:28" x14ac:dyDescent="0.3">
      <c r="A18" s="30">
        <v>4</v>
      </c>
      <c r="B18">
        <v>387</v>
      </c>
      <c r="D18">
        <f t="shared" si="0"/>
        <v>390.87</v>
      </c>
      <c r="E18">
        <f t="shared" si="1"/>
        <v>394.74</v>
      </c>
      <c r="F18">
        <f t="shared" si="2"/>
        <v>398.61</v>
      </c>
      <c r="G18">
        <f t="shared" si="3"/>
        <v>402.48</v>
      </c>
      <c r="H18" s="33">
        <f t="shared" si="4"/>
        <v>406.35</v>
      </c>
      <c r="T18" s="30">
        <v>3</v>
      </c>
      <c r="U18">
        <v>1.3</v>
      </c>
      <c r="W18">
        <f t="shared" si="5"/>
        <v>1.3129999999999999</v>
      </c>
      <c r="X18">
        <f t="shared" si="6"/>
        <v>1.3260000000000001</v>
      </c>
      <c r="Y18">
        <f t="shared" si="7"/>
        <v>1.339</v>
      </c>
      <c r="Z18">
        <f t="shared" si="8"/>
        <v>1.3520000000000001</v>
      </c>
      <c r="AA18" s="33">
        <f t="shared" si="9"/>
        <v>1.365</v>
      </c>
    </row>
    <row r="19" spans="1:28" x14ac:dyDescent="0.3">
      <c r="A19" s="30"/>
      <c r="H19" s="33"/>
      <c r="T19" s="30"/>
      <c r="AA19" s="33"/>
    </row>
    <row r="20" spans="1:28" x14ac:dyDescent="0.3">
      <c r="A20" s="30" t="s">
        <v>215</v>
      </c>
      <c r="B20" t="s">
        <v>160</v>
      </c>
      <c r="D20" s="16">
        <f>(D21-B21)/B21*100</f>
        <v>2.3813685744868865E-3</v>
      </c>
      <c r="E20" s="16">
        <f>(E21-B21)/B21*100</f>
        <v>4.7627371489737729E-3</v>
      </c>
      <c r="F20" s="16">
        <f>(F21-B21)/B21*100</f>
        <v>7.1441057234463839E-3</v>
      </c>
      <c r="G20" s="16">
        <f>(G21-B21)/B21*100</f>
        <v>9.5254742979332709E-3</v>
      </c>
      <c r="H20" s="32">
        <f>(H21-B21)/B21*100</f>
        <v>1.1906842872420158E-2</v>
      </c>
      <c r="T20" s="30" t="s">
        <v>190</v>
      </c>
      <c r="U20" t="s">
        <v>160</v>
      </c>
      <c r="W20" s="16">
        <f>(W21-U21)/U21*100</f>
        <v>6.189096213123986E-2</v>
      </c>
      <c r="X20" s="16">
        <f>(X21-U21)/U21*100</f>
        <v>0.12378192426247972</v>
      </c>
      <c r="Y20" s="16">
        <f>(Y21-U21)/U21*100</f>
        <v>0.1856728864143869</v>
      </c>
      <c r="Z20" s="16">
        <f>(Z21-U21)/U21*100</f>
        <v>0.24756384854562677</v>
      </c>
      <c r="AA20" s="32">
        <f>(AA21-U21)/U21*100</f>
        <v>0.30945481069753394</v>
      </c>
    </row>
    <row r="21" spans="1:28" x14ac:dyDescent="0.3">
      <c r="A21" s="30" t="s">
        <v>158</v>
      </c>
      <c r="B21" s="21">
        <v>815497.45</v>
      </c>
      <c r="D21" s="21">
        <v>815516.87</v>
      </c>
      <c r="E21" s="21">
        <v>815536.29</v>
      </c>
      <c r="F21" s="21">
        <v>815555.71</v>
      </c>
      <c r="G21" s="21">
        <v>815575.13</v>
      </c>
      <c r="H21" s="31">
        <v>815594.55</v>
      </c>
      <c r="T21" s="30" t="s">
        <v>178</v>
      </c>
      <c r="U21" s="21">
        <v>4840.7044030870002</v>
      </c>
      <c r="W21" s="21">
        <v>4843.700361616</v>
      </c>
      <c r="X21" s="21">
        <v>4846.6963201449998</v>
      </c>
      <c r="Y21" s="21">
        <v>4849.6922786750001</v>
      </c>
      <c r="Z21" s="21">
        <v>4852.688237204</v>
      </c>
      <c r="AA21" s="31">
        <v>4855.6841957340002</v>
      </c>
    </row>
    <row r="22" spans="1:28" x14ac:dyDescent="0.3">
      <c r="A22" s="30"/>
      <c r="B22" s="21"/>
      <c r="D22" s="15">
        <f>(D23-B23)/B23*100</f>
        <v>0</v>
      </c>
      <c r="E22" s="15">
        <f>(E23-B23)/B23*100</f>
        <v>0</v>
      </c>
      <c r="F22" s="15">
        <f>(F23-B23)/B23*100</f>
        <v>0</v>
      </c>
      <c r="G22" s="15">
        <f>(G23-B23)/B23*100</f>
        <v>0</v>
      </c>
      <c r="H22" s="56">
        <f>(H23-B23)/B23*100</f>
        <v>0</v>
      </c>
      <c r="T22" s="30"/>
      <c r="U22" s="21"/>
      <c r="W22" s="15">
        <f>(W23-U23)/U23*100</f>
        <v>0</v>
      </c>
      <c r="X22" s="15">
        <f>(X23-U23)/U23*100</f>
        <v>0</v>
      </c>
      <c r="Y22" s="15">
        <f>(Y23-U23)/U23*100</f>
        <v>0</v>
      </c>
      <c r="Z22" s="15">
        <f>(Z23-U23)/U23*100</f>
        <v>0</v>
      </c>
      <c r="AA22" s="56">
        <f>(AA23-U23)/U23*100</f>
        <v>0</v>
      </c>
    </row>
    <row r="23" spans="1:28" x14ac:dyDescent="0.3">
      <c r="A23" s="30" t="s">
        <v>159</v>
      </c>
      <c r="B23" s="21">
        <v>4840.7044030870002</v>
      </c>
      <c r="D23" s="21">
        <v>4840.7044030870002</v>
      </c>
      <c r="E23" s="21">
        <v>4840.7044030870002</v>
      </c>
      <c r="F23" s="21">
        <v>4840.7044030870002</v>
      </c>
      <c r="G23" s="21">
        <v>4840.7044030870002</v>
      </c>
      <c r="H23" s="31">
        <v>4840.7044030870002</v>
      </c>
      <c r="T23" s="30" t="s">
        <v>158</v>
      </c>
      <c r="U23" s="21">
        <v>815497.45</v>
      </c>
      <c r="W23" s="21">
        <v>815497.45</v>
      </c>
      <c r="X23" s="21">
        <v>815497.45</v>
      </c>
      <c r="Y23" s="21">
        <v>815497.45</v>
      </c>
      <c r="Z23" s="21">
        <v>815497.45</v>
      </c>
      <c r="AA23" s="31">
        <v>815497.45</v>
      </c>
    </row>
    <row r="24" spans="1:28" x14ac:dyDescent="0.3">
      <c r="A24" s="30"/>
      <c r="H24" s="33"/>
      <c r="T24" s="30"/>
      <c r="AA24" s="33"/>
    </row>
    <row r="25" spans="1:28" x14ac:dyDescent="0.3">
      <c r="A25" s="30"/>
      <c r="H25" s="33"/>
      <c r="T25" s="30"/>
      <c r="AA25" s="33"/>
    </row>
    <row r="26" spans="1:28" x14ac:dyDescent="0.3">
      <c r="A26" s="30"/>
      <c r="B26" t="s">
        <v>161</v>
      </c>
      <c r="D26" s="16">
        <f>(D27-B27)/B27*100</f>
        <v>2.3720132725166586E-3</v>
      </c>
      <c r="E26" s="16">
        <f>(E27-B27)/B27*100</f>
        <v>4.7440265450475368E-3</v>
      </c>
      <c r="F26" s="16">
        <f>(F27-B27)/B27*100</f>
        <v>7.1160398175784149E-3</v>
      </c>
      <c r="G26" s="16">
        <f>(G27-B27)/B27*100</f>
        <v>9.4880530900950735E-3</v>
      </c>
      <c r="H26" s="32">
        <f>(H27-B27)/B27*100</f>
        <v>1.1860066362625953E-2</v>
      </c>
      <c r="T26" s="30"/>
      <c r="U26" t="s">
        <v>161</v>
      </c>
      <c r="W26" s="16">
        <f>(W27-U27)/U27*100</f>
        <v>4.9705925772965273E-2</v>
      </c>
      <c r="X26" s="16">
        <f>(X27-U27)/U27*100</f>
        <v>0.10073056941924993</v>
      </c>
      <c r="Y26" s="16">
        <f>(Y27-U27)/U27*100</f>
        <v>0.1564410131153568</v>
      </c>
      <c r="Z26" s="16">
        <f>(Z27-U27)/U27*100</f>
        <v>0.20380268281589559</v>
      </c>
      <c r="AA26" s="32">
        <f>(AA27-U27)/U27*100</f>
        <v>0.25482732646219936</v>
      </c>
    </row>
    <row r="27" spans="1:28" x14ac:dyDescent="0.3">
      <c r="A27" s="30" t="s">
        <v>158</v>
      </c>
      <c r="B27" s="21">
        <v>818713.8</v>
      </c>
      <c r="D27" s="21">
        <v>818733.22</v>
      </c>
      <c r="E27" s="21">
        <v>818752.64</v>
      </c>
      <c r="F27" s="21">
        <v>818772.06</v>
      </c>
      <c r="G27" s="21">
        <v>818791.48</v>
      </c>
      <c r="H27" s="31">
        <v>818810.9</v>
      </c>
      <c r="T27" s="30" t="s">
        <v>178</v>
      </c>
      <c r="U27" s="21">
        <v>4757.7240947110004</v>
      </c>
      <c r="W27" s="21">
        <v>4760.0889655179999</v>
      </c>
      <c r="X27" s="21">
        <v>4762.5165772829996</v>
      </c>
      <c r="Y27" s="21">
        <v>4765.1671264859997</v>
      </c>
      <c r="Z27" s="21">
        <v>4767.4204640569997</v>
      </c>
      <c r="AA27" s="31">
        <v>4769.8480758220003</v>
      </c>
    </row>
    <row r="28" spans="1:28" x14ac:dyDescent="0.3">
      <c r="A28" s="30"/>
      <c r="B28" s="21"/>
      <c r="D28" s="15">
        <f>(D29-B29)/B29*100</f>
        <v>0</v>
      </c>
      <c r="E28" s="15">
        <f>(E29-B29)/B29*100</f>
        <v>0</v>
      </c>
      <c r="F28" s="15">
        <f>(F29-B29)/B29*100</f>
        <v>0</v>
      </c>
      <c r="G28" s="15">
        <f>(G29-B29)/B29*100</f>
        <v>0</v>
      </c>
      <c r="H28" s="56">
        <f>(H29-B29)/B29*100</f>
        <v>0</v>
      </c>
      <c r="T28" s="30"/>
      <c r="U28" s="21"/>
      <c r="W28" s="15">
        <f>(W29-U29)/U29*100</f>
        <v>-2.0764276845826332E-4</v>
      </c>
      <c r="X28" s="15">
        <f>(X29-U29)/U29*100</f>
        <v>-2.0764276845826332E-4</v>
      </c>
      <c r="Y28" s="15">
        <f>(Y29-U29)/U29*100</f>
        <v>-3.7497841126007459E-3</v>
      </c>
      <c r="Z28" s="15">
        <f>(Z29-U29)/U29*100</f>
        <v>-3.4199985392289296E-4</v>
      </c>
      <c r="AA28" s="56">
        <f>(AA29-U29)/U29*100</f>
        <v>-3.4199985392289296E-4</v>
      </c>
    </row>
    <row r="29" spans="1:28" x14ac:dyDescent="0.3">
      <c r="A29" s="30" t="s">
        <v>159</v>
      </c>
      <c r="B29" s="21">
        <v>4757.7240947110004</v>
      </c>
      <c r="C29" t="s">
        <v>238</v>
      </c>
      <c r="D29" s="21">
        <v>4757.7240947110004</v>
      </c>
      <c r="E29" s="21">
        <v>4757.7240947110004</v>
      </c>
      <c r="F29" s="21">
        <v>4757.7240947110004</v>
      </c>
      <c r="G29" s="21">
        <v>4757.7240947110004</v>
      </c>
      <c r="H29" s="31">
        <v>4757.7240947110004</v>
      </c>
      <c r="T29" s="30" t="s">
        <v>158</v>
      </c>
      <c r="U29" s="21">
        <v>818713.8</v>
      </c>
      <c r="V29" t="s">
        <v>238</v>
      </c>
      <c r="W29" s="21">
        <v>818712.1</v>
      </c>
      <c r="X29" s="21">
        <v>818712.1</v>
      </c>
      <c r="Y29" s="21">
        <v>818683.1</v>
      </c>
      <c r="Z29" s="21">
        <v>818711</v>
      </c>
      <c r="AA29" s="31">
        <v>818711</v>
      </c>
    </row>
    <row r="30" spans="1:28" x14ac:dyDescent="0.3">
      <c r="A30" s="34"/>
      <c r="B30" s="22"/>
      <c r="C30" s="22"/>
      <c r="D30" s="22"/>
      <c r="E30" s="22"/>
      <c r="F30" s="22"/>
      <c r="G30" s="22"/>
      <c r="H30" s="40"/>
      <c r="T30" s="34"/>
      <c r="U30" s="22"/>
      <c r="V30" s="22"/>
      <c r="W30" s="22"/>
      <c r="X30" s="22"/>
      <c r="Y30" s="22"/>
      <c r="Z30" s="22"/>
      <c r="AA30" s="40"/>
    </row>
    <row r="32" spans="1:28" x14ac:dyDescent="0.3">
      <c r="A32" s="64" t="s">
        <v>16</v>
      </c>
      <c r="B32" s="65"/>
      <c r="C32" s="65"/>
      <c r="D32" s="65"/>
      <c r="E32" s="65"/>
      <c r="F32" s="65"/>
      <c r="G32" s="65"/>
      <c r="H32" s="66"/>
      <c r="T32" s="64" t="s">
        <v>86</v>
      </c>
      <c r="U32" s="65"/>
      <c r="V32" s="65"/>
      <c r="W32" s="65"/>
      <c r="X32" s="65"/>
      <c r="Y32" s="65"/>
      <c r="Z32" s="65"/>
      <c r="AA32" s="65"/>
      <c r="AB32" s="66"/>
    </row>
    <row r="33" spans="1:28" x14ac:dyDescent="0.3">
      <c r="A33" s="1" t="s">
        <v>245</v>
      </c>
      <c r="H33" s="33"/>
      <c r="T33" s="57" t="s">
        <v>75</v>
      </c>
      <c r="AB33" s="33"/>
    </row>
    <row r="34" spans="1:28" x14ac:dyDescent="0.3">
      <c r="A34" s="30"/>
      <c r="H34" s="33"/>
      <c r="T34" s="58" t="s">
        <v>76</v>
      </c>
      <c r="AB34" s="33"/>
    </row>
    <row r="35" spans="1:28" x14ac:dyDescent="0.3">
      <c r="A35" s="30" t="s">
        <v>2</v>
      </c>
      <c r="B35" t="s">
        <v>17</v>
      </c>
      <c r="D35" s="20">
        <v>0.01</v>
      </c>
      <c r="E35" s="20">
        <v>0.02</v>
      </c>
      <c r="F35" s="20">
        <v>0.03</v>
      </c>
      <c r="G35" s="20">
        <v>0.04</v>
      </c>
      <c r="H35" s="55">
        <v>0.05</v>
      </c>
      <c r="T35" s="58" t="s">
        <v>77</v>
      </c>
      <c r="AB35" s="33"/>
    </row>
    <row r="36" spans="1:28" x14ac:dyDescent="0.3">
      <c r="A36" s="30">
        <v>1</v>
      </c>
      <c r="B36">
        <v>35</v>
      </c>
      <c r="D36">
        <f>B36+(B36*1%)</f>
        <v>35.35</v>
      </c>
      <c r="E36">
        <f>B36+(B36*2%)</f>
        <v>35.700000000000003</v>
      </c>
      <c r="F36">
        <f>B36+(B36*3%)</f>
        <v>36.049999999999997</v>
      </c>
      <c r="G36">
        <f>B36+(B36*4%)</f>
        <v>36.4</v>
      </c>
      <c r="H36" s="33">
        <f>B36+(B36*5%)</f>
        <v>36.75</v>
      </c>
      <c r="T36" s="30"/>
      <c r="AB36" s="33"/>
    </row>
    <row r="37" spans="1:28" x14ac:dyDescent="0.3">
      <c r="A37" s="30">
        <v>2</v>
      </c>
      <c r="B37">
        <v>34</v>
      </c>
      <c r="D37">
        <f t="shared" ref="D37:D39" si="10">B37+(B37*1%)</f>
        <v>34.340000000000003</v>
      </c>
      <c r="E37">
        <f t="shared" ref="E37:E39" si="11">B37+(B37*2%)</f>
        <v>34.68</v>
      </c>
      <c r="F37">
        <f t="shared" ref="F37:F39" si="12">B37+(B37*3%)</f>
        <v>35.020000000000003</v>
      </c>
      <c r="G37">
        <f t="shared" ref="G37:G39" si="13">B37+(B37*4%)</f>
        <v>35.36</v>
      </c>
      <c r="H37" s="33">
        <f t="shared" ref="H37:H39" si="14">B37+(B37*5%)</f>
        <v>35.700000000000003</v>
      </c>
      <c r="T37" s="30" t="s">
        <v>55</v>
      </c>
      <c r="U37" t="s">
        <v>10</v>
      </c>
      <c r="V37" t="s">
        <v>84</v>
      </c>
      <c r="X37" s="20">
        <v>0.01</v>
      </c>
      <c r="Y37" s="20">
        <v>0.02</v>
      </c>
      <c r="Z37" s="20">
        <v>0.03</v>
      </c>
      <c r="AA37" s="20">
        <v>0.04</v>
      </c>
      <c r="AB37" s="55">
        <v>0.05</v>
      </c>
    </row>
    <row r="38" spans="1:28" x14ac:dyDescent="0.3">
      <c r="A38" s="30">
        <v>3</v>
      </c>
      <c r="B38">
        <v>36</v>
      </c>
      <c r="D38">
        <f t="shared" si="10"/>
        <v>36.36</v>
      </c>
      <c r="E38">
        <f t="shared" si="11"/>
        <v>36.72</v>
      </c>
      <c r="F38">
        <f t="shared" si="12"/>
        <v>37.08</v>
      </c>
      <c r="G38">
        <f t="shared" si="13"/>
        <v>37.44</v>
      </c>
      <c r="H38" s="33">
        <f t="shared" si="14"/>
        <v>37.799999999999997</v>
      </c>
      <c r="T38" s="30">
        <v>1</v>
      </c>
      <c r="U38">
        <v>1</v>
      </c>
      <c r="V38" s="13">
        <v>0.6</v>
      </c>
      <c r="X38">
        <f>V38+(V38*1%)</f>
        <v>0.60599999999999998</v>
      </c>
      <c r="Y38">
        <f>V38+(V38*2%)</f>
        <v>0.61199999999999999</v>
      </c>
      <c r="Z38">
        <f>V38+(V38*3%)</f>
        <v>0.61799999999999999</v>
      </c>
      <c r="AA38">
        <f>V38+(V38*4%)</f>
        <v>0.624</v>
      </c>
      <c r="AB38" s="33">
        <f>V38+(V38*5%)</f>
        <v>0.63</v>
      </c>
    </row>
    <row r="39" spans="1:28" x14ac:dyDescent="0.3">
      <c r="A39" s="30">
        <v>4</v>
      </c>
      <c r="B39">
        <v>39</v>
      </c>
      <c r="D39">
        <f t="shared" si="10"/>
        <v>39.39</v>
      </c>
      <c r="E39">
        <f t="shared" si="11"/>
        <v>39.78</v>
      </c>
      <c r="F39">
        <f t="shared" si="12"/>
        <v>40.17</v>
      </c>
      <c r="G39">
        <f t="shared" si="13"/>
        <v>40.56</v>
      </c>
      <c r="H39" s="33">
        <f t="shared" si="14"/>
        <v>40.950000000000003</v>
      </c>
      <c r="T39" s="30">
        <v>1</v>
      </c>
      <c r="U39">
        <v>2</v>
      </c>
      <c r="V39">
        <v>0.7</v>
      </c>
      <c r="X39">
        <f t="shared" ref="X39:X55" si="15">V39+(V39*1%)</f>
        <v>0.70699999999999996</v>
      </c>
      <c r="Y39">
        <f t="shared" ref="Y39:Y55" si="16">V39+(V39*2%)</f>
        <v>0.71399999999999997</v>
      </c>
      <c r="Z39">
        <f t="shared" ref="Z39:Z55" si="17">V39+(V39*3%)</f>
        <v>0.72099999999999997</v>
      </c>
      <c r="AA39">
        <f t="shared" ref="AA39:AA55" si="18">V39+(V39*4%)</f>
        <v>0.72799999999999998</v>
      </c>
      <c r="AB39" s="33">
        <f t="shared" ref="AB39:AB55" si="19">V39+(V39*5%)</f>
        <v>0.73499999999999999</v>
      </c>
    </row>
    <row r="40" spans="1:28" x14ac:dyDescent="0.3">
      <c r="A40" s="30"/>
      <c r="H40" s="33"/>
      <c r="T40" s="30">
        <v>1</v>
      </c>
      <c r="U40">
        <v>3</v>
      </c>
      <c r="V40">
        <v>0.3</v>
      </c>
      <c r="X40">
        <f t="shared" si="15"/>
        <v>0.30299999999999999</v>
      </c>
      <c r="Y40">
        <f t="shared" si="16"/>
        <v>0.30599999999999999</v>
      </c>
      <c r="Z40">
        <f t="shared" si="17"/>
        <v>0.309</v>
      </c>
      <c r="AA40">
        <f t="shared" si="18"/>
        <v>0.312</v>
      </c>
      <c r="AB40" s="33">
        <f t="shared" si="19"/>
        <v>0.315</v>
      </c>
    </row>
    <row r="41" spans="1:28" x14ac:dyDescent="0.3">
      <c r="A41" s="30" t="s">
        <v>216</v>
      </c>
      <c r="B41" t="s">
        <v>160</v>
      </c>
      <c r="D41" s="16">
        <f>(D42-B42)/B42*100</f>
        <v>7.9697367539291658E-2</v>
      </c>
      <c r="E41" s="16">
        <f>(E42-B42)/B42*100</f>
        <v>0.15939473507858332</v>
      </c>
      <c r="F41" s="16">
        <f>(F42-B42)/B42*100</f>
        <v>0.23909210261786074</v>
      </c>
      <c r="G41" s="16">
        <f>(G42-B42)/B42*100</f>
        <v>0.31878947015715237</v>
      </c>
      <c r="H41" s="32">
        <f>(H42-B42)/B42*100</f>
        <v>0.39848683769642973</v>
      </c>
      <c r="T41" s="30">
        <v>1</v>
      </c>
      <c r="U41">
        <v>4</v>
      </c>
      <c r="V41">
        <v>0.4</v>
      </c>
      <c r="X41">
        <f t="shared" si="15"/>
        <v>0.40400000000000003</v>
      </c>
      <c r="Y41">
        <f t="shared" si="16"/>
        <v>0.40800000000000003</v>
      </c>
      <c r="Z41">
        <f t="shared" si="17"/>
        <v>0.41200000000000003</v>
      </c>
      <c r="AA41">
        <f t="shared" si="18"/>
        <v>0.41600000000000004</v>
      </c>
      <c r="AB41" s="33">
        <f t="shared" si="19"/>
        <v>0.42000000000000004</v>
      </c>
    </row>
    <row r="42" spans="1:28" x14ac:dyDescent="0.3">
      <c r="A42" s="30" t="s">
        <v>158</v>
      </c>
      <c r="B42" s="21">
        <v>815497.45</v>
      </c>
      <c r="D42" s="21">
        <v>816147.38</v>
      </c>
      <c r="E42" s="21">
        <v>816797.31</v>
      </c>
      <c r="F42" s="21">
        <v>817447.24</v>
      </c>
      <c r="G42" s="21">
        <v>818097.17</v>
      </c>
      <c r="H42" s="31">
        <v>818747.1</v>
      </c>
      <c r="T42" s="30">
        <v>1</v>
      </c>
      <c r="U42">
        <v>5</v>
      </c>
      <c r="V42">
        <v>0.4</v>
      </c>
      <c r="X42">
        <f t="shared" si="15"/>
        <v>0.40400000000000003</v>
      </c>
      <c r="Y42">
        <f t="shared" si="16"/>
        <v>0.40800000000000003</v>
      </c>
      <c r="Z42">
        <f t="shared" si="17"/>
        <v>0.41200000000000003</v>
      </c>
      <c r="AA42">
        <f t="shared" si="18"/>
        <v>0.41600000000000004</v>
      </c>
      <c r="AB42" s="33">
        <f t="shared" si="19"/>
        <v>0.42000000000000004</v>
      </c>
    </row>
    <row r="43" spans="1:28" x14ac:dyDescent="0.3">
      <c r="A43" s="30"/>
      <c r="B43" s="21"/>
      <c r="D43" s="15">
        <f>(D44-B44)/B44*100</f>
        <v>0</v>
      </c>
      <c r="E43" s="15">
        <f>(E44-B44)/B44*100</f>
        <v>0</v>
      </c>
      <c r="F43" s="15">
        <f>(F44-B44)/B44*100</f>
        <v>0</v>
      </c>
      <c r="G43" s="15">
        <f>(G44-B44)/B44*100</f>
        <v>0</v>
      </c>
      <c r="H43" s="56">
        <f>(H44-B44)/B44*100</f>
        <v>0</v>
      </c>
      <c r="T43" s="30">
        <v>1</v>
      </c>
      <c r="U43">
        <v>6</v>
      </c>
      <c r="V43">
        <v>0.3</v>
      </c>
      <c r="X43">
        <f t="shared" si="15"/>
        <v>0.30299999999999999</v>
      </c>
      <c r="Y43">
        <f t="shared" si="16"/>
        <v>0.30599999999999999</v>
      </c>
      <c r="Z43">
        <f t="shared" si="17"/>
        <v>0.309</v>
      </c>
      <c r="AA43">
        <f t="shared" si="18"/>
        <v>0.312</v>
      </c>
      <c r="AB43" s="33">
        <f t="shared" si="19"/>
        <v>0.315</v>
      </c>
    </row>
    <row r="44" spans="1:28" x14ac:dyDescent="0.3">
      <c r="A44" s="30" t="s">
        <v>159</v>
      </c>
      <c r="B44" s="21">
        <v>4840.7044030870002</v>
      </c>
      <c r="D44" s="21">
        <v>4840.7044030870002</v>
      </c>
      <c r="E44" s="21">
        <v>4840.7044030870002</v>
      </c>
      <c r="F44" s="21">
        <v>4840.7044030870002</v>
      </c>
      <c r="G44" s="21">
        <v>4840.7044030870002</v>
      </c>
      <c r="H44" s="31">
        <v>4840.7044030870002</v>
      </c>
      <c r="T44" s="30">
        <v>2</v>
      </c>
      <c r="U44">
        <v>1</v>
      </c>
      <c r="V44">
        <v>0.5</v>
      </c>
      <c r="X44">
        <f t="shared" si="15"/>
        <v>0.505</v>
      </c>
      <c r="Y44">
        <f t="shared" si="16"/>
        <v>0.51</v>
      </c>
      <c r="Z44">
        <f t="shared" si="17"/>
        <v>0.51500000000000001</v>
      </c>
      <c r="AA44">
        <f t="shared" si="18"/>
        <v>0.52</v>
      </c>
      <c r="AB44" s="33">
        <f t="shared" si="19"/>
        <v>0.52500000000000002</v>
      </c>
    </row>
    <row r="45" spans="1:28" x14ac:dyDescent="0.3">
      <c r="A45" s="30"/>
      <c r="H45" s="33"/>
      <c r="T45" s="30">
        <v>2</v>
      </c>
      <c r="U45">
        <v>2</v>
      </c>
      <c r="V45">
        <v>0.3</v>
      </c>
      <c r="X45">
        <f t="shared" si="15"/>
        <v>0.30299999999999999</v>
      </c>
      <c r="Y45">
        <f t="shared" si="16"/>
        <v>0.30599999999999999</v>
      </c>
      <c r="Z45">
        <f t="shared" si="17"/>
        <v>0.309</v>
      </c>
      <c r="AA45">
        <f t="shared" si="18"/>
        <v>0.312</v>
      </c>
      <c r="AB45" s="33">
        <f t="shared" si="19"/>
        <v>0.315</v>
      </c>
    </row>
    <row r="46" spans="1:28" x14ac:dyDescent="0.3">
      <c r="A46" s="30"/>
      <c r="H46" s="33"/>
      <c r="T46" s="30">
        <v>2</v>
      </c>
      <c r="U46">
        <v>3</v>
      </c>
      <c r="V46">
        <v>0.6</v>
      </c>
      <c r="X46">
        <f t="shared" si="15"/>
        <v>0.60599999999999998</v>
      </c>
      <c r="Y46">
        <f t="shared" si="16"/>
        <v>0.61199999999999999</v>
      </c>
      <c r="Z46">
        <f t="shared" si="17"/>
        <v>0.61799999999999999</v>
      </c>
      <c r="AA46">
        <f t="shared" si="18"/>
        <v>0.624</v>
      </c>
      <c r="AB46" s="33">
        <f t="shared" si="19"/>
        <v>0.63</v>
      </c>
    </row>
    <row r="47" spans="1:28" x14ac:dyDescent="0.3">
      <c r="A47" s="30"/>
      <c r="B47" t="s">
        <v>161</v>
      </c>
      <c r="D47" s="16">
        <f>(D48-B48)/B48*100</f>
        <v>7.680339576539813E-2</v>
      </c>
      <c r="E47" s="16">
        <f>(E48-B48)/B48*100</f>
        <v>0.15939636048641173</v>
      </c>
      <c r="F47" s="16">
        <f>(F48-B48)/B48*100</f>
        <v>0.2294452591369536</v>
      </c>
      <c r="G47" s="16">
        <f>(G48-B48)/B48*100</f>
        <v>0.30361037031499327</v>
      </c>
      <c r="H47" s="32">
        <f>(H48-B48)/B48*100</f>
        <v>0.38401697882703334</v>
      </c>
      <c r="T47" s="30">
        <v>2</v>
      </c>
      <c r="U47">
        <v>4</v>
      </c>
      <c r="V47">
        <v>0.4</v>
      </c>
      <c r="X47">
        <f t="shared" si="15"/>
        <v>0.40400000000000003</v>
      </c>
      <c r="Y47">
        <f t="shared" si="16"/>
        <v>0.40800000000000003</v>
      </c>
      <c r="Z47">
        <f t="shared" si="17"/>
        <v>0.41200000000000003</v>
      </c>
      <c r="AA47">
        <f t="shared" si="18"/>
        <v>0.41600000000000004</v>
      </c>
      <c r="AB47" s="33">
        <f t="shared" si="19"/>
        <v>0.42000000000000004</v>
      </c>
    </row>
    <row r="48" spans="1:28" x14ac:dyDescent="0.3">
      <c r="A48" s="30" t="s">
        <v>158</v>
      </c>
      <c r="B48" s="21">
        <v>818713.8</v>
      </c>
      <c r="D48" s="21">
        <v>819342.6</v>
      </c>
      <c r="E48" s="21">
        <v>820018.8</v>
      </c>
      <c r="F48" s="21">
        <v>820592.3</v>
      </c>
      <c r="G48" s="21">
        <v>821199.5</v>
      </c>
      <c r="H48" s="31">
        <v>821857.8</v>
      </c>
      <c r="T48" s="30">
        <v>2</v>
      </c>
      <c r="U48">
        <v>5</v>
      </c>
      <c r="V48">
        <v>0.6</v>
      </c>
      <c r="X48">
        <f t="shared" si="15"/>
        <v>0.60599999999999998</v>
      </c>
      <c r="Y48">
        <f t="shared" si="16"/>
        <v>0.61199999999999999</v>
      </c>
      <c r="Z48">
        <f t="shared" si="17"/>
        <v>0.61799999999999999</v>
      </c>
      <c r="AA48">
        <f t="shared" si="18"/>
        <v>0.624</v>
      </c>
      <c r="AB48" s="33">
        <f t="shared" si="19"/>
        <v>0.63</v>
      </c>
    </row>
    <row r="49" spans="1:29" x14ac:dyDescent="0.3">
      <c r="A49" s="30"/>
      <c r="B49" s="21"/>
      <c r="D49" s="15">
        <f>(D50-B50)/B50*100</f>
        <v>6.4035994297774804E-3</v>
      </c>
      <c r="E49" s="15">
        <f>(E50-B50)/B50*100</f>
        <v>5.6829951592582721E-4</v>
      </c>
      <c r="F49" s="15">
        <f>(F50-B50)/B50*100</f>
        <v>1.4526360319382016E-2</v>
      </c>
      <c r="G49" s="15">
        <f>(G50-B50)/B50*100</f>
        <v>1.9230394864996777E-2</v>
      </c>
      <c r="H49" s="56">
        <f>(H50-B50)/B50*100</f>
        <v>1.8275318843444292E-2</v>
      </c>
      <c r="T49" s="30">
        <v>2</v>
      </c>
      <c r="U49">
        <v>6</v>
      </c>
      <c r="V49">
        <v>0.3</v>
      </c>
      <c r="X49">
        <f t="shared" si="15"/>
        <v>0.30299999999999999</v>
      </c>
      <c r="Y49">
        <f t="shared" si="16"/>
        <v>0.30599999999999999</v>
      </c>
      <c r="Z49">
        <f t="shared" si="17"/>
        <v>0.309</v>
      </c>
      <c r="AA49">
        <f t="shared" si="18"/>
        <v>0.312</v>
      </c>
      <c r="AB49" s="33">
        <f t="shared" si="19"/>
        <v>0.315</v>
      </c>
    </row>
    <row r="50" spans="1:29" x14ac:dyDescent="0.3">
      <c r="A50" s="30" t="s">
        <v>159</v>
      </c>
      <c r="B50" s="21">
        <v>4757.7240947110004</v>
      </c>
      <c r="C50" t="s">
        <v>238</v>
      </c>
      <c r="D50" s="21">
        <v>4758.0287603039997</v>
      </c>
      <c r="E50" s="21">
        <v>4757.7511328339997</v>
      </c>
      <c r="F50" s="21">
        <v>4758.4152188560001</v>
      </c>
      <c r="G50" s="21">
        <v>4758.6390238410004</v>
      </c>
      <c r="H50" s="31">
        <v>4758.5935839590002</v>
      </c>
      <c r="T50" s="30">
        <v>3</v>
      </c>
      <c r="U50">
        <v>1</v>
      </c>
      <c r="V50">
        <v>0.4</v>
      </c>
      <c r="X50">
        <f t="shared" si="15"/>
        <v>0.40400000000000003</v>
      </c>
      <c r="Y50">
        <f t="shared" si="16"/>
        <v>0.40800000000000003</v>
      </c>
      <c r="Z50">
        <f t="shared" si="17"/>
        <v>0.41200000000000003</v>
      </c>
      <c r="AA50">
        <f t="shared" si="18"/>
        <v>0.41600000000000004</v>
      </c>
      <c r="AB50" s="33">
        <f t="shared" si="19"/>
        <v>0.42000000000000004</v>
      </c>
    </row>
    <row r="51" spans="1:29" x14ac:dyDescent="0.3">
      <c r="A51" s="34"/>
      <c r="B51" s="22"/>
      <c r="C51" s="22"/>
      <c r="D51" s="22"/>
      <c r="E51" s="22"/>
      <c r="F51" s="22"/>
      <c r="G51" s="22"/>
      <c r="H51" s="40"/>
      <c r="T51" s="30">
        <v>3</v>
      </c>
      <c r="U51">
        <v>2</v>
      </c>
      <c r="V51">
        <v>0.6</v>
      </c>
      <c r="X51">
        <f t="shared" si="15"/>
        <v>0.60599999999999998</v>
      </c>
      <c r="Y51">
        <f t="shared" si="16"/>
        <v>0.61199999999999999</v>
      </c>
      <c r="Z51">
        <f t="shared" si="17"/>
        <v>0.61799999999999999</v>
      </c>
      <c r="AA51">
        <f t="shared" si="18"/>
        <v>0.624</v>
      </c>
      <c r="AB51" s="33">
        <f t="shared" si="19"/>
        <v>0.63</v>
      </c>
    </row>
    <row r="52" spans="1:29" x14ac:dyDescent="0.3">
      <c r="T52" s="30">
        <v>3</v>
      </c>
      <c r="U52">
        <v>3</v>
      </c>
      <c r="V52">
        <v>0.2</v>
      </c>
      <c r="X52">
        <f t="shared" si="15"/>
        <v>0.20200000000000001</v>
      </c>
      <c r="Y52">
        <f t="shared" si="16"/>
        <v>0.20400000000000001</v>
      </c>
      <c r="Z52">
        <f t="shared" si="17"/>
        <v>0.20600000000000002</v>
      </c>
      <c r="AA52">
        <f t="shared" si="18"/>
        <v>0.20800000000000002</v>
      </c>
      <c r="AB52" s="33">
        <f t="shared" si="19"/>
        <v>0.21000000000000002</v>
      </c>
    </row>
    <row r="53" spans="1:29" x14ac:dyDescent="0.3">
      <c r="A53" s="64" t="s">
        <v>21</v>
      </c>
      <c r="B53" s="65"/>
      <c r="C53" s="65"/>
      <c r="D53" s="65"/>
      <c r="E53" s="65"/>
      <c r="F53" s="65"/>
      <c r="G53" s="65"/>
      <c r="H53" s="66"/>
      <c r="T53" s="30">
        <v>3</v>
      </c>
      <c r="U53">
        <v>4</v>
      </c>
      <c r="V53">
        <v>0.5</v>
      </c>
      <c r="X53">
        <f t="shared" si="15"/>
        <v>0.505</v>
      </c>
      <c r="Y53">
        <f t="shared" si="16"/>
        <v>0.51</v>
      </c>
      <c r="Z53">
        <f t="shared" si="17"/>
        <v>0.51500000000000001</v>
      </c>
      <c r="AA53">
        <f t="shared" si="18"/>
        <v>0.52</v>
      </c>
      <c r="AB53" s="33">
        <f t="shared" si="19"/>
        <v>0.52500000000000002</v>
      </c>
    </row>
    <row r="54" spans="1:29" x14ac:dyDescent="0.3">
      <c r="A54" s="54" t="s">
        <v>18</v>
      </c>
      <c r="H54" s="33"/>
      <c r="T54" s="30">
        <v>3</v>
      </c>
      <c r="U54">
        <v>5</v>
      </c>
      <c r="V54">
        <v>0.7</v>
      </c>
      <c r="X54">
        <f t="shared" si="15"/>
        <v>0.70699999999999996</v>
      </c>
      <c r="Y54">
        <f t="shared" si="16"/>
        <v>0.71399999999999997</v>
      </c>
      <c r="Z54">
        <f t="shared" si="17"/>
        <v>0.72099999999999997</v>
      </c>
      <c r="AA54">
        <f t="shared" si="18"/>
        <v>0.72799999999999998</v>
      </c>
      <c r="AB54" s="33">
        <f t="shared" si="19"/>
        <v>0.73499999999999999</v>
      </c>
    </row>
    <row r="55" spans="1:29" x14ac:dyDescent="0.3">
      <c r="A55" s="30"/>
      <c r="H55" s="33"/>
      <c r="T55" s="30">
        <v>3</v>
      </c>
      <c r="U55">
        <v>6</v>
      </c>
      <c r="V55">
        <v>0.3</v>
      </c>
      <c r="X55">
        <f t="shared" si="15"/>
        <v>0.30299999999999999</v>
      </c>
      <c r="Y55">
        <f t="shared" si="16"/>
        <v>0.30599999999999999</v>
      </c>
      <c r="Z55">
        <f t="shared" si="17"/>
        <v>0.309</v>
      </c>
      <c r="AA55">
        <f t="shared" si="18"/>
        <v>0.312</v>
      </c>
      <c r="AB55" s="33">
        <f t="shared" si="19"/>
        <v>0.315</v>
      </c>
    </row>
    <row r="56" spans="1:29" x14ac:dyDescent="0.3">
      <c r="A56" s="30" t="s">
        <v>19</v>
      </c>
      <c r="B56" t="s">
        <v>20</v>
      </c>
      <c r="D56" s="20">
        <v>0.01</v>
      </c>
      <c r="E56" s="20">
        <v>0.02</v>
      </c>
      <c r="F56" s="20">
        <v>0.03</v>
      </c>
      <c r="G56" s="20">
        <v>0.04</v>
      </c>
      <c r="H56" s="55">
        <v>0.05</v>
      </c>
      <c r="T56" s="30"/>
      <c r="AB56" s="33"/>
    </row>
    <row r="57" spans="1:29" x14ac:dyDescent="0.3">
      <c r="A57" s="30">
        <v>1</v>
      </c>
      <c r="B57">
        <v>445</v>
      </c>
      <c r="D57">
        <f>B57+(B57*1%)</f>
        <v>449.45</v>
      </c>
      <c r="E57">
        <f>B57+(B57*2%)</f>
        <v>453.9</v>
      </c>
      <c r="F57">
        <f>B57+(B57*3%)</f>
        <v>458.35</v>
      </c>
      <c r="G57">
        <f>B57+(B57*4%)</f>
        <v>462.8</v>
      </c>
      <c r="H57" s="33">
        <f>B57+(B57*5%)</f>
        <v>467.25</v>
      </c>
      <c r="T57" s="30" t="s">
        <v>191</v>
      </c>
      <c r="U57" t="s">
        <v>160</v>
      </c>
      <c r="X57" s="16">
        <f>(X58-U58)/U58*100</f>
        <v>5.0550816497701547E-3</v>
      </c>
      <c r="Y57" s="16">
        <f>(Y58-U58)/U58*100</f>
        <v>1.0110163278872982E-2</v>
      </c>
      <c r="Z57" s="16">
        <f>(Z58-U58)/U58*100</f>
        <v>1.5165244928643136E-2</v>
      </c>
      <c r="AA57" s="16">
        <f>(AA58-U58)/U58*100</f>
        <v>2.022032657841329E-2</v>
      </c>
      <c r="AB57" s="32">
        <f>(AB58-U58)/U58*100</f>
        <v>2.5275408228183444E-2</v>
      </c>
    </row>
    <row r="58" spans="1:29" x14ac:dyDescent="0.3">
      <c r="A58" s="30">
        <v>2</v>
      </c>
      <c r="B58">
        <v>575</v>
      </c>
      <c r="D58">
        <f t="shared" ref="D58" si="20">B58+(B58*1%)</f>
        <v>580.75</v>
      </c>
      <c r="E58">
        <f t="shared" ref="E58" si="21">B58+(B58*2%)</f>
        <v>586.5</v>
      </c>
      <c r="F58">
        <f t="shared" ref="F58" si="22">B58+(B58*3%)</f>
        <v>592.25</v>
      </c>
      <c r="G58">
        <f t="shared" ref="G58" si="23">B58+(B58*4%)</f>
        <v>598</v>
      </c>
      <c r="H58" s="33">
        <f t="shared" ref="H58" si="24">B58+(B58*5%)</f>
        <v>603.75</v>
      </c>
      <c r="T58" s="30" t="s">
        <v>178</v>
      </c>
      <c r="U58" s="21">
        <v>4840.7044030870002</v>
      </c>
      <c r="V58" s="21"/>
      <c r="W58" s="21"/>
      <c r="X58" s="21">
        <v>4840.9491046470002</v>
      </c>
      <c r="Y58" s="21">
        <v>4841.1938062059999</v>
      </c>
      <c r="Z58" s="21">
        <v>4841.4385077659999</v>
      </c>
      <c r="AA58" s="21">
        <v>4841.683209326</v>
      </c>
      <c r="AB58" s="31">
        <v>4841.9279108860001</v>
      </c>
      <c r="AC58" s="21"/>
    </row>
    <row r="59" spans="1:29" x14ac:dyDescent="0.3">
      <c r="A59" s="30"/>
      <c r="H59" s="33"/>
      <c r="T59" s="30"/>
      <c r="U59" s="21"/>
      <c r="V59" s="21"/>
      <c r="W59" s="21"/>
      <c r="X59" s="15">
        <f>(X60-U60)/U60*100</f>
        <v>0</v>
      </c>
      <c r="Y59" s="15">
        <f>(Y60-U60)/U60*100</f>
        <v>0</v>
      </c>
      <c r="Z59" s="15">
        <f>(Z60-U60)/U60*100</f>
        <v>0</v>
      </c>
      <c r="AA59" s="15">
        <f>(AA60-U60)/U60*100</f>
        <v>0</v>
      </c>
      <c r="AB59" s="56">
        <f>(AB60-U60)/U60*100</f>
        <v>0</v>
      </c>
    </row>
    <row r="60" spans="1:29" x14ac:dyDescent="0.3">
      <c r="A60" s="30" t="s">
        <v>217</v>
      </c>
      <c r="B60" t="s">
        <v>160</v>
      </c>
      <c r="D60" s="16">
        <f>(D61-B61)/B61*100</f>
        <v>0.89265147303649406</v>
      </c>
      <c r="E60" s="16">
        <f>(E61-B61)/B61*100</f>
        <v>1.7853029460729881</v>
      </c>
      <c r="F60" s="16">
        <f>(F61-B61)/B61*100</f>
        <v>2.6779544191094682</v>
      </c>
      <c r="G60" s="16">
        <f>(G61-B61)/B61*100</f>
        <v>3.5706058921459625</v>
      </c>
      <c r="H60" s="32">
        <f>(H61-B61)/B61*100</f>
        <v>4.4632573651824421</v>
      </c>
      <c r="T60" s="30" t="s">
        <v>158</v>
      </c>
      <c r="U60" s="21">
        <v>815497.45</v>
      </c>
      <c r="V60" s="21"/>
      <c r="W60" s="21"/>
      <c r="X60" s="21">
        <v>815497.45</v>
      </c>
      <c r="Y60" s="21">
        <v>815497.45</v>
      </c>
      <c r="Z60" s="21">
        <v>815497.45</v>
      </c>
      <c r="AA60" s="21">
        <v>815497.45</v>
      </c>
      <c r="AB60" s="31">
        <v>815497.45</v>
      </c>
      <c r="AC60" s="21"/>
    </row>
    <row r="61" spans="1:29" x14ac:dyDescent="0.3">
      <c r="A61" s="30" t="s">
        <v>158</v>
      </c>
      <c r="B61" s="21">
        <v>815497.45</v>
      </c>
      <c r="D61" s="21">
        <v>822777</v>
      </c>
      <c r="E61" s="21">
        <v>830056.55</v>
      </c>
      <c r="F61" s="21">
        <v>837336.1</v>
      </c>
      <c r="G61" s="21">
        <v>844615.65</v>
      </c>
      <c r="H61" s="31">
        <v>851895.2</v>
      </c>
      <c r="T61" s="30"/>
      <c r="AB61" s="33"/>
    </row>
    <row r="62" spans="1:29" x14ac:dyDescent="0.3">
      <c r="A62" s="30"/>
      <c r="B62" s="21"/>
      <c r="D62" s="15">
        <f>(D63-B63)/B63*100</f>
        <v>0</v>
      </c>
      <c r="E62" s="15">
        <f>(E63-B63)/B63*100</f>
        <v>0</v>
      </c>
      <c r="F62" s="15">
        <f>(F63-B63)/B63*100</f>
        <v>0</v>
      </c>
      <c r="G62" s="15">
        <f>(G63-B63)/B63*100</f>
        <v>0</v>
      </c>
      <c r="H62" s="56">
        <f>(H63-B63)/B63*100</f>
        <v>0</v>
      </c>
      <c r="T62" s="30"/>
      <c r="AB62" s="33"/>
    </row>
    <row r="63" spans="1:29" x14ac:dyDescent="0.3">
      <c r="A63" s="30" t="s">
        <v>159</v>
      </c>
      <c r="B63" s="21">
        <v>4840.7044030870002</v>
      </c>
      <c r="D63" s="21">
        <v>4840.7044030870002</v>
      </c>
      <c r="E63" s="21">
        <v>4840.7044030870002</v>
      </c>
      <c r="F63" s="21">
        <v>4840.7044030870002</v>
      </c>
      <c r="G63" s="21">
        <v>4840.7044030870002</v>
      </c>
      <c r="H63" s="31">
        <v>4840.7044030870002</v>
      </c>
      <c r="T63" s="30"/>
      <c r="U63" t="s">
        <v>161</v>
      </c>
      <c r="X63" s="16">
        <f>(X64-U64)/U64*100</f>
        <v>3.9482705230533622E-3</v>
      </c>
      <c r="Y63" s="16">
        <f>(Y64-U64)/U64*100</f>
        <v>1.4328187625617722E-2</v>
      </c>
      <c r="Z63" s="16">
        <f>(Z64-U64)/U64*100</f>
        <v>1.8339513507512638E-2</v>
      </c>
      <c r="AA63" s="16">
        <f>(AA64-U64)/U64*100</f>
        <v>2.2350839389407559E-2</v>
      </c>
      <c r="AB63" s="32">
        <f>(AB64-U64)/U64*100</f>
        <v>2.6928361260452189E-2</v>
      </c>
    </row>
    <row r="64" spans="1:29" x14ac:dyDescent="0.3">
      <c r="A64" s="30"/>
      <c r="H64" s="33"/>
      <c r="T64" s="30" t="s">
        <v>178</v>
      </c>
      <c r="U64" s="21">
        <v>4757.7240947110004</v>
      </c>
      <c r="V64" s="21"/>
      <c r="W64" s="21"/>
      <c r="X64" s="21">
        <v>4757.911942529</v>
      </c>
      <c r="Y64" s="21">
        <v>4758.4057903459998</v>
      </c>
      <c r="Z64" s="21">
        <v>4758.5966381640001</v>
      </c>
      <c r="AA64" s="21">
        <v>4758.7874859820004</v>
      </c>
      <c r="AB64" s="31">
        <v>4759.0052718429997</v>
      </c>
      <c r="AC64" s="21"/>
    </row>
    <row r="65" spans="1:29" x14ac:dyDescent="0.3">
      <c r="A65" s="30"/>
      <c r="H65" s="33"/>
      <c r="T65" s="30"/>
      <c r="U65" s="21"/>
      <c r="V65" s="21"/>
      <c r="W65" s="21"/>
      <c r="X65" s="15">
        <f>(X66-U66)/U66*100</f>
        <v>0</v>
      </c>
      <c r="Y65" s="15">
        <f>(Y66-U66)/U66*100</f>
        <v>-5.7162832726218322E-3</v>
      </c>
      <c r="Z65" s="15">
        <f>(Z66-U66)/U66*100</f>
        <v>-5.7162832726218322E-3</v>
      </c>
      <c r="AA65" s="15">
        <f>(AA66-U66)/U66*100</f>
        <v>-5.7162832726218322E-3</v>
      </c>
      <c r="AB65" s="56">
        <f>(AB66-U66)/U66*100</f>
        <v>-6.1193545290299401E-3</v>
      </c>
    </row>
    <row r="66" spans="1:29" x14ac:dyDescent="0.3">
      <c r="A66" s="30"/>
      <c r="B66" t="s">
        <v>161</v>
      </c>
      <c r="D66" s="16">
        <f>(D67-B67)/B67*100</f>
        <v>0.89306543996203647</v>
      </c>
      <c r="E66" s="16">
        <f>(E67-B67)/B67*100</f>
        <v>1.7809153821518553</v>
      </c>
      <c r="F66" s="16">
        <f>(F67-B67)/B67*100</f>
        <v>2.6688630385856422</v>
      </c>
      <c r="G66" s="16">
        <f>(G67-B67)/B67*100</f>
        <v>3.5578855517031598</v>
      </c>
      <c r="H66" s="32">
        <f>(H67-B67)/B67*100</f>
        <v>4.4457721367344609</v>
      </c>
      <c r="T66" s="30" t="s">
        <v>158</v>
      </c>
      <c r="U66" s="21">
        <v>818713.8</v>
      </c>
      <c r="V66" s="21"/>
      <c r="W66" s="21"/>
      <c r="X66" s="21">
        <v>818713.8</v>
      </c>
      <c r="Y66" s="21">
        <v>818667</v>
      </c>
      <c r="Z66" s="21">
        <v>818667</v>
      </c>
      <c r="AA66" s="21">
        <v>818667</v>
      </c>
      <c r="AB66" s="31">
        <v>818663.7</v>
      </c>
      <c r="AC66" s="21"/>
    </row>
    <row r="67" spans="1:29" x14ac:dyDescent="0.3">
      <c r="A67" s="30" t="s">
        <v>158</v>
      </c>
      <c r="B67" s="21">
        <v>818713.8</v>
      </c>
      <c r="D67" s="21">
        <v>826025.45</v>
      </c>
      <c r="E67" s="21">
        <v>833294.4</v>
      </c>
      <c r="F67" s="21">
        <v>840564.15</v>
      </c>
      <c r="G67" s="21">
        <v>847842.7</v>
      </c>
      <c r="H67" s="31">
        <v>855111.95</v>
      </c>
      <c r="T67" s="34"/>
      <c r="U67" s="22"/>
      <c r="V67" s="22"/>
      <c r="W67" s="22"/>
      <c r="X67" s="22"/>
      <c r="Y67" s="22"/>
      <c r="Z67" s="22"/>
      <c r="AA67" s="22"/>
      <c r="AB67" s="40"/>
    </row>
    <row r="68" spans="1:29" x14ac:dyDescent="0.3">
      <c r="A68" s="30"/>
      <c r="B68" s="21"/>
      <c r="D68" s="15">
        <f>(D69-B69)/B69*100</f>
        <v>-3.8902937479220788E-3</v>
      </c>
      <c r="E68" s="15">
        <f>(E69-B69)/B69*100</f>
        <v>-3.6606933385316671E-3</v>
      </c>
      <c r="F68" s="15">
        <f>(F69-B69)/B69*100</f>
        <v>-2.7429081090533055E-3</v>
      </c>
      <c r="G68" s="15">
        <f>(G69-B69)/B69*100</f>
        <v>-2.7533865014479808E-3</v>
      </c>
      <c r="H68" s="56">
        <f>(H69-B69)/B69*100</f>
        <v>-7.4440146790867297E-4</v>
      </c>
    </row>
    <row r="69" spans="1:29" x14ac:dyDescent="0.3">
      <c r="A69" s="30" t="s">
        <v>159</v>
      </c>
      <c r="B69" s="21">
        <v>4757.7240947110004</v>
      </c>
      <c r="C69" t="s">
        <v>238</v>
      </c>
      <c r="D69" s="21">
        <v>4757.5390052680004</v>
      </c>
      <c r="E69" s="25">
        <v>4757.5499290219996</v>
      </c>
      <c r="F69" s="21">
        <v>4757.5935947110002</v>
      </c>
      <c r="G69" s="21">
        <v>4757.5930961780005</v>
      </c>
      <c r="H69" s="31">
        <v>4757.6886781430003</v>
      </c>
      <c r="T69" s="64" t="s">
        <v>87</v>
      </c>
      <c r="U69" s="65"/>
      <c r="V69" s="65"/>
      <c r="W69" s="65"/>
      <c r="X69" s="65"/>
      <c r="Y69" s="65"/>
      <c r="Z69" s="65"/>
      <c r="AA69" s="65"/>
      <c r="AB69" s="66"/>
    </row>
    <row r="70" spans="1:29" x14ac:dyDescent="0.3">
      <c r="A70" s="34"/>
      <c r="B70" s="22"/>
      <c r="C70" s="22"/>
      <c r="D70" s="22"/>
      <c r="E70" s="22"/>
      <c r="F70" s="22"/>
      <c r="G70" s="22"/>
      <c r="H70" s="40"/>
      <c r="T70" s="57" t="s">
        <v>80</v>
      </c>
      <c r="AB70" s="33"/>
    </row>
    <row r="71" spans="1:29" x14ac:dyDescent="0.3">
      <c r="T71" s="58" t="s">
        <v>81</v>
      </c>
      <c r="AB71" s="33"/>
    </row>
    <row r="72" spans="1:29" x14ac:dyDescent="0.3">
      <c r="A72" s="64" t="s">
        <v>22</v>
      </c>
      <c r="B72" s="65"/>
      <c r="C72" s="65"/>
      <c r="D72" s="65"/>
      <c r="E72" s="65"/>
      <c r="F72" s="65"/>
      <c r="G72" s="65"/>
      <c r="H72" s="66"/>
      <c r="T72" s="58" t="s">
        <v>82</v>
      </c>
      <c r="AB72" s="33"/>
    </row>
    <row r="73" spans="1:29" x14ac:dyDescent="0.3">
      <c r="A73" s="54" t="s">
        <v>23</v>
      </c>
      <c r="H73" s="33"/>
      <c r="T73" s="30"/>
      <c r="AB73" s="33"/>
    </row>
    <row r="74" spans="1:29" x14ac:dyDescent="0.3">
      <c r="A74" s="30"/>
      <c r="H74" s="33"/>
      <c r="T74" s="30" t="s">
        <v>67</v>
      </c>
      <c r="U74" t="s">
        <v>10</v>
      </c>
      <c r="V74" t="s">
        <v>89</v>
      </c>
      <c r="X74" s="20">
        <v>0.01</v>
      </c>
      <c r="Y74" s="20">
        <v>0.02</v>
      </c>
      <c r="Z74" s="20">
        <v>0.03</v>
      </c>
      <c r="AA74" s="20">
        <v>0.04</v>
      </c>
      <c r="AB74" s="55">
        <v>0.05</v>
      </c>
    </row>
    <row r="75" spans="1:29" x14ac:dyDescent="0.3">
      <c r="A75" s="30" t="s">
        <v>2</v>
      </c>
      <c r="B75" t="s">
        <v>17</v>
      </c>
      <c r="D75" s="20">
        <v>0.01</v>
      </c>
      <c r="E75" s="20">
        <v>0.02</v>
      </c>
      <c r="F75" s="20">
        <v>0.03</v>
      </c>
      <c r="G75" s="20">
        <v>0.04</v>
      </c>
      <c r="H75" s="55">
        <v>0.05</v>
      </c>
      <c r="T75" s="30">
        <v>1</v>
      </c>
      <c r="U75">
        <v>1</v>
      </c>
      <c r="V75" s="13">
        <v>0.3</v>
      </c>
      <c r="X75">
        <f>V75+(V75*1%)</f>
        <v>0.30299999999999999</v>
      </c>
      <c r="Y75">
        <f>V75+(V75*2%)</f>
        <v>0.30599999999999999</v>
      </c>
      <c r="Z75">
        <f>V75+(V75*3%)</f>
        <v>0.309</v>
      </c>
      <c r="AA75">
        <f>V75+(V75*4%)</f>
        <v>0.312</v>
      </c>
      <c r="AB75" s="33">
        <f>V75+(V75*5%)</f>
        <v>0.315</v>
      </c>
    </row>
    <row r="76" spans="1:29" x14ac:dyDescent="0.3">
      <c r="A76" s="30">
        <v>1</v>
      </c>
      <c r="B76">
        <v>2.4</v>
      </c>
      <c r="D76">
        <f>B76+(B76*1%)</f>
        <v>2.4239999999999999</v>
      </c>
      <c r="E76">
        <f>B76+(B76*2%)</f>
        <v>2.448</v>
      </c>
      <c r="F76">
        <f>B76+(B76*3%)</f>
        <v>2.472</v>
      </c>
      <c r="G76">
        <f>B76+(B76*4%)</f>
        <v>2.496</v>
      </c>
      <c r="H76" s="33">
        <f>B76+(B76*5%)</f>
        <v>2.52</v>
      </c>
      <c r="T76" s="30">
        <v>1</v>
      </c>
      <c r="U76">
        <v>2</v>
      </c>
      <c r="V76">
        <v>0.5</v>
      </c>
      <c r="X76">
        <f t="shared" ref="X76:X92" si="25">V76+(V76*1%)</f>
        <v>0.505</v>
      </c>
      <c r="Y76">
        <f t="shared" ref="Y76:Y92" si="26">V76+(V76*2%)</f>
        <v>0.51</v>
      </c>
      <c r="Z76">
        <f t="shared" ref="Z76:Z92" si="27">V76+(V76*3%)</f>
        <v>0.51500000000000001</v>
      </c>
      <c r="AA76">
        <f t="shared" ref="AA76:AA92" si="28">V76+(V76*4%)</f>
        <v>0.52</v>
      </c>
      <c r="AB76" s="33">
        <f t="shared" ref="AB76:AB92" si="29">V76+(V76*5%)</f>
        <v>0.52500000000000002</v>
      </c>
    </row>
    <row r="77" spans="1:29" x14ac:dyDescent="0.3">
      <c r="A77" s="30">
        <v>2</v>
      </c>
      <c r="B77">
        <v>3.2</v>
      </c>
      <c r="D77">
        <f t="shared" ref="D77:D79" si="30">B77+(B77*1%)</f>
        <v>3.2320000000000002</v>
      </c>
      <c r="E77">
        <f t="shared" ref="E77:E79" si="31">B77+(B77*2%)</f>
        <v>3.2640000000000002</v>
      </c>
      <c r="F77">
        <f t="shared" ref="F77:F79" si="32">B77+(B77*3%)</f>
        <v>3.2960000000000003</v>
      </c>
      <c r="G77">
        <f t="shared" ref="G77:G79" si="33">B77+(B77*4%)</f>
        <v>3.3280000000000003</v>
      </c>
      <c r="H77" s="33">
        <f t="shared" ref="H77:H79" si="34">B77+(B77*5%)</f>
        <v>3.3600000000000003</v>
      </c>
      <c r="T77" s="30">
        <v>1</v>
      </c>
      <c r="U77">
        <v>3</v>
      </c>
      <c r="V77">
        <v>0.5</v>
      </c>
      <c r="X77">
        <f t="shared" si="25"/>
        <v>0.505</v>
      </c>
      <c r="Y77">
        <f t="shared" si="26"/>
        <v>0.51</v>
      </c>
      <c r="Z77">
        <f t="shared" si="27"/>
        <v>0.51500000000000001</v>
      </c>
      <c r="AA77">
        <f t="shared" si="28"/>
        <v>0.52</v>
      </c>
      <c r="AB77" s="33">
        <f t="shared" si="29"/>
        <v>0.52500000000000002</v>
      </c>
    </row>
    <row r="78" spans="1:29" x14ac:dyDescent="0.3">
      <c r="A78" s="30">
        <v>3</v>
      </c>
      <c r="B78">
        <v>2.6</v>
      </c>
      <c r="D78">
        <f t="shared" si="30"/>
        <v>2.6259999999999999</v>
      </c>
      <c r="E78">
        <f t="shared" si="31"/>
        <v>2.6520000000000001</v>
      </c>
      <c r="F78">
        <f t="shared" si="32"/>
        <v>2.6779999999999999</v>
      </c>
      <c r="G78">
        <f t="shared" si="33"/>
        <v>2.7040000000000002</v>
      </c>
      <c r="H78" s="33">
        <f t="shared" si="34"/>
        <v>2.73</v>
      </c>
      <c r="T78" s="30">
        <v>1</v>
      </c>
      <c r="U78">
        <v>4</v>
      </c>
      <c r="V78">
        <v>0.7</v>
      </c>
      <c r="X78">
        <f t="shared" si="25"/>
        <v>0.70699999999999996</v>
      </c>
      <c r="Y78">
        <f t="shared" si="26"/>
        <v>0.71399999999999997</v>
      </c>
      <c r="Z78">
        <f t="shared" si="27"/>
        <v>0.72099999999999997</v>
      </c>
      <c r="AA78">
        <f t="shared" si="28"/>
        <v>0.72799999999999998</v>
      </c>
      <c r="AB78" s="33">
        <f t="shared" si="29"/>
        <v>0.73499999999999999</v>
      </c>
    </row>
    <row r="79" spans="1:29" x14ac:dyDescent="0.3">
      <c r="A79" s="30">
        <v>4</v>
      </c>
      <c r="B79">
        <v>1.8</v>
      </c>
      <c r="D79">
        <f t="shared" si="30"/>
        <v>1.8180000000000001</v>
      </c>
      <c r="E79">
        <f t="shared" si="31"/>
        <v>1.8360000000000001</v>
      </c>
      <c r="F79">
        <f t="shared" si="32"/>
        <v>1.8540000000000001</v>
      </c>
      <c r="G79">
        <f t="shared" si="33"/>
        <v>1.8720000000000001</v>
      </c>
      <c r="H79" s="33">
        <f t="shared" si="34"/>
        <v>1.8900000000000001</v>
      </c>
      <c r="T79" s="30">
        <v>1</v>
      </c>
      <c r="U79">
        <v>5</v>
      </c>
      <c r="V79">
        <v>0.2</v>
      </c>
      <c r="X79">
        <f t="shared" si="25"/>
        <v>0.20200000000000001</v>
      </c>
      <c r="Y79">
        <f t="shared" si="26"/>
        <v>0.20400000000000001</v>
      </c>
      <c r="Z79">
        <f t="shared" si="27"/>
        <v>0.20600000000000002</v>
      </c>
      <c r="AA79">
        <f t="shared" si="28"/>
        <v>0.20800000000000002</v>
      </c>
      <c r="AB79" s="33">
        <f t="shared" si="29"/>
        <v>0.21000000000000002</v>
      </c>
    </row>
    <row r="80" spans="1:29" x14ac:dyDescent="0.3">
      <c r="A80" s="30"/>
      <c r="H80" s="33"/>
      <c r="T80" s="30">
        <v>1</v>
      </c>
      <c r="U80">
        <v>6</v>
      </c>
      <c r="V80">
        <v>0.4</v>
      </c>
      <c r="X80">
        <f t="shared" si="25"/>
        <v>0.40400000000000003</v>
      </c>
      <c r="Y80">
        <f t="shared" si="26"/>
        <v>0.40800000000000003</v>
      </c>
      <c r="Z80">
        <f t="shared" si="27"/>
        <v>0.41200000000000003</v>
      </c>
      <c r="AA80">
        <f t="shared" si="28"/>
        <v>0.41600000000000004</v>
      </c>
      <c r="AB80" s="33">
        <f t="shared" si="29"/>
        <v>0.42000000000000004</v>
      </c>
    </row>
    <row r="81" spans="1:28" x14ac:dyDescent="0.3">
      <c r="A81" s="30" t="s">
        <v>218</v>
      </c>
      <c r="B81" t="s">
        <v>160</v>
      </c>
      <c r="D81" s="16">
        <f>(D82-B82)/B82*100</f>
        <v>4.2987258881188066E-3</v>
      </c>
      <c r="E81" s="16">
        <f>(E82-B82)/B82*100</f>
        <v>8.5974517762233381E-3</v>
      </c>
      <c r="F81" s="16">
        <f>(F82-B82)/B82*100</f>
        <v>1.2896177664327869E-2</v>
      </c>
      <c r="G81" s="16">
        <f>(G82-B82)/B82*100</f>
        <v>1.7194903552432399E-2</v>
      </c>
      <c r="H81" s="32">
        <f>(H82-B82)/B82*100</f>
        <v>2.1493629440536934E-2</v>
      </c>
      <c r="T81" s="30">
        <v>2</v>
      </c>
      <c r="U81">
        <v>1</v>
      </c>
      <c r="V81">
        <v>0.5</v>
      </c>
      <c r="X81">
        <f t="shared" si="25"/>
        <v>0.505</v>
      </c>
      <c r="Y81">
        <f t="shared" si="26"/>
        <v>0.51</v>
      </c>
      <c r="Z81">
        <f t="shared" si="27"/>
        <v>0.51500000000000001</v>
      </c>
      <c r="AA81">
        <f t="shared" si="28"/>
        <v>0.52</v>
      </c>
      <c r="AB81" s="33">
        <f t="shared" si="29"/>
        <v>0.52500000000000002</v>
      </c>
    </row>
    <row r="82" spans="1:28" x14ac:dyDescent="0.3">
      <c r="A82" s="30" t="s">
        <v>158</v>
      </c>
      <c r="B82" s="21">
        <v>815497.45</v>
      </c>
      <c r="D82" s="21">
        <v>815532.50600000005</v>
      </c>
      <c r="E82" s="21">
        <v>815567.56200000003</v>
      </c>
      <c r="F82" s="21">
        <v>815602.61800000002</v>
      </c>
      <c r="G82" s="21">
        <v>815637.674</v>
      </c>
      <c r="H82" s="31">
        <v>815672.73</v>
      </c>
      <c r="T82" s="30">
        <v>2</v>
      </c>
      <c r="U82">
        <v>2</v>
      </c>
      <c r="V82">
        <v>0.7</v>
      </c>
      <c r="X82">
        <f t="shared" si="25"/>
        <v>0.70699999999999996</v>
      </c>
      <c r="Y82">
        <f t="shared" si="26"/>
        <v>0.71399999999999997</v>
      </c>
      <c r="Z82">
        <f t="shared" si="27"/>
        <v>0.72099999999999997</v>
      </c>
      <c r="AA82">
        <f t="shared" si="28"/>
        <v>0.72799999999999998</v>
      </c>
      <c r="AB82" s="33">
        <f t="shared" si="29"/>
        <v>0.73499999999999999</v>
      </c>
    </row>
    <row r="83" spans="1:28" x14ac:dyDescent="0.3">
      <c r="A83" s="30"/>
      <c r="B83" s="21"/>
      <c r="D83" s="15">
        <f>(D84-B84)/B84*100</f>
        <v>0</v>
      </c>
      <c r="E83" s="15">
        <f>(E84-B84)/B84*100</f>
        <v>0</v>
      </c>
      <c r="F83" s="15">
        <f>(F84-B84)/B84*100</f>
        <v>0</v>
      </c>
      <c r="G83" s="15">
        <f>(G84-B84)/B84*100</f>
        <v>0</v>
      </c>
      <c r="H83" s="56">
        <f>(H84-B84)/B84*100</f>
        <v>0</v>
      </c>
      <c r="T83" s="30">
        <v>2</v>
      </c>
      <c r="U83">
        <v>3</v>
      </c>
      <c r="V83">
        <v>0.2</v>
      </c>
      <c r="X83">
        <f t="shared" si="25"/>
        <v>0.20200000000000001</v>
      </c>
      <c r="Y83">
        <f t="shared" si="26"/>
        <v>0.20400000000000001</v>
      </c>
      <c r="Z83">
        <f t="shared" si="27"/>
        <v>0.20600000000000002</v>
      </c>
      <c r="AA83">
        <f t="shared" si="28"/>
        <v>0.20800000000000002</v>
      </c>
      <c r="AB83" s="33">
        <f t="shared" si="29"/>
        <v>0.21000000000000002</v>
      </c>
    </row>
    <row r="84" spans="1:28" x14ac:dyDescent="0.3">
      <c r="A84" s="30" t="s">
        <v>159</v>
      </c>
      <c r="B84" s="21">
        <v>4840.7044030870002</v>
      </c>
      <c r="D84" s="21">
        <v>4840.7044030870002</v>
      </c>
      <c r="E84" s="21">
        <v>4840.7044030870002</v>
      </c>
      <c r="F84" s="21">
        <v>4840.7044030870002</v>
      </c>
      <c r="G84" s="21">
        <v>4840.7044030870002</v>
      </c>
      <c r="H84" s="31">
        <v>4840.7044030870002</v>
      </c>
      <c r="T84" s="30">
        <v>2</v>
      </c>
      <c r="U84">
        <v>4</v>
      </c>
      <c r="V84">
        <v>0.5</v>
      </c>
      <c r="X84">
        <f t="shared" si="25"/>
        <v>0.505</v>
      </c>
      <c r="Y84">
        <f t="shared" si="26"/>
        <v>0.51</v>
      </c>
      <c r="Z84">
        <f t="shared" si="27"/>
        <v>0.51500000000000001</v>
      </c>
      <c r="AA84">
        <f t="shared" si="28"/>
        <v>0.52</v>
      </c>
      <c r="AB84" s="33">
        <f t="shared" si="29"/>
        <v>0.52500000000000002</v>
      </c>
    </row>
    <row r="85" spans="1:28" x14ac:dyDescent="0.3">
      <c r="A85" s="30"/>
      <c r="H85" s="33"/>
      <c r="T85" s="30">
        <v>2</v>
      </c>
      <c r="U85">
        <v>5</v>
      </c>
      <c r="V85">
        <v>0.1</v>
      </c>
      <c r="X85">
        <f t="shared" si="25"/>
        <v>0.10100000000000001</v>
      </c>
      <c r="Y85">
        <f t="shared" si="26"/>
        <v>0.10200000000000001</v>
      </c>
      <c r="Z85">
        <f t="shared" si="27"/>
        <v>0.10300000000000001</v>
      </c>
      <c r="AA85">
        <f t="shared" si="28"/>
        <v>0.10400000000000001</v>
      </c>
      <c r="AB85" s="33">
        <f t="shared" si="29"/>
        <v>0.10500000000000001</v>
      </c>
    </row>
    <row r="86" spans="1:28" x14ac:dyDescent="0.3">
      <c r="A86" s="30"/>
      <c r="H86" s="33"/>
      <c r="T86" s="30">
        <v>2</v>
      </c>
      <c r="U86">
        <v>6</v>
      </c>
      <c r="V86">
        <v>0.5</v>
      </c>
      <c r="X86">
        <f t="shared" si="25"/>
        <v>0.505</v>
      </c>
      <c r="Y86">
        <f t="shared" si="26"/>
        <v>0.51</v>
      </c>
      <c r="Z86">
        <f t="shared" si="27"/>
        <v>0.51500000000000001</v>
      </c>
      <c r="AA86">
        <f t="shared" si="28"/>
        <v>0.52</v>
      </c>
      <c r="AB86" s="33">
        <f t="shared" si="29"/>
        <v>0.52500000000000002</v>
      </c>
    </row>
    <row r="87" spans="1:28" x14ac:dyDescent="0.3">
      <c r="A87" s="30"/>
      <c r="B87" t="s">
        <v>161</v>
      </c>
      <c r="D87" s="16">
        <f>(D88-B88)/B88*100</f>
        <v>1.6054450285278115E-3</v>
      </c>
      <c r="E87" s="16">
        <f>(E88-B88)/B88*100</f>
        <v>5.8980317664050919E-3</v>
      </c>
      <c r="F87" s="16">
        <f>(F88-B88)/B88*100</f>
        <v>1.0190618504282373E-2</v>
      </c>
      <c r="G87" s="16">
        <f>(G88-B88)/B88*100</f>
        <v>1.4483205242173874E-2</v>
      </c>
      <c r="H87" s="32">
        <f>(H88-B88)/B88*100</f>
        <v>1.8775791980051155E-2</v>
      </c>
      <c r="T87" s="30">
        <v>3</v>
      </c>
      <c r="U87">
        <v>1</v>
      </c>
      <c r="V87">
        <v>0.4</v>
      </c>
      <c r="X87">
        <f t="shared" si="25"/>
        <v>0.40400000000000003</v>
      </c>
      <c r="Y87">
        <f>V87+(V87*2%)</f>
        <v>0.40800000000000003</v>
      </c>
      <c r="Z87">
        <f>V87+(V87*3%)</f>
        <v>0.41200000000000003</v>
      </c>
      <c r="AA87">
        <f t="shared" si="28"/>
        <v>0.41600000000000004</v>
      </c>
      <c r="AB87" s="33">
        <f>V87+(V87*5%)</f>
        <v>0.42000000000000004</v>
      </c>
    </row>
    <row r="88" spans="1:28" x14ac:dyDescent="0.3">
      <c r="A88" s="30" t="s">
        <v>158</v>
      </c>
      <c r="B88" s="21">
        <v>818713.8</v>
      </c>
      <c r="D88" s="21">
        <v>818726.94400000002</v>
      </c>
      <c r="E88" s="21">
        <v>818762.08799999999</v>
      </c>
      <c r="F88" s="21">
        <v>818797.23199999996</v>
      </c>
      <c r="G88" s="21">
        <v>818832.37600000005</v>
      </c>
      <c r="H88" s="31">
        <v>818867.52</v>
      </c>
      <c r="T88" s="30">
        <v>3</v>
      </c>
      <c r="U88">
        <v>2</v>
      </c>
      <c r="V88">
        <v>0.7</v>
      </c>
      <c r="X88">
        <f t="shared" si="25"/>
        <v>0.70699999999999996</v>
      </c>
      <c r="Y88">
        <f t="shared" si="26"/>
        <v>0.71399999999999997</v>
      </c>
      <c r="Z88">
        <f t="shared" si="27"/>
        <v>0.72099999999999997</v>
      </c>
      <c r="AA88">
        <f t="shared" si="28"/>
        <v>0.72799999999999998</v>
      </c>
      <c r="AB88" s="33">
        <f t="shared" si="29"/>
        <v>0.73499999999999999</v>
      </c>
    </row>
    <row r="89" spans="1:28" x14ac:dyDescent="0.3">
      <c r="A89" s="30"/>
      <c r="B89" s="21"/>
      <c r="D89" s="15">
        <f>(D90-B90)/B90*100</f>
        <v>5.4391227370104312E-3</v>
      </c>
      <c r="E89" s="15">
        <f>(E90-B90)/B90*100</f>
        <v>5.4391227370104312E-3</v>
      </c>
      <c r="F89" s="15">
        <f>(F90-B90)/B90*100</f>
        <v>5.4391227370104312E-3</v>
      </c>
      <c r="G89" s="15">
        <f>(G90-B90)/B90*100</f>
        <v>5.4391227370104312E-3</v>
      </c>
      <c r="H89" s="56">
        <f>(H90-B90)/B90*100</f>
        <v>5.4391227370104312E-3</v>
      </c>
      <c r="T89" s="30">
        <v>3</v>
      </c>
      <c r="U89">
        <v>3</v>
      </c>
      <c r="V89">
        <v>0.8</v>
      </c>
      <c r="X89">
        <f t="shared" si="25"/>
        <v>0.80800000000000005</v>
      </c>
      <c r="Y89">
        <f t="shared" si="26"/>
        <v>0.81600000000000006</v>
      </c>
      <c r="Z89">
        <f t="shared" si="27"/>
        <v>0.82400000000000007</v>
      </c>
      <c r="AA89">
        <f t="shared" si="28"/>
        <v>0.83200000000000007</v>
      </c>
      <c r="AB89" s="33">
        <f t="shared" si="29"/>
        <v>0.84000000000000008</v>
      </c>
    </row>
    <row r="90" spans="1:28" x14ac:dyDescent="0.3">
      <c r="A90" s="30" t="s">
        <v>159</v>
      </c>
      <c r="B90" s="21">
        <v>4757.7240947110004</v>
      </c>
      <c r="C90" t="s">
        <v>238</v>
      </c>
      <c r="D90" s="21">
        <v>4757.982873164</v>
      </c>
      <c r="E90" s="21">
        <v>4757.982873164</v>
      </c>
      <c r="F90" s="21">
        <v>4757.982873164</v>
      </c>
      <c r="G90" s="21">
        <v>4757.982873164</v>
      </c>
      <c r="H90" s="31">
        <v>4757.982873164</v>
      </c>
      <c r="T90" s="30">
        <v>3</v>
      </c>
      <c r="U90">
        <v>4</v>
      </c>
      <c r="V90">
        <v>0.3</v>
      </c>
      <c r="X90">
        <f t="shared" si="25"/>
        <v>0.30299999999999999</v>
      </c>
      <c r="Y90">
        <f t="shared" si="26"/>
        <v>0.30599999999999999</v>
      </c>
      <c r="Z90">
        <f t="shared" si="27"/>
        <v>0.309</v>
      </c>
      <c r="AA90">
        <f t="shared" si="28"/>
        <v>0.312</v>
      </c>
      <c r="AB90" s="33">
        <f t="shared" si="29"/>
        <v>0.315</v>
      </c>
    </row>
    <row r="91" spans="1:28" x14ac:dyDescent="0.3">
      <c r="A91" s="34"/>
      <c r="B91" s="22"/>
      <c r="C91" s="22"/>
      <c r="D91" s="22"/>
      <c r="E91" s="22"/>
      <c r="F91" s="22"/>
      <c r="G91" s="22"/>
      <c r="H91" s="40"/>
      <c r="T91" s="30">
        <v>3</v>
      </c>
      <c r="U91">
        <v>5</v>
      </c>
      <c r="V91">
        <v>0.8</v>
      </c>
      <c r="X91">
        <f t="shared" si="25"/>
        <v>0.80800000000000005</v>
      </c>
      <c r="Y91">
        <f t="shared" si="26"/>
        <v>0.81600000000000006</v>
      </c>
      <c r="Z91">
        <f t="shared" si="27"/>
        <v>0.82400000000000007</v>
      </c>
      <c r="AA91">
        <f t="shared" si="28"/>
        <v>0.83200000000000007</v>
      </c>
      <c r="AB91" s="33">
        <f t="shared" si="29"/>
        <v>0.84000000000000008</v>
      </c>
    </row>
    <row r="92" spans="1:28" x14ac:dyDescent="0.3">
      <c r="T92" s="30">
        <v>3</v>
      </c>
      <c r="U92">
        <v>6</v>
      </c>
      <c r="V92">
        <v>0.4</v>
      </c>
      <c r="X92">
        <f t="shared" si="25"/>
        <v>0.40400000000000003</v>
      </c>
      <c r="Y92">
        <f t="shared" si="26"/>
        <v>0.40800000000000003</v>
      </c>
      <c r="Z92">
        <f t="shared" si="27"/>
        <v>0.41200000000000003</v>
      </c>
      <c r="AA92">
        <f t="shared" si="28"/>
        <v>0.41600000000000004</v>
      </c>
      <c r="AB92" s="33">
        <f t="shared" si="29"/>
        <v>0.42000000000000004</v>
      </c>
    </row>
    <row r="93" spans="1:28" x14ac:dyDescent="0.3">
      <c r="A93" s="64" t="s">
        <v>24</v>
      </c>
      <c r="B93" s="65"/>
      <c r="C93" s="65"/>
      <c r="D93" s="65"/>
      <c r="E93" s="65"/>
      <c r="F93" s="65"/>
      <c r="G93" s="65"/>
      <c r="H93" s="65"/>
      <c r="I93" s="66"/>
      <c r="T93" s="30"/>
      <c r="AB93" s="33"/>
    </row>
    <row r="94" spans="1:28" x14ac:dyDescent="0.3">
      <c r="A94" s="57" t="s">
        <v>25</v>
      </c>
      <c r="I94" s="33"/>
      <c r="T94" s="30" t="s">
        <v>192</v>
      </c>
      <c r="U94" t="s">
        <v>160</v>
      </c>
      <c r="X94" s="16">
        <f>(X95-U95)/U95*100</f>
        <v>3.7676348277670968E-3</v>
      </c>
      <c r="Y94" s="16">
        <f>(Y95-U95)/U95*100</f>
        <v>7.535269676182732E-3</v>
      </c>
      <c r="Z94" s="16">
        <f>(Z95-U95)/U95*100</f>
        <v>1.1302904524617154E-2</v>
      </c>
      <c r="AA94" s="16">
        <f>(AA95-U95)/U95*100</f>
        <v>1.5070539352384253E-2</v>
      </c>
      <c r="AB94" s="32">
        <f>(AB95-U95)/U95*100</f>
        <v>1.8838174200818673E-2</v>
      </c>
    </row>
    <row r="95" spans="1:28" x14ac:dyDescent="0.3">
      <c r="A95" s="58" t="s">
        <v>26</v>
      </c>
      <c r="I95" s="33"/>
      <c r="T95" s="30" t="s">
        <v>178</v>
      </c>
      <c r="U95" s="21">
        <v>4840.7044030870002</v>
      </c>
      <c r="V95" s="21"/>
      <c r="X95" s="21">
        <v>4840.8867831520001</v>
      </c>
      <c r="Y95" s="21">
        <v>4841.0691632179996</v>
      </c>
      <c r="Z95" s="21">
        <v>4841.251543284</v>
      </c>
      <c r="AA95" s="21">
        <v>4841.433923349</v>
      </c>
      <c r="AB95" s="31">
        <v>4841.6163034150004</v>
      </c>
    </row>
    <row r="96" spans="1:28" x14ac:dyDescent="0.3">
      <c r="A96" s="58" t="s">
        <v>27</v>
      </c>
      <c r="I96" s="33"/>
      <c r="T96" s="30"/>
      <c r="U96" s="21"/>
      <c r="V96" s="21"/>
      <c r="X96" s="15">
        <f>(X97-U97)/U97*100</f>
        <v>0</v>
      </c>
      <c r="Y96" s="15">
        <f>(Y97-U97)/U97*100</f>
        <v>0</v>
      </c>
      <c r="Z96" s="15">
        <f>(Z97-U97)/U97*100</f>
        <v>0</v>
      </c>
      <c r="AA96" s="15">
        <f>(AA97-U97)/U97*100</f>
        <v>0</v>
      </c>
      <c r="AB96" s="56">
        <f>(AB97-U97)/U97*100</f>
        <v>0</v>
      </c>
    </row>
    <row r="97" spans="1:28" x14ac:dyDescent="0.3">
      <c r="A97" s="30"/>
      <c r="I97" s="33"/>
      <c r="T97" s="30" t="s">
        <v>158</v>
      </c>
      <c r="U97" s="21">
        <v>815497.45</v>
      </c>
      <c r="V97" s="21"/>
      <c r="X97" s="21">
        <v>815497.45</v>
      </c>
      <c r="Y97" s="21">
        <v>815497.45</v>
      </c>
      <c r="Z97" s="21">
        <v>815497.45</v>
      </c>
      <c r="AA97" s="21">
        <v>815497.45</v>
      </c>
      <c r="AB97" s="31">
        <v>815497.45</v>
      </c>
    </row>
    <row r="98" spans="1:28" x14ac:dyDescent="0.3">
      <c r="A98" s="30" t="s">
        <v>28</v>
      </c>
      <c r="B98" t="s">
        <v>10</v>
      </c>
      <c r="C98" t="s">
        <v>29</v>
      </c>
      <c r="E98" s="20">
        <v>0.01</v>
      </c>
      <c r="F98" s="20">
        <v>0.02</v>
      </c>
      <c r="G98" s="20">
        <v>0.03</v>
      </c>
      <c r="H98" s="20">
        <v>0.04</v>
      </c>
      <c r="I98" s="55">
        <v>0.05</v>
      </c>
      <c r="T98" s="30"/>
      <c r="AB98" s="33"/>
    </row>
    <row r="99" spans="1:28" x14ac:dyDescent="0.3">
      <c r="A99" s="30">
        <v>1</v>
      </c>
      <c r="B99">
        <v>1</v>
      </c>
      <c r="C99">
        <v>2.8</v>
      </c>
      <c r="E99">
        <f>C99+(C99*1%)</f>
        <v>2.8279999999999998</v>
      </c>
      <c r="F99">
        <f>C99+(C99*2%)</f>
        <v>2.8559999999999999</v>
      </c>
      <c r="G99">
        <f>C99+(C99*3%)</f>
        <v>2.8839999999999999</v>
      </c>
      <c r="H99">
        <f>C99+(C99*4%)</f>
        <v>2.9119999999999999</v>
      </c>
      <c r="I99" s="33">
        <f>C99+(C99*5%)</f>
        <v>2.94</v>
      </c>
      <c r="T99" s="30"/>
      <c r="AB99" s="33"/>
    </row>
    <row r="100" spans="1:28" x14ac:dyDescent="0.3">
      <c r="A100" s="30">
        <v>1</v>
      </c>
      <c r="B100">
        <v>2</v>
      </c>
      <c r="C100">
        <v>3.3</v>
      </c>
      <c r="E100">
        <f t="shared" ref="E100:E116" si="35">C100+(C100*1%)</f>
        <v>3.3329999999999997</v>
      </c>
      <c r="F100">
        <f t="shared" ref="F100:F116" si="36">C100+(C100*2%)</f>
        <v>3.3659999999999997</v>
      </c>
      <c r="G100">
        <f t="shared" ref="G100:G116" si="37">C100+(C100*3%)</f>
        <v>3.399</v>
      </c>
      <c r="H100">
        <f t="shared" ref="H100:H116" si="38">C100+(C100*4%)</f>
        <v>3.4319999999999999</v>
      </c>
      <c r="I100" s="33">
        <f t="shared" ref="I100:I116" si="39">C100+(C100*5%)</f>
        <v>3.4649999999999999</v>
      </c>
      <c r="T100" s="30"/>
      <c r="U100" t="s">
        <v>161</v>
      </c>
      <c r="X100" s="16">
        <f>(X101-U101)/U101*100</f>
        <v>1.8274324502359433E-3</v>
      </c>
      <c r="Y100" s="16">
        <f>(Y101-U101)/U101*100</f>
        <v>7.0649578939087762E-3</v>
      </c>
      <c r="Z100" s="16">
        <f>(Z101-U101)/U101*100</f>
        <v>2.7393892627014292E-3</v>
      </c>
      <c r="AA100" s="16">
        <f>(AA101-U101)/U101*100</f>
        <v>2.3609221628638939E-2</v>
      </c>
      <c r="AB100" s="32">
        <f>(AB101-U101)/U101*100</f>
        <v>2.7469413799192592E-2</v>
      </c>
    </row>
    <row r="101" spans="1:28" x14ac:dyDescent="0.3">
      <c r="A101" s="30">
        <v>1</v>
      </c>
      <c r="B101">
        <v>3</v>
      </c>
      <c r="C101">
        <v>1.4</v>
      </c>
      <c r="E101">
        <f t="shared" si="35"/>
        <v>1.4139999999999999</v>
      </c>
      <c r="F101">
        <f t="shared" si="36"/>
        <v>1.4279999999999999</v>
      </c>
      <c r="G101">
        <f t="shared" si="37"/>
        <v>1.4419999999999999</v>
      </c>
      <c r="H101">
        <f t="shared" si="38"/>
        <v>1.456</v>
      </c>
      <c r="I101" s="33">
        <f t="shared" si="39"/>
        <v>1.47</v>
      </c>
      <c r="T101" s="30" t="s">
        <v>178</v>
      </c>
      <c r="U101" s="21">
        <v>4757.7240947110004</v>
      </c>
      <c r="V101" s="21"/>
      <c r="X101" s="21">
        <v>4757.8110389049998</v>
      </c>
      <c r="Y101" s="21">
        <v>4758.060225915</v>
      </c>
      <c r="Z101" s="21">
        <v>4757.8544272939998</v>
      </c>
      <c r="AA101" s="21">
        <v>4758.8473563369998</v>
      </c>
      <c r="AB101" s="31">
        <v>4759.0310136300004</v>
      </c>
    </row>
    <row r="102" spans="1:28" x14ac:dyDescent="0.3">
      <c r="A102" s="30">
        <v>1</v>
      </c>
      <c r="B102">
        <v>4</v>
      </c>
      <c r="C102">
        <v>3.7</v>
      </c>
      <c r="E102">
        <f t="shared" si="35"/>
        <v>3.7370000000000001</v>
      </c>
      <c r="F102">
        <f t="shared" si="36"/>
        <v>3.774</v>
      </c>
      <c r="G102">
        <f t="shared" si="37"/>
        <v>3.8110000000000004</v>
      </c>
      <c r="H102">
        <f t="shared" si="38"/>
        <v>3.8480000000000003</v>
      </c>
      <c r="I102" s="33">
        <f t="shared" si="39"/>
        <v>3.8850000000000002</v>
      </c>
      <c r="T102" s="30"/>
      <c r="U102" s="21"/>
      <c r="V102" s="21"/>
      <c r="X102" s="15">
        <f>(X103-U103)/U103*100</f>
        <v>2.1985704893824319E-4</v>
      </c>
      <c r="Y102" s="15">
        <f>(Y103-U103)/U103*100</f>
        <v>-2.8703559168051151E-3</v>
      </c>
      <c r="Z102" s="15">
        <f>(Z103-U103)/U103*100</f>
        <v>1.4290708181483485E-3</v>
      </c>
      <c r="AA102" s="15">
        <f>(AA103-U103)/U103*100</f>
        <v>-1.3826565522661257E-2</v>
      </c>
      <c r="AB102" s="56">
        <f>(AB103-U103)/U103*100</f>
        <v>-1.4498350949998625E-2</v>
      </c>
    </row>
    <row r="103" spans="1:28" x14ac:dyDescent="0.3">
      <c r="A103" s="30">
        <v>1</v>
      </c>
      <c r="B103">
        <v>5</v>
      </c>
      <c r="C103">
        <v>2.7</v>
      </c>
      <c r="E103">
        <f t="shared" si="35"/>
        <v>2.7270000000000003</v>
      </c>
      <c r="F103">
        <f t="shared" si="36"/>
        <v>2.754</v>
      </c>
      <c r="G103">
        <f t="shared" si="37"/>
        <v>2.7810000000000001</v>
      </c>
      <c r="H103">
        <f t="shared" si="38"/>
        <v>2.8080000000000003</v>
      </c>
      <c r="I103" s="33">
        <f t="shared" si="39"/>
        <v>2.835</v>
      </c>
      <c r="T103" s="30" t="s">
        <v>158</v>
      </c>
      <c r="U103" s="21">
        <v>818713.8</v>
      </c>
      <c r="V103" s="21"/>
      <c r="W103" t="s">
        <v>238</v>
      </c>
      <c r="X103" s="21">
        <v>818715.6</v>
      </c>
      <c r="Y103" s="21">
        <v>818690.3</v>
      </c>
      <c r="Z103" s="21">
        <v>818725.5</v>
      </c>
      <c r="AA103" s="21">
        <v>818600.6</v>
      </c>
      <c r="AB103" s="31">
        <v>818595.1</v>
      </c>
    </row>
    <row r="104" spans="1:28" x14ac:dyDescent="0.3">
      <c r="A104" s="30">
        <v>1</v>
      </c>
      <c r="B104">
        <v>6</v>
      </c>
      <c r="C104">
        <v>4.2</v>
      </c>
      <c r="E104">
        <f t="shared" si="35"/>
        <v>4.242</v>
      </c>
      <c r="F104">
        <f t="shared" si="36"/>
        <v>4.2839999999999998</v>
      </c>
      <c r="G104">
        <f t="shared" si="37"/>
        <v>4.3260000000000005</v>
      </c>
      <c r="H104">
        <f t="shared" si="38"/>
        <v>4.3680000000000003</v>
      </c>
      <c r="I104" s="33">
        <f t="shared" si="39"/>
        <v>4.41</v>
      </c>
      <c r="T104" s="34"/>
      <c r="U104" s="22"/>
      <c r="V104" s="22"/>
      <c r="W104" s="22"/>
      <c r="X104" s="22"/>
      <c r="Y104" s="22"/>
      <c r="Z104" s="22"/>
      <c r="AA104" s="22"/>
      <c r="AB104" s="40"/>
    </row>
    <row r="105" spans="1:28" x14ac:dyDescent="0.3">
      <c r="A105" s="30">
        <v>2</v>
      </c>
      <c r="B105">
        <v>1</v>
      </c>
      <c r="C105">
        <v>2.2999999999999998</v>
      </c>
      <c r="E105">
        <f>C105+(C105*1%)</f>
        <v>2.323</v>
      </c>
      <c r="F105">
        <f t="shared" si="36"/>
        <v>2.3459999999999996</v>
      </c>
      <c r="G105">
        <f t="shared" si="37"/>
        <v>2.3689999999999998</v>
      </c>
      <c r="H105">
        <f t="shared" si="38"/>
        <v>2.3919999999999999</v>
      </c>
      <c r="I105" s="33">
        <f t="shared" si="39"/>
        <v>2.415</v>
      </c>
    </row>
    <row r="106" spans="1:28" x14ac:dyDescent="0.3">
      <c r="A106" s="30">
        <v>2</v>
      </c>
      <c r="B106">
        <v>2</v>
      </c>
      <c r="C106">
        <v>4.2</v>
      </c>
      <c r="E106">
        <f t="shared" si="35"/>
        <v>4.242</v>
      </c>
      <c r="F106">
        <f t="shared" si="36"/>
        <v>4.2839999999999998</v>
      </c>
      <c r="G106">
        <f t="shared" si="37"/>
        <v>4.3260000000000005</v>
      </c>
      <c r="H106">
        <f t="shared" si="38"/>
        <v>4.3680000000000003</v>
      </c>
      <c r="I106" s="33">
        <f t="shared" si="39"/>
        <v>4.41</v>
      </c>
      <c r="T106" s="64" t="s">
        <v>88</v>
      </c>
      <c r="U106" s="65"/>
      <c r="V106" s="65"/>
      <c r="W106" s="65"/>
      <c r="X106" s="65"/>
      <c r="Y106" s="65"/>
      <c r="Z106" s="65"/>
      <c r="AA106" s="65"/>
      <c r="AB106" s="66"/>
    </row>
    <row r="107" spans="1:28" x14ac:dyDescent="0.3">
      <c r="A107" s="30">
        <v>2</v>
      </c>
      <c r="B107">
        <v>3</v>
      </c>
      <c r="C107">
        <v>3.7</v>
      </c>
      <c r="E107">
        <f t="shared" si="35"/>
        <v>3.7370000000000001</v>
      </c>
      <c r="F107">
        <f t="shared" si="36"/>
        <v>3.774</v>
      </c>
      <c r="G107">
        <f t="shared" si="37"/>
        <v>3.8110000000000004</v>
      </c>
      <c r="H107">
        <f t="shared" si="38"/>
        <v>3.8480000000000003</v>
      </c>
      <c r="I107" s="33">
        <f t="shared" si="39"/>
        <v>3.8850000000000002</v>
      </c>
      <c r="T107" s="57" t="s">
        <v>78</v>
      </c>
      <c r="AB107" s="33"/>
    </row>
    <row r="108" spans="1:28" x14ac:dyDescent="0.3">
      <c r="A108" s="30">
        <v>2</v>
      </c>
      <c r="B108">
        <v>4</v>
      </c>
      <c r="C108">
        <v>3.6</v>
      </c>
      <c r="E108">
        <f t="shared" si="35"/>
        <v>3.6360000000000001</v>
      </c>
      <c r="F108">
        <f t="shared" si="36"/>
        <v>3.6720000000000002</v>
      </c>
      <c r="G108">
        <f t="shared" si="37"/>
        <v>3.7080000000000002</v>
      </c>
      <c r="H108">
        <f t="shared" si="38"/>
        <v>3.7440000000000002</v>
      </c>
      <c r="I108" s="33">
        <f t="shared" si="39"/>
        <v>3.7800000000000002</v>
      </c>
      <c r="T108" s="58" t="s">
        <v>79</v>
      </c>
      <c r="AB108" s="33"/>
    </row>
    <row r="109" spans="1:28" x14ac:dyDescent="0.3">
      <c r="A109" s="30">
        <v>2</v>
      </c>
      <c r="B109">
        <v>5</v>
      </c>
      <c r="C109">
        <v>2.6</v>
      </c>
      <c r="E109">
        <f t="shared" si="35"/>
        <v>2.6259999999999999</v>
      </c>
      <c r="F109">
        <f t="shared" si="36"/>
        <v>2.6520000000000001</v>
      </c>
      <c r="G109">
        <f t="shared" si="37"/>
        <v>2.6779999999999999</v>
      </c>
      <c r="H109">
        <f t="shared" si="38"/>
        <v>2.7040000000000002</v>
      </c>
      <c r="I109" s="33">
        <f t="shared" si="39"/>
        <v>2.73</v>
      </c>
      <c r="T109" s="30"/>
      <c r="AB109" s="33"/>
    </row>
    <row r="110" spans="1:28" x14ac:dyDescent="0.3">
      <c r="A110" s="30">
        <v>2</v>
      </c>
      <c r="B110">
        <v>6</v>
      </c>
      <c r="C110">
        <v>2.4</v>
      </c>
      <c r="E110">
        <f t="shared" si="35"/>
        <v>2.4239999999999999</v>
      </c>
      <c r="F110">
        <f t="shared" si="36"/>
        <v>2.448</v>
      </c>
      <c r="G110">
        <f t="shared" si="37"/>
        <v>2.472</v>
      </c>
      <c r="H110">
        <f t="shared" si="38"/>
        <v>2.496</v>
      </c>
      <c r="I110" s="33">
        <f t="shared" si="39"/>
        <v>2.52</v>
      </c>
      <c r="T110" s="30" t="s">
        <v>72</v>
      </c>
      <c r="U110" t="s">
        <v>10</v>
      </c>
      <c r="V110" t="s">
        <v>90</v>
      </c>
      <c r="X110" s="20">
        <v>0.01</v>
      </c>
      <c r="Y110" s="20">
        <v>0.02</v>
      </c>
      <c r="Z110" s="20">
        <v>0.03</v>
      </c>
      <c r="AA110" s="20">
        <v>0.04</v>
      </c>
      <c r="AB110" s="55">
        <v>0.05</v>
      </c>
    </row>
    <row r="111" spans="1:28" x14ac:dyDescent="0.3">
      <c r="A111" s="30">
        <v>3</v>
      </c>
      <c r="B111">
        <v>1</v>
      </c>
      <c r="C111">
        <v>3.2</v>
      </c>
      <c r="E111">
        <f t="shared" si="35"/>
        <v>3.2320000000000002</v>
      </c>
      <c r="F111">
        <f>C111+(C111*2%)</f>
        <v>3.2640000000000002</v>
      </c>
      <c r="G111">
        <f t="shared" si="37"/>
        <v>3.2960000000000003</v>
      </c>
      <c r="H111">
        <f>C111+(C111*4%)</f>
        <v>3.3280000000000003</v>
      </c>
      <c r="I111" s="33">
        <f t="shared" si="39"/>
        <v>3.3600000000000003</v>
      </c>
      <c r="T111" s="30">
        <v>1</v>
      </c>
      <c r="U111">
        <v>1</v>
      </c>
      <c r="V111">
        <v>0.3</v>
      </c>
      <c r="X111">
        <f>V111+(V111*1%)</f>
        <v>0.30299999999999999</v>
      </c>
      <c r="Y111">
        <f>V111+(V111*2%)</f>
        <v>0.30599999999999999</v>
      </c>
      <c r="Z111">
        <f>V111+V111*3%</f>
        <v>0.309</v>
      </c>
      <c r="AA111">
        <f>V111+(V111*4%)</f>
        <v>0.312</v>
      </c>
      <c r="AB111" s="33">
        <f>V111+(V111*5%)</f>
        <v>0.315</v>
      </c>
    </row>
    <row r="112" spans="1:28" x14ac:dyDescent="0.3">
      <c r="A112" s="30">
        <v>3</v>
      </c>
      <c r="B112">
        <v>2</v>
      </c>
      <c r="C112">
        <v>3.7</v>
      </c>
      <c r="E112">
        <f t="shared" si="35"/>
        <v>3.7370000000000001</v>
      </c>
      <c r="F112">
        <f t="shared" si="36"/>
        <v>3.774</v>
      </c>
      <c r="G112">
        <f t="shared" si="37"/>
        <v>3.8110000000000004</v>
      </c>
      <c r="H112">
        <f t="shared" si="38"/>
        <v>3.8480000000000003</v>
      </c>
      <c r="I112" s="33">
        <f t="shared" si="39"/>
        <v>3.8850000000000002</v>
      </c>
      <c r="T112" s="30">
        <v>1</v>
      </c>
      <c r="U112">
        <v>2</v>
      </c>
      <c r="V112">
        <v>0.4</v>
      </c>
      <c r="X112">
        <f t="shared" ref="X112:X122" si="40">V112+(V112*1%)</f>
        <v>0.40400000000000003</v>
      </c>
      <c r="Y112">
        <f t="shared" ref="Y112:Y122" si="41">V112+(V112*2%)</f>
        <v>0.40800000000000003</v>
      </c>
      <c r="Z112">
        <f t="shared" ref="Z112:Z122" si="42">V112+(V112*3%)</f>
        <v>0.41200000000000003</v>
      </c>
      <c r="AA112">
        <f t="shared" ref="AA112:AA122" si="43">V112+(V112*4%)</f>
        <v>0.41600000000000004</v>
      </c>
      <c r="AB112" s="33">
        <f t="shared" ref="AB112:AB122" si="44">V112+(V112*5%)</f>
        <v>0.42000000000000004</v>
      </c>
    </row>
    <row r="113" spans="1:28" x14ac:dyDescent="0.3">
      <c r="A113" s="30">
        <v>3</v>
      </c>
      <c r="B113">
        <v>3</v>
      </c>
      <c r="C113">
        <v>4.0999999999999996</v>
      </c>
      <c r="E113">
        <f t="shared" si="35"/>
        <v>4.141</v>
      </c>
      <c r="F113">
        <f t="shared" si="36"/>
        <v>4.1819999999999995</v>
      </c>
      <c r="G113">
        <f t="shared" si="37"/>
        <v>4.2229999999999999</v>
      </c>
      <c r="H113">
        <f t="shared" si="38"/>
        <v>4.2639999999999993</v>
      </c>
      <c r="I113" s="33">
        <f t="shared" si="39"/>
        <v>4.3049999999999997</v>
      </c>
      <c r="T113" s="30">
        <v>1</v>
      </c>
      <c r="U113">
        <v>3</v>
      </c>
      <c r="V113">
        <v>0.3</v>
      </c>
      <c r="X113">
        <f t="shared" si="40"/>
        <v>0.30299999999999999</v>
      </c>
      <c r="Y113">
        <f t="shared" si="41"/>
        <v>0.30599999999999999</v>
      </c>
      <c r="Z113">
        <f t="shared" si="42"/>
        <v>0.309</v>
      </c>
      <c r="AA113">
        <f t="shared" si="43"/>
        <v>0.312</v>
      </c>
      <c r="AB113" s="33">
        <f t="shared" si="44"/>
        <v>0.315</v>
      </c>
    </row>
    <row r="114" spans="1:28" x14ac:dyDescent="0.3">
      <c r="A114" s="30">
        <v>3</v>
      </c>
      <c r="B114">
        <v>4</v>
      </c>
      <c r="C114">
        <v>1.7</v>
      </c>
      <c r="E114">
        <f t="shared" si="35"/>
        <v>1.7169999999999999</v>
      </c>
      <c r="F114">
        <f t="shared" si="36"/>
        <v>1.734</v>
      </c>
      <c r="G114">
        <f t="shared" si="37"/>
        <v>1.7509999999999999</v>
      </c>
      <c r="H114">
        <f t="shared" si="38"/>
        <v>1.768</v>
      </c>
      <c r="I114" s="33">
        <f t="shared" si="39"/>
        <v>1.7849999999999999</v>
      </c>
      <c r="T114" s="30">
        <v>1</v>
      </c>
      <c r="U114">
        <v>4</v>
      </c>
      <c r="V114">
        <v>0.2</v>
      </c>
      <c r="X114">
        <f t="shared" si="40"/>
        <v>0.20200000000000001</v>
      </c>
      <c r="Y114">
        <f t="shared" si="41"/>
        <v>0.20400000000000001</v>
      </c>
      <c r="Z114">
        <f t="shared" si="42"/>
        <v>0.20600000000000002</v>
      </c>
      <c r="AA114">
        <f t="shared" si="43"/>
        <v>0.20800000000000002</v>
      </c>
      <c r="AB114" s="33">
        <f t="shared" si="44"/>
        <v>0.21000000000000002</v>
      </c>
    </row>
    <row r="115" spans="1:28" x14ac:dyDescent="0.3">
      <c r="A115" s="30">
        <v>3</v>
      </c>
      <c r="B115">
        <v>5</v>
      </c>
      <c r="C115">
        <v>2.4</v>
      </c>
      <c r="E115">
        <f t="shared" si="35"/>
        <v>2.4239999999999999</v>
      </c>
      <c r="F115">
        <f t="shared" si="36"/>
        <v>2.448</v>
      </c>
      <c r="G115">
        <f t="shared" si="37"/>
        <v>2.472</v>
      </c>
      <c r="H115">
        <f t="shared" si="38"/>
        <v>2.496</v>
      </c>
      <c r="I115" s="33">
        <f t="shared" si="39"/>
        <v>2.52</v>
      </c>
      <c r="T115" s="30">
        <v>1</v>
      </c>
      <c r="U115">
        <v>5</v>
      </c>
      <c r="V115">
        <v>0.5</v>
      </c>
      <c r="X115">
        <f t="shared" si="40"/>
        <v>0.505</v>
      </c>
      <c r="Y115">
        <f t="shared" si="41"/>
        <v>0.51</v>
      </c>
      <c r="Z115">
        <f t="shared" si="42"/>
        <v>0.51500000000000001</v>
      </c>
      <c r="AA115">
        <f t="shared" si="43"/>
        <v>0.52</v>
      </c>
      <c r="AB115" s="33">
        <f t="shared" si="44"/>
        <v>0.52500000000000002</v>
      </c>
    </row>
    <row r="116" spans="1:28" x14ac:dyDescent="0.3">
      <c r="A116" s="30">
        <v>3</v>
      </c>
      <c r="B116">
        <v>6</v>
      </c>
      <c r="C116">
        <v>3.2</v>
      </c>
      <c r="E116">
        <f t="shared" si="35"/>
        <v>3.2320000000000002</v>
      </c>
      <c r="F116">
        <f t="shared" si="36"/>
        <v>3.2640000000000002</v>
      </c>
      <c r="G116">
        <f t="shared" si="37"/>
        <v>3.2960000000000003</v>
      </c>
      <c r="H116">
        <f t="shared" si="38"/>
        <v>3.3280000000000003</v>
      </c>
      <c r="I116" s="33">
        <f t="shared" si="39"/>
        <v>3.3600000000000003</v>
      </c>
      <c r="T116" s="30">
        <v>1</v>
      </c>
      <c r="U116">
        <v>6</v>
      </c>
      <c r="V116">
        <v>0.7</v>
      </c>
      <c r="X116">
        <f t="shared" si="40"/>
        <v>0.70699999999999996</v>
      </c>
      <c r="Y116">
        <f t="shared" si="41"/>
        <v>0.71399999999999997</v>
      </c>
      <c r="Z116">
        <f t="shared" si="42"/>
        <v>0.72099999999999997</v>
      </c>
      <c r="AA116">
        <f t="shared" si="43"/>
        <v>0.72799999999999998</v>
      </c>
      <c r="AB116" s="33">
        <f t="shared" si="44"/>
        <v>0.73499999999999999</v>
      </c>
    </row>
    <row r="117" spans="1:28" x14ac:dyDescent="0.3">
      <c r="A117" s="30"/>
      <c r="I117" s="33"/>
      <c r="T117" s="30">
        <v>2</v>
      </c>
      <c r="U117">
        <v>1</v>
      </c>
      <c r="V117">
        <v>0.6</v>
      </c>
      <c r="X117">
        <f t="shared" si="40"/>
        <v>0.60599999999999998</v>
      </c>
      <c r="Y117">
        <f t="shared" si="41"/>
        <v>0.61199999999999999</v>
      </c>
      <c r="Z117">
        <f t="shared" si="42"/>
        <v>0.61799999999999999</v>
      </c>
      <c r="AA117">
        <f t="shared" si="43"/>
        <v>0.624</v>
      </c>
      <c r="AB117" s="33">
        <f>V117+(V117*5%)</f>
        <v>0.63</v>
      </c>
    </row>
    <row r="118" spans="1:28" x14ac:dyDescent="0.3">
      <c r="A118" s="30" t="s">
        <v>219</v>
      </c>
      <c r="B118" t="s">
        <v>160</v>
      </c>
      <c r="E118" s="16">
        <f>(E119-B119)/B119*100</f>
        <v>2.461197150278799E-3</v>
      </c>
      <c r="F118" s="16">
        <f>(F119-B119)/B119*100</f>
        <v>4.922394300557598E-3</v>
      </c>
      <c r="G118" s="16">
        <f>(G119-B119)/B119*100</f>
        <v>7.3835914508363978E-3</v>
      </c>
      <c r="H118" s="16">
        <f>(H119-B119)/B119*100</f>
        <v>9.8447886011294727E-3</v>
      </c>
      <c r="I118" s="32">
        <f>(I119-B119)/B119*100</f>
        <v>1.2305985751408271E-2</v>
      </c>
      <c r="T118" s="30">
        <v>2</v>
      </c>
      <c r="U118">
        <v>2</v>
      </c>
      <c r="V118">
        <v>0.7</v>
      </c>
      <c r="X118">
        <f t="shared" si="40"/>
        <v>0.70699999999999996</v>
      </c>
      <c r="Y118">
        <f t="shared" si="41"/>
        <v>0.71399999999999997</v>
      </c>
      <c r="Z118">
        <f t="shared" si="42"/>
        <v>0.72099999999999997</v>
      </c>
      <c r="AA118">
        <f t="shared" si="43"/>
        <v>0.72799999999999998</v>
      </c>
      <c r="AB118" s="33">
        <f t="shared" si="44"/>
        <v>0.73499999999999999</v>
      </c>
    </row>
    <row r="119" spans="1:28" x14ac:dyDescent="0.3">
      <c r="A119" s="30" t="s">
        <v>158</v>
      </c>
      <c r="B119" s="21">
        <v>815497.45</v>
      </c>
      <c r="C119" s="21"/>
      <c r="E119" s="21">
        <v>815517.52099999995</v>
      </c>
      <c r="F119" s="21">
        <v>815537.59199999995</v>
      </c>
      <c r="G119" s="21">
        <v>815557.66299999994</v>
      </c>
      <c r="H119" s="21">
        <v>815577.73400000005</v>
      </c>
      <c r="I119" s="31">
        <v>815597.80500000005</v>
      </c>
      <c r="J119" s="21"/>
      <c r="T119" s="30">
        <v>2</v>
      </c>
      <c r="U119">
        <v>3</v>
      </c>
      <c r="V119">
        <v>0.3</v>
      </c>
      <c r="X119">
        <f t="shared" si="40"/>
        <v>0.30299999999999999</v>
      </c>
      <c r="Y119">
        <f t="shared" si="41"/>
        <v>0.30599999999999999</v>
      </c>
      <c r="Z119">
        <f t="shared" si="42"/>
        <v>0.309</v>
      </c>
      <c r="AA119">
        <f t="shared" si="43"/>
        <v>0.312</v>
      </c>
      <c r="AB119" s="33">
        <f t="shared" si="44"/>
        <v>0.315</v>
      </c>
    </row>
    <row r="120" spans="1:28" x14ac:dyDescent="0.3">
      <c r="A120" s="30"/>
      <c r="B120" s="21"/>
      <c r="C120" s="21"/>
      <c r="E120" s="15">
        <f>(E121-B121)/B121*100</f>
        <v>0</v>
      </c>
      <c r="F120" s="15">
        <f>(F121-B121)/B121*100</f>
        <v>0</v>
      </c>
      <c r="G120" s="15">
        <f>(G121-B121)/B121*100</f>
        <v>0</v>
      </c>
      <c r="H120" s="15">
        <f>(H121-B121)/B121*100</f>
        <v>0</v>
      </c>
      <c r="I120" s="56">
        <f>(I121-B121)/B121*100</f>
        <v>0</v>
      </c>
      <c r="J120" s="21"/>
      <c r="T120" s="30">
        <v>2</v>
      </c>
      <c r="U120">
        <v>4</v>
      </c>
      <c r="V120">
        <v>0.8</v>
      </c>
      <c r="X120">
        <f t="shared" si="40"/>
        <v>0.80800000000000005</v>
      </c>
      <c r="Y120">
        <f t="shared" si="41"/>
        <v>0.81600000000000006</v>
      </c>
      <c r="Z120">
        <f t="shared" si="42"/>
        <v>0.82400000000000007</v>
      </c>
      <c r="AA120">
        <f t="shared" si="43"/>
        <v>0.83200000000000007</v>
      </c>
      <c r="AB120" s="33">
        <f t="shared" si="44"/>
        <v>0.84000000000000008</v>
      </c>
    </row>
    <row r="121" spans="1:28" x14ac:dyDescent="0.3">
      <c r="A121" s="30" t="s">
        <v>159</v>
      </c>
      <c r="B121" s="21">
        <v>4840.7044030870002</v>
      </c>
      <c r="C121" s="21"/>
      <c r="E121" s="21">
        <v>4840.7044030870002</v>
      </c>
      <c r="F121" s="21">
        <v>4840.7044030870002</v>
      </c>
      <c r="G121" s="21">
        <v>4840.7044030870002</v>
      </c>
      <c r="H121" s="21">
        <v>4840.7044030870002</v>
      </c>
      <c r="I121" s="31">
        <v>4840.7044030870002</v>
      </c>
      <c r="J121" s="21"/>
      <c r="T121" s="30">
        <v>2</v>
      </c>
      <c r="U121">
        <v>5</v>
      </c>
      <c r="V121">
        <v>0.4</v>
      </c>
      <c r="X121">
        <f t="shared" si="40"/>
        <v>0.40400000000000003</v>
      </c>
      <c r="Y121">
        <f t="shared" si="41"/>
        <v>0.40800000000000003</v>
      </c>
      <c r="Z121">
        <f t="shared" si="42"/>
        <v>0.41200000000000003</v>
      </c>
      <c r="AA121">
        <f t="shared" si="43"/>
        <v>0.41600000000000004</v>
      </c>
      <c r="AB121" s="33">
        <f t="shared" si="44"/>
        <v>0.42000000000000004</v>
      </c>
    </row>
    <row r="122" spans="1:28" x14ac:dyDescent="0.3">
      <c r="A122" s="30"/>
      <c r="I122" s="33"/>
      <c r="T122" s="30">
        <v>2</v>
      </c>
      <c r="U122">
        <v>6</v>
      </c>
      <c r="V122">
        <v>0.6</v>
      </c>
      <c r="X122">
        <f t="shared" si="40"/>
        <v>0.60599999999999998</v>
      </c>
      <c r="Y122">
        <f t="shared" si="41"/>
        <v>0.61199999999999999</v>
      </c>
      <c r="Z122">
        <f t="shared" si="42"/>
        <v>0.61799999999999999</v>
      </c>
      <c r="AA122">
        <f t="shared" si="43"/>
        <v>0.624</v>
      </c>
      <c r="AB122" s="33">
        <f t="shared" si="44"/>
        <v>0.63</v>
      </c>
    </row>
    <row r="123" spans="1:28" x14ac:dyDescent="0.3">
      <c r="A123" s="30"/>
      <c r="I123" s="33"/>
      <c r="T123" s="30"/>
      <c r="AB123" s="33"/>
    </row>
    <row r="124" spans="1:28" x14ac:dyDescent="0.3">
      <c r="A124" s="30"/>
      <c r="B124" t="s">
        <v>161</v>
      </c>
      <c r="E124" s="16">
        <f>(E125-B125)/B125*100</f>
        <v>2.4515282385610543E-3</v>
      </c>
      <c r="F124" s="16">
        <f>(F125-B125)/B125*100</f>
        <v>4.9030564771221086E-3</v>
      </c>
      <c r="G124" s="16">
        <f>(G125-B125)/B125*100</f>
        <v>7.3545847156831629E-3</v>
      </c>
      <c r="H124" s="16">
        <f>(H125-B125)/B125*100</f>
        <v>9.8061129542442171E-3</v>
      </c>
      <c r="I124" s="32">
        <f>(I125-B125)/B125*100</f>
        <v>1.2257641192805273E-2</v>
      </c>
      <c r="T124" s="30" t="s">
        <v>193</v>
      </c>
      <c r="U124" t="s">
        <v>160</v>
      </c>
      <c r="X124" s="16">
        <f>(X125-U125)/U125*100</f>
        <v>2.3757673764665073E-3</v>
      </c>
      <c r="Y124" s="16">
        <f>(Y125-U125)/U125*100</f>
        <v>4.7515347529330145E-3</v>
      </c>
      <c r="Z124" s="16">
        <f>(Z125-U125)/U125*100</f>
        <v>7.1273021294183114E-3</v>
      </c>
      <c r="AA124" s="16">
        <f>(AA125-U125)/U125*100</f>
        <v>9.5030695058848178E-3</v>
      </c>
      <c r="AB124" s="32">
        <f>(AB125-U125)/U125*100</f>
        <v>1.1878836882351324E-2</v>
      </c>
    </row>
    <row r="125" spans="1:28" x14ac:dyDescent="0.3">
      <c r="A125" s="30" t="s">
        <v>158</v>
      </c>
      <c r="B125" s="21">
        <v>818713.8</v>
      </c>
      <c r="C125" s="21"/>
      <c r="E125" s="21">
        <v>818733.87100000004</v>
      </c>
      <c r="F125" s="21">
        <v>818753.94200000004</v>
      </c>
      <c r="G125" s="21">
        <v>818774.01300000004</v>
      </c>
      <c r="H125" s="21">
        <v>818794.08400000003</v>
      </c>
      <c r="I125" s="31">
        <v>818814.15500000003</v>
      </c>
      <c r="J125" s="21"/>
      <c r="T125" s="30" t="s">
        <v>178</v>
      </c>
      <c r="U125" s="21">
        <v>4840.7044030870002</v>
      </c>
      <c r="V125" s="21"/>
      <c r="X125" s="21">
        <v>4840.8194069629999</v>
      </c>
      <c r="Y125" s="21">
        <v>4840.9344108389996</v>
      </c>
      <c r="Z125" s="21">
        <v>4841.0494147150002</v>
      </c>
      <c r="AA125" s="21">
        <v>4841.164418591</v>
      </c>
      <c r="AB125" s="31">
        <v>4841.2794224669997</v>
      </c>
    </row>
    <row r="126" spans="1:28" x14ac:dyDescent="0.3">
      <c r="A126" s="30"/>
      <c r="B126" s="21"/>
      <c r="C126" s="21"/>
      <c r="E126" s="15">
        <f>(E127-B127)/B127*100</f>
        <v>0</v>
      </c>
      <c r="F126" s="15">
        <f>(F127-B127)/B127*100</f>
        <v>0</v>
      </c>
      <c r="G126" s="15">
        <f>(G127-B127)/B127*100</f>
        <v>0</v>
      </c>
      <c r="H126" s="15">
        <f>(H127-B127)/B127*100</f>
        <v>0</v>
      </c>
      <c r="I126" s="56">
        <f>(I127-B127)/B127*100</f>
        <v>0</v>
      </c>
      <c r="J126" s="21"/>
      <c r="T126" s="30"/>
      <c r="U126" s="21"/>
      <c r="V126" s="21"/>
      <c r="X126" s="15">
        <f>(X127-U127)/U127*100</f>
        <v>0</v>
      </c>
      <c r="Y126" s="15">
        <f>(Y127-U127)/U127*100</f>
        <v>0</v>
      </c>
      <c r="Z126" s="15">
        <f>(Z127-U127)/U127*100</f>
        <v>0</v>
      </c>
      <c r="AA126" s="15">
        <f>(AA127-U127)/U127*100</f>
        <v>0</v>
      </c>
      <c r="AB126" s="56">
        <f>(AB127-U127)/U127*100</f>
        <v>0</v>
      </c>
    </row>
    <row r="127" spans="1:28" x14ac:dyDescent="0.3">
      <c r="A127" s="30" t="s">
        <v>159</v>
      </c>
      <c r="B127" s="21">
        <v>4757.7240947110004</v>
      </c>
      <c r="C127" s="21"/>
      <c r="D127" t="s">
        <v>238</v>
      </c>
      <c r="E127" s="21">
        <v>4757.7240947110004</v>
      </c>
      <c r="F127" s="21">
        <v>4757.7240947110004</v>
      </c>
      <c r="G127" s="21">
        <v>4757.7240947110004</v>
      </c>
      <c r="H127" s="21">
        <v>4757.7240947110004</v>
      </c>
      <c r="I127" s="31">
        <v>4757.7240947110004</v>
      </c>
      <c r="J127" s="21"/>
      <c r="T127" s="30" t="s">
        <v>158</v>
      </c>
      <c r="U127" s="21">
        <v>815497.45</v>
      </c>
      <c r="V127" s="21"/>
      <c r="X127" s="21">
        <v>815497.45</v>
      </c>
      <c r="Y127" s="21">
        <v>815497.45</v>
      </c>
      <c r="Z127" s="21">
        <v>815497.45</v>
      </c>
      <c r="AA127" s="21">
        <v>815497.45</v>
      </c>
      <c r="AB127" s="31">
        <v>815497.45</v>
      </c>
    </row>
    <row r="128" spans="1:28" x14ac:dyDescent="0.3">
      <c r="A128" s="34"/>
      <c r="B128" s="22"/>
      <c r="C128" s="22"/>
      <c r="D128" s="22"/>
      <c r="E128" s="22"/>
      <c r="F128" s="22"/>
      <c r="G128" s="22"/>
      <c r="H128" s="22"/>
      <c r="I128" s="40"/>
      <c r="T128" s="30"/>
      <c r="AB128" s="33"/>
    </row>
    <row r="129" spans="1:28" x14ac:dyDescent="0.3">
      <c r="T129" s="30"/>
      <c r="AB129" s="33"/>
    </row>
    <row r="130" spans="1:28" x14ac:dyDescent="0.3">
      <c r="A130" s="64" t="s">
        <v>32</v>
      </c>
      <c r="B130" s="65"/>
      <c r="C130" s="65"/>
      <c r="D130" s="65"/>
      <c r="E130" s="65"/>
      <c r="F130" s="65"/>
      <c r="G130" s="65"/>
      <c r="H130" s="65"/>
      <c r="I130" s="66"/>
      <c r="T130" s="30"/>
      <c r="U130" t="s">
        <v>161</v>
      </c>
      <c r="X130" s="16">
        <f>(X131-U131)/U131*100</f>
        <v>2.0079384406933441E-3</v>
      </c>
      <c r="Y130" s="16">
        <f>(Y131-U131)/U131*100</f>
        <v>4.0158768603588994E-3</v>
      </c>
      <c r="Z130" s="16">
        <f>(Z131-U131)/U131*100</f>
        <v>6.0238153010713589E-3</v>
      </c>
      <c r="AA130" s="16">
        <f>(AA131-U131)/U131*100</f>
        <v>8.0317537207369154E-3</v>
      </c>
      <c r="AB130" s="32">
        <f>(AB131-U131)/U131*100</f>
        <v>1.0039692161449376E-2</v>
      </c>
    </row>
    <row r="131" spans="1:28" x14ac:dyDescent="0.3">
      <c r="A131" s="57" t="s">
        <v>33</v>
      </c>
      <c r="I131" s="33"/>
      <c r="T131" s="30" t="s">
        <v>178</v>
      </c>
      <c r="U131" s="21">
        <v>4757.7240947110004</v>
      </c>
      <c r="V131" s="21"/>
      <c r="X131" s="21">
        <v>4757.8196268820002</v>
      </c>
      <c r="Y131" s="21">
        <v>4757.9151590519996</v>
      </c>
      <c r="Z131" s="21">
        <v>4758.0106912230003</v>
      </c>
      <c r="AA131" s="21">
        <v>4758.1062233929997</v>
      </c>
      <c r="AB131" s="31">
        <v>4758.2017555640005</v>
      </c>
    </row>
    <row r="132" spans="1:28" x14ac:dyDescent="0.3">
      <c r="A132" s="58" t="s">
        <v>34</v>
      </c>
      <c r="I132" s="33"/>
      <c r="T132" s="30"/>
      <c r="U132" s="21"/>
      <c r="V132" s="21"/>
      <c r="X132" s="15">
        <f>(X133-U133)/U133*100</f>
        <v>0</v>
      </c>
      <c r="Y132" s="15">
        <f>(Y133-U133)/U133*100</f>
        <v>0</v>
      </c>
      <c r="Z132" s="15">
        <f>(Z133-U133)/U133*100</f>
        <v>0</v>
      </c>
      <c r="AA132" s="15">
        <f>(AA133-U133)/U133*100</f>
        <v>0</v>
      </c>
      <c r="AB132" s="56">
        <f>(AB133-U133)/U133*100</f>
        <v>0</v>
      </c>
    </row>
    <row r="133" spans="1:28" x14ac:dyDescent="0.3">
      <c r="A133" s="58" t="s">
        <v>35</v>
      </c>
      <c r="I133" s="33"/>
      <c r="T133" s="30" t="s">
        <v>158</v>
      </c>
      <c r="U133" s="21">
        <v>818713.8</v>
      </c>
      <c r="V133" s="21"/>
      <c r="W133" t="s">
        <v>238</v>
      </c>
      <c r="X133" s="21">
        <v>818713.8</v>
      </c>
      <c r="Y133" s="21">
        <v>818713.8</v>
      </c>
      <c r="Z133" s="21">
        <v>818713.8</v>
      </c>
      <c r="AA133" s="21">
        <v>818713.8</v>
      </c>
      <c r="AB133" s="31">
        <v>818713.8</v>
      </c>
    </row>
    <row r="134" spans="1:28" x14ac:dyDescent="0.3">
      <c r="A134" s="30"/>
      <c r="I134" s="33"/>
      <c r="T134" s="34"/>
      <c r="U134" s="22"/>
      <c r="V134" s="22"/>
      <c r="W134" s="22"/>
      <c r="X134" s="22"/>
      <c r="Y134" s="22"/>
      <c r="Z134" s="22"/>
      <c r="AA134" s="22"/>
      <c r="AB134" s="40"/>
    </row>
    <row r="135" spans="1:28" x14ac:dyDescent="0.3">
      <c r="A135" s="30" t="s">
        <v>28</v>
      </c>
      <c r="B135" t="s">
        <v>10</v>
      </c>
      <c r="C135" t="s">
        <v>36</v>
      </c>
      <c r="E135" s="20">
        <v>0.01</v>
      </c>
      <c r="F135" s="20">
        <v>0.02</v>
      </c>
      <c r="G135" s="20">
        <v>0.03</v>
      </c>
      <c r="H135" s="20">
        <v>0.04</v>
      </c>
      <c r="I135" s="55">
        <v>0.05</v>
      </c>
    </row>
    <row r="136" spans="1:28" x14ac:dyDescent="0.3">
      <c r="A136" s="30">
        <v>1</v>
      </c>
      <c r="B136">
        <v>1</v>
      </c>
      <c r="C136">
        <v>5.7</v>
      </c>
      <c r="E136">
        <f>C136+(C136*1%)</f>
        <v>5.7570000000000006</v>
      </c>
      <c r="F136">
        <f>C136+(C136*2%)</f>
        <v>5.8140000000000001</v>
      </c>
      <c r="G136">
        <f>C136+(C136*3%)</f>
        <v>5.8710000000000004</v>
      </c>
      <c r="H136">
        <f>C136+(C136*4%)</f>
        <v>5.9279999999999999</v>
      </c>
      <c r="I136" s="33">
        <f>C136+(C136*5%)</f>
        <v>5.9850000000000003</v>
      </c>
      <c r="T136" s="64" t="s">
        <v>98</v>
      </c>
      <c r="U136" s="65"/>
      <c r="V136" s="65"/>
      <c r="W136" s="65"/>
      <c r="X136" s="65"/>
      <c r="Y136" s="65"/>
      <c r="Z136" s="65"/>
      <c r="AA136" s="66"/>
    </row>
    <row r="137" spans="1:28" x14ac:dyDescent="0.3">
      <c r="A137" s="30">
        <v>1</v>
      </c>
      <c r="B137">
        <v>2</v>
      </c>
      <c r="C137">
        <v>4.2</v>
      </c>
      <c r="E137">
        <f t="shared" ref="E137:E153" si="45">C137+(C137*1%)</f>
        <v>4.242</v>
      </c>
      <c r="F137">
        <f t="shared" ref="F137:F147" si="46">C137+(C137*2%)</f>
        <v>4.2839999999999998</v>
      </c>
      <c r="G137">
        <f t="shared" ref="G137:G153" si="47">C137+(C137*3%)</f>
        <v>4.3260000000000005</v>
      </c>
      <c r="H137">
        <f t="shared" ref="H137:H147" si="48">C137+(C137*4%)</f>
        <v>4.3680000000000003</v>
      </c>
      <c r="I137" s="33">
        <f t="shared" ref="I137:I153" si="49">C137+(C137*5%)</f>
        <v>4.41</v>
      </c>
      <c r="T137" s="57" t="s">
        <v>91</v>
      </c>
      <c r="AA137" s="33"/>
    </row>
    <row r="138" spans="1:28" x14ac:dyDescent="0.3">
      <c r="A138" s="30">
        <v>1</v>
      </c>
      <c r="B138">
        <v>3</v>
      </c>
      <c r="C138">
        <v>4.5999999999999996</v>
      </c>
      <c r="E138">
        <f t="shared" si="45"/>
        <v>4.6459999999999999</v>
      </c>
      <c r="F138">
        <f t="shared" si="46"/>
        <v>4.6919999999999993</v>
      </c>
      <c r="G138">
        <f t="shared" si="47"/>
        <v>4.7379999999999995</v>
      </c>
      <c r="H138">
        <f t="shared" si="48"/>
        <v>4.7839999999999998</v>
      </c>
      <c r="I138" s="33">
        <f t="shared" si="49"/>
        <v>4.83</v>
      </c>
      <c r="T138" s="30"/>
      <c r="AA138" s="33"/>
    </row>
    <row r="139" spans="1:28" x14ac:dyDescent="0.3">
      <c r="A139" s="30">
        <v>1</v>
      </c>
      <c r="B139">
        <v>4</v>
      </c>
      <c r="C139">
        <v>6.4</v>
      </c>
      <c r="E139">
        <f t="shared" si="45"/>
        <v>6.4640000000000004</v>
      </c>
      <c r="F139">
        <f t="shared" si="46"/>
        <v>6.5280000000000005</v>
      </c>
      <c r="G139">
        <f t="shared" si="47"/>
        <v>6.5920000000000005</v>
      </c>
      <c r="H139">
        <f t="shared" si="48"/>
        <v>6.6560000000000006</v>
      </c>
      <c r="I139" s="33">
        <f t="shared" si="49"/>
        <v>6.7200000000000006</v>
      </c>
      <c r="T139" s="30" t="s">
        <v>40</v>
      </c>
      <c r="U139" t="s">
        <v>99</v>
      </c>
      <c r="W139" s="20">
        <v>0.01</v>
      </c>
      <c r="X139" s="20">
        <v>0.02</v>
      </c>
      <c r="Y139" s="20">
        <v>0.03</v>
      </c>
      <c r="Z139" s="20">
        <v>0.04</v>
      </c>
      <c r="AA139" s="55">
        <v>0.05</v>
      </c>
    </row>
    <row r="140" spans="1:28" x14ac:dyDescent="0.3">
      <c r="A140" s="30">
        <v>1</v>
      </c>
      <c r="B140">
        <v>5</v>
      </c>
      <c r="C140">
        <v>4.5999999999999996</v>
      </c>
      <c r="E140">
        <f t="shared" si="45"/>
        <v>4.6459999999999999</v>
      </c>
      <c r="F140">
        <f t="shared" si="46"/>
        <v>4.6919999999999993</v>
      </c>
      <c r="G140">
        <f t="shared" si="47"/>
        <v>4.7379999999999995</v>
      </c>
      <c r="H140">
        <f t="shared" si="48"/>
        <v>4.7839999999999998</v>
      </c>
      <c r="I140" s="33">
        <f t="shared" si="49"/>
        <v>4.83</v>
      </c>
      <c r="T140" s="30">
        <v>1</v>
      </c>
      <c r="U140">
        <v>40</v>
      </c>
      <c r="W140">
        <f>U140+(U140*1%)</f>
        <v>40.4</v>
      </c>
      <c r="X140">
        <f>U140+(U140*2%)</f>
        <v>40.799999999999997</v>
      </c>
      <c r="Y140">
        <f>U140+(U140*3%)</f>
        <v>41.2</v>
      </c>
      <c r="Z140">
        <f>U140+(U140*4%)</f>
        <v>41.6</v>
      </c>
      <c r="AA140" s="33">
        <f>U140+(U140*5%)</f>
        <v>42</v>
      </c>
    </row>
    <row r="141" spans="1:28" x14ac:dyDescent="0.3">
      <c r="A141" s="30">
        <v>1</v>
      </c>
      <c r="B141">
        <v>6</v>
      </c>
      <c r="C141">
        <v>4.2</v>
      </c>
      <c r="E141">
        <f t="shared" si="45"/>
        <v>4.242</v>
      </c>
      <c r="F141">
        <f t="shared" si="46"/>
        <v>4.2839999999999998</v>
      </c>
      <c r="G141">
        <f t="shared" si="47"/>
        <v>4.3260000000000005</v>
      </c>
      <c r="H141">
        <f t="shared" si="48"/>
        <v>4.3680000000000003</v>
      </c>
      <c r="I141" s="33">
        <f t="shared" si="49"/>
        <v>4.41</v>
      </c>
      <c r="T141" s="30">
        <v>2</v>
      </c>
      <c r="U141">
        <v>30</v>
      </c>
      <c r="W141">
        <f t="shared" ref="W141:W142" si="50">U141+(U141*1%)</f>
        <v>30.3</v>
      </c>
      <c r="X141">
        <f t="shared" ref="X141:X142" si="51">U141+(U141*2%)</f>
        <v>30.6</v>
      </c>
      <c r="Y141">
        <f t="shared" ref="Y141:Y142" si="52">U141+(U141*3%)</f>
        <v>30.9</v>
      </c>
      <c r="Z141">
        <f t="shared" ref="Z141:Z142" si="53">U141+(U141*4%)</f>
        <v>31.2</v>
      </c>
      <c r="AA141" s="33">
        <f t="shared" ref="AA141:AA142" si="54">U141+(U141*5%)</f>
        <v>31.5</v>
      </c>
    </row>
    <row r="142" spans="1:28" x14ac:dyDescent="0.3">
      <c r="A142" s="30">
        <v>2</v>
      </c>
      <c r="B142">
        <v>1</v>
      </c>
      <c r="C142">
        <v>5.0999999999999996</v>
      </c>
      <c r="E142">
        <f>C142+(C142*1%)</f>
        <v>5.1509999999999998</v>
      </c>
      <c r="F142">
        <f t="shared" si="46"/>
        <v>5.202</v>
      </c>
      <c r="G142">
        <f t="shared" si="47"/>
        <v>5.2529999999999992</v>
      </c>
      <c r="H142">
        <f t="shared" si="48"/>
        <v>5.3039999999999994</v>
      </c>
      <c r="I142" s="33">
        <f t="shared" si="49"/>
        <v>5.3549999999999995</v>
      </c>
      <c r="T142" s="30">
        <v>3</v>
      </c>
      <c r="U142">
        <v>34</v>
      </c>
      <c r="W142">
        <f t="shared" si="50"/>
        <v>34.340000000000003</v>
      </c>
      <c r="X142">
        <f t="shared" si="51"/>
        <v>34.68</v>
      </c>
      <c r="Y142">
        <f t="shared" si="52"/>
        <v>35.020000000000003</v>
      </c>
      <c r="Z142">
        <f t="shared" si="53"/>
        <v>35.36</v>
      </c>
      <c r="AA142" s="33">
        <f t="shared" si="54"/>
        <v>35.700000000000003</v>
      </c>
    </row>
    <row r="143" spans="1:28" x14ac:dyDescent="0.3">
      <c r="A143" s="30">
        <v>2</v>
      </c>
      <c r="B143">
        <v>2</v>
      </c>
      <c r="C143">
        <v>5.5</v>
      </c>
      <c r="E143">
        <f>C143+(C143*1%)</f>
        <v>5.5549999999999997</v>
      </c>
      <c r="F143">
        <f t="shared" si="46"/>
        <v>5.61</v>
      </c>
      <c r="G143">
        <f t="shared" si="47"/>
        <v>5.665</v>
      </c>
      <c r="H143">
        <f t="shared" si="48"/>
        <v>5.72</v>
      </c>
      <c r="I143" s="33">
        <f t="shared" si="49"/>
        <v>5.7750000000000004</v>
      </c>
      <c r="T143" s="30"/>
      <c r="AA143" s="33"/>
    </row>
    <row r="144" spans="1:28" x14ac:dyDescent="0.3">
      <c r="A144" s="30">
        <v>2</v>
      </c>
      <c r="B144">
        <v>3</v>
      </c>
      <c r="C144">
        <v>4.8</v>
      </c>
      <c r="E144">
        <f t="shared" si="45"/>
        <v>4.8479999999999999</v>
      </c>
      <c r="F144">
        <f t="shared" si="46"/>
        <v>4.8959999999999999</v>
      </c>
      <c r="G144">
        <f t="shared" si="47"/>
        <v>4.944</v>
      </c>
      <c r="H144">
        <f t="shared" si="48"/>
        <v>4.992</v>
      </c>
      <c r="I144" s="33">
        <f t="shared" si="49"/>
        <v>5.04</v>
      </c>
      <c r="T144" s="30" t="s">
        <v>194</v>
      </c>
      <c r="U144" t="s">
        <v>160</v>
      </c>
      <c r="W144" s="16">
        <f>(W145-U145)/U145*100</f>
        <v>-6.1278180343108987E-2</v>
      </c>
      <c r="X144" s="16">
        <f>(X145-U145)/U145*100</f>
        <v>-0.12135482772411567</v>
      </c>
      <c r="Y144" s="16">
        <f>(Y145-U145)/U145*100</f>
        <v>-0.18026493826881257</v>
      </c>
      <c r="Z144" s="16">
        <f>(Z145-U145)/U145*100</f>
        <v>-0.23804216207978973</v>
      </c>
      <c r="AA144" s="32">
        <f>(AA145-U145)/U145*100</f>
        <v>-0.29471886733885261</v>
      </c>
    </row>
    <row r="145" spans="1:27" x14ac:dyDescent="0.3">
      <c r="A145" s="30">
        <v>2</v>
      </c>
      <c r="B145">
        <v>4</v>
      </c>
      <c r="C145">
        <v>4.3</v>
      </c>
      <c r="E145">
        <f t="shared" si="45"/>
        <v>4.343</v>
      </c>
      <c r="F145">
        <f t="shared" si="46"/>
        <v>4.3860000000000001</v>
      </c>
      <c r="G145">
        <f t="shared" si="47"/>
        <v>4.4290000000000003</v>
      </c>
      <c r="H145">
        <f t="shared" si="48"/>
        <v>4.4719999999999995</v>
      </c>
      <c r="I145" s="33">
        <f t="shared" si="49"/>
        <v>4.5149999999999997</v>
      </c>
      <c r="T145" s="30" t="s">
        <v>178</v>
      </c>
      <c r="U145" s="21">
        <v>4840.7044030870002</v>
      </c>
      <c r="W145" s="21">
        <v>4837.7381075129997</v>
      </c>
      <c r="X145" s="21">
        <v>4834.8299745980003</v>
      </c>
      <c r="Y145" s="21">
        <v>4831.9783102829997</v>
      </c>
      <c r="Z145" s="21">
        <v>4829.1814856660003</v>
      </c>
      <c r="AA145" s="31">
        <v>4826.4379338990002</v>
      </c>
    </row>
    <row r="146" spans="1:27" x14ac:dyDescent="0.3">
      <c r="A146" s="30">
        <v>2</v>
      </c>
      <c r="B146">
        <v>5</v>
      </c>
      <c r="C146">
        <v>5.3</v>
      </c>
      <c r="E146">
        <f t="shared" si="45"/>
        <v>5.3529999999999998</v>
      </c>
      <c r="F146">
        <f t="shared" si="46"/>
        <v>5.4059999999999997</v>
      </c>
      <c r="G146">
        <f t="shared" si="47"/>
        <v>5.4589999999999996</v>
      </c>
      <c r="H146">
        <f t="shared" si="48"/>
        <v>5.5119999999999996</v>
      </c>
      <c r="I146" s="33">
        <f t="shared" si="49"/>
        <v>5.5649999999999995</v>
      </c>
      <c r="T146" s="30"/>
      <c r="U146" s="21"/>
      <c r="W146" s="15">
        <f>(W147-U147)/U147*100</f>
        <v>0</v>
      </c>
      <c r="X146" s="15">
        <f>(X147-U147)/U147*100</f>
        <v>0</v>
      </c>
      <c r="Y146" s="15">
        <f>(Y147-U147)/U147*100</f>
        <v>0</v>
      </c>
      <c r="Z146" s="15">
        <f>(Z147-U147)/U147*100</f>
        <v>0</v>
      </c>
      <c r="AA146" s="56">
        <f>(AA147-U147)/U147*100</f>
        <v>0</v>
      </c>
    </row>
    <row r="147" spans="1:27" x14ac:dyDescent="0.3">
      <c r="A147" s="30">
        <v>2</v>
      </c>
      <c r="B147">
        <v>6</v>
      </c>
      <c r="C147">
        <v>4.0999999999999996</v>
      </c>
      <c r="E147">
        <f t="shared" si="45"/>
        <v>4.141</v>
      </c>
      <c r="F147">
        <f t="shared" si="46"/>
        <v>4.1819999999999995</v>
      </c>
      <c r="G147">
        <f t="shared" si="47"/>
        <v>4.2229999999999999</v>
      </c>
      <c r="H147">
        <f t="shared" si="48"/>
        <v>4.2639999999999993</v>
      </c>
      <c r="I147" s="33">
        <f t="shared" si="49"/>
        <v>4.3049999999999997</v>
      </c>
      <c r="T147" s="30" t="s">
        <v>158</v>
      </c>
      <c r="U147" s="21">
        <v>815497.45</v>
      </c>
      <c r="W147" s="21">
        <v>815497.45</v>
      </c>
      <c r="X147" s="21">
        <v>815497.45</v>
      </c>
      <c r="Y147" s="21">
        <v>815497.45</v>
      </c>
      <c r="Z147" s="21">
        <v>815497.45</v>
      </c>
      <c r="AA147" s="31">
        <v>815497.45</v>
      </c>
    </row>
    <row r="148" spans="1:27" x14ac:dyDescent="0.3">
      <c r="A148" s="30">
        <v>3</v>
      </c>
      <c r="B148">
        <v>1</v>
      </c>
      <c r="C148">
        <v>4.3</v>
      </c>
      <c r="E148">
        <f>C148+(C148*1%)</f>
        <v>4.343</v>
      </c>
      <c r="F148">
        <f>C148+(C148*2%)</f>
        <v>4.3860000000000001</v>
      </c>
      <c r="G148">
        <f>C148+(C148*3%)</f>
        <v>4.4290000000000003</v>
      </c>
      <c r="H148">
        <f>C148+(C148*4%)</f>
        <v>4.4719999999999995</v>
      </c>
      <c r="I148" s="33">
        <f t="shared" si="49"/>
        <v>4.5149999999999997</v>
      </c>
      <c r="T148" s="30"/>
      <c r="AA148" s="33"/>
    </row>
    <row r="149" spans="1:27" x14ac:dyDescent="0.3">
      <c r="A149" s="30">
        <v>3</v>
      </c>
      <c r="B149">
        <v>2</v>
      </c>
      <c r="C149">
        <v>3.7</v>
      </c>
      <c r="E149">
        <f t="shared" si="45"/>
        <v>3.7370000000000001</v>
      </c>
      <c r="F149">
        <f t="shared" ref="F149:F153" si="55">C149+(C149*2%)</f>
        <v>3.774</v>
      </c>
      <c r="G149">
        <f t="shared" si="47"/>
        <v>3.8110000000000004</v>
      </c>
      <c r="H149">
        <f t="shared" ref="H149:H153" si="56">C149+(C149*4%)</f>
        <v>3.8480000000000003</v>
      </c>
      <c r="I149" s="33">
        <f t="shared" si="49"/>
        <v>3.8850000000000002</v>
      </c>
      <c r="T149" s="30"/>
      <c r="AA149" s="33"/>
    </row>
    <row r="150" spans="1:27" x14ac:dyDescent="0.3">
      <c r="A150" s="30">
        <v>3</v>
      </c>
      <c r="B150">
        <v>3</v>
      </c>
      <c r="C150">
        <v>4.8</v>
      </c>
      <c r="E150">
        <f t="shared" si="45"/>
        <v>4.8479999999999999</v>
      </c>
      <c r="F150">
        <f t="shared" si="55"/>
        <v>4.8959999999999999</v>
      </c>
      <c r="G150">
        <f t="shared" si="47"/>
        <v>4.944</v>
      </c>
      <c r="H150">
        <f t="shared" si="56"/>
        <v>4.992</v>
      </c>
      <c r="I150" s="33">
        <f t="shared" si="49"/>
        <v>5.04</v>
      </c>
      <c r="T150" s="30"/>
      <c r="U150" t="s">
        <v>161</v>
      </c>
      <c r="W150" s="16">
        <f>(W151-U151)/U151*100</f>
        <v>-4.9543607302086519E-2</v>
      </c>
      <c r="X150" s="16">
        <f>(X151-U151)/U151*100</f>
        <v>-9.9918885340265301E-2</v>
      </c>
      <c r="Y150" s="16">
        <f>(Y151-U151)/U151*100</f>
        <v>-0.13042003860414239</v>
      </c>
      <c r="Z150" s="16">
        <f>(Z151-U151)/U151*100</f>
        <v>-0.19407717814626632</v>
      </c>
      <c r="AA150" s="32">
        <f>(AA151-U151)/U151*100</f>
        <v>-0.23433971474711857</v>
      </c>
    </row>
    <row r="151" spans="1:27" x14ac:dyDescent="0.3">
      <c r="A151" s="30">
        <v>3</v>
      </c>
      <c r="B151">
        <v>4</v>
      </c>
      <c r="C151">
        <v>5.0999999999999996</v>
      </c>
      <c r="E151">
        <f t="shared" si="45"/>
        <v>5.1509999999999998</v>
      </c>
      <c r="F151">
        <f t="shared" si="55"/>
        <v>5.202</v>
      </c>
      <c r="G151">
        <f t="shared" si="47"/>
        <v>5.2529999999999992</v>
      </c>
      <c r="H151">
        <f t="shared" si="56"/>
        <v>5.3039999999999994</v>
      </c>
      <c r="I151" s="33">
        <f t="shared" si="49"/>
        <v>5.3549999999999995</v>
      </c>
      <c r="T151" s="30" t="s">
        <v>178</v>
      </c>
      <c r="U151" s="21">
        <v>4757.7240947110004</v>
      </c>
      <c r="W151" s="21">
        <v>4755.366946569</v>
      </c>
      <c r="X151" s="21">
        <v>4752.9702298279999</v>
      </c>
      <c r="Y151" s="21">
        <v>4751.5190691099997</v>
      </c>
      <c r="Z151" s="21">
        <v>4748.4904380440003</v>
      </c>
      <c r="AA151" s="31">
        <v>4746.5748576389997</v>
      </c>
    </row>
    <row r="152" spans="1:27" x14ac:dyDescent="0.3">
      <c r="A152" s="30">
        <v>3</v>
      </c>
      <c r="B152">
        <v>5</v>
      </c>
      <c r="C152">
        <v>4</v>
      </c>
      <c r="E152">
        <f t="shared" si="45"/>
        <v>4.04</v>
      </c>
      <c r="F152">
        <f t="shared" si="55"/>
        <v>4.08</v>
      </c>
      <c r="G152">
        <f t="shared" si="47"/>
        <v>4.12</v>
      </c>
      <c r="H152">
        <f t="shared" si="56"/>
        <v>4.16</v>
      </c>
      <c r="I152" s="33">
        <f t="shared" si="49"/>
        <v>4.2</v>
      </c>
      <c r="T152" s="30"/>
      <c r="U152" s="21"/>
      <c r="W152" s="15">
        <f>(W153-U153)/U153*100</f>
        <v>-2.931427319318769E-4</v>
      </c>
      <c r="X152" s="15">
        <f>(X153-U153)/U153*100</f>
        <v>1.111499525228073E-3</v>
      </c>
      <c r="Y152" s="15">
        <f>(Y153-U153)/U153*100</f>
        <v>-1.3374637144262133E-2</v>
      </c>
      <c r="Z152" s="15">
        <f>(Z153-U153)/U153*100</f>
        <v>-1.3435708546747349E-3</v>
      </c>
      <c r="AA152" s="56">
        <f>(AA153-U153)/U153*100</f>
        <v>-1.9176420380442897E-3</v>
      </c>
    </row>
    <row r="153" spans="1:27" x14ac:dyDescent="0.3">
      <c r="A153" s="30">
        <v>3</v>
      </c>
      <c r="B153">
        <v>6</v>
      </c>
      <c r="C153">
        <v>5.6</v>
      </c>
      <c r="E153">
        <f t="shared" si="45"/>
        <v>5.6559999999999997</v>
      </c>
      <c r="F153">
        <f t="shared" si="55"/>
        <v>5.7119999999999997</v>
      </c>
      <c r="G153">
        <f t="shared" si="47"/>
        <v>5.7679999999999998</v>
      </c>
      <c r="H153">
        <f t="shared" si="56"/>
        <v>5.8239999999999998</v>
      </c>
      <c r="I153" s="33">
        <f t="shared" si="49"/>
        <v>5.88</v>
      </c>
      <c r="T153" s="30" t="s">
        <v>158</v>
      </c>
      <c r="U153" s="21">
        <v>818713.8</v>
      </c>
      <c r="V153" t="s">
        <v>238</v>
      </c>
      <c r="W153" s="21">
        <v>818711.4</v>
      </c>
      <c r="X153" s="21">
        <v>818722.9</v>
      </c>
      <c r="Y153" s="21">
        <v>818604.3</v>
      </c>
      <c r="Z153" s="21">
        <v>818702.8</v>
      </c>
      <c r="AA153" s="31">
        <v>818698.1</v>
      </c>
    </row>
    <row r="154" spans="1:27" x14ac:dyDescent="0.3">
      <c r="A154" s="30"/>
      <c r="I154" s="33"/>
      <c r="T154" s="34"/>
      <c r="U154" s="22"/>
      <c r="V154" s="22"/>
      <c r="W154" s="22"/>
      <c r="X154" s="22"/>
      <c r="Y154" s="22"/>
      <c r="Z154" s="22"/>
      <c r="AA154" s="40"/>
    </row>
    <row r="155" spans="1:27" x14ac:dyDescent="0.3">
      <c r="A155" s="30" t="s">
        <v>198</v>
      </c>
      <c r="B155" t="s">
        <v>160</v>
      </c>
      <c r="E155" s="16">
        <f>(E156-B156)/B156*100</f>
        <v>4.1741393550693813E-3</v>
      </c>
      <c r="F155" s="16">
        <f>(F156-B156)/B156*100</f>
        <v>8.3482787101387627E-3</v>
      </c>
      <c r="G155" s="16">
        <f>(G156-B156)/B156*100</f>
        <v>1.252241806519387E-2</v>
      </c>
      <c r="H155" s="16">
        <f>(H156-B156)/B156*100</f>
        <v>1.6696557420263252E-2</v>
      </c>
      <c r="I155" s="32">
        <f>(I156-B156)/B156*100</f>
        <v>2.0870696775332633E-2</v>
      </c>
    </row>
    <row r="156" spans="1:27" x14ac:dyDescent="0.3">
      <c r="A156" s="30" t="s">
        <v>158</v>
      </c>
      <c r="B156" s="21">
        <v>815497.45</v>
      </c>
      <c r="C156" s="21"/>
      <c r="E156" s="21">
        <v>815531.49</v>
      </c>
      <c r="F156" s="21">
        <v>815565.53</v>
      </c>
      <c r="G156" s="21">
        <v>815599.57</v>
      </c>
      <c r="H156" s="21">
        <v>815633.61</v>
      </c>
      <c r="I156" s="31">
        <v>815667.65</v>
      </c>
      <c r="T156" s="64" t="s">
        <v>100</v>
      </c>
      <c r="U156" s="65"/>
      <c r="V156" s="65"/>
      <c r="W156" s="65"/>
      <c r="X156" s="65"/>
      <c r="Y156" s="65"/>
      <c r="Z156" s="65"/>
      <c r="AA156" s="66"/>
    </row>
    <row r="157" spans="1:27" x14ac:dyDescent="0.3">
      <c r="A157" s="30"/>
      <c r="B157" s="21"/>
      <c r="C157" s="21"/>
      <c r="E157" s="15">
        <f>(E158-B158)/B158*100</f>
        <v>0</v>
      </c>
      <c r="F157" s="15">
        <f>(F158-B158)/B158*100</f>
        <v>0</v>
      </c>
      <c r="G157" s="15">
        <f>(G158-B158)/B158*100</f>
        <v>0</v>
      </c>
      <c r="H157" s="15">
        <f>(H158-B158)/B158*100</f>
        <v>0</v>
      </c>
      <c r="I157" s="56">
        <f>(I158-B158)/B158*100</f>
        <v>0</v>
      </c>
      <c r="T157" s="57" t="s">
        <v>92</v>
      </c>
      <c r="AA157" s="33"/>
    </row>
    <row r="158" spans="1:27" x14ac:dyDescent="0.3">
      <c r="A158" s="30" t="s">
        <v>159</v>
      </c>
      <c r="B158" s="21">
        <v>4840.7044030870002</v>
      </c>
      <c r="C158" s="21"/>
      <c r="E158" s="21">
        <v>4840.7044030870002</v>
      </c>
      <c r="F158" s="21">
        <v>4840.7044030870002</v>
      </c>
      <c r="G158" s="21">
        <v>4840.7044030870002</v>
      </c>
      <c r="H158" s="21">
        <v>4840.7044030870002</v>
      </c>
      <c r="I158" s="31">
        <v>4840.7044030870002</v>
      </c>
      <c r="T158" s="30"/>
      <c r="AA158" s="33"/>
    </row>
    <row r="159" spans="1:27" x14ac:dyDescent="0.3">
      <c r="A159" s="30"/>
      <c r="I159" s="33"/>
      <c r="T159" s="30" t="s">
        <v>55</v>
      </c>
      <c r="U159" t="s">
        <v>101</v>
      </c>
      <c r="W159" s="20">
        <v>0.01</v>
      </c>
      <c r="X159" s="20">
        <v>0.02</v>
      </c>
      <c r="Y159" s="20">
        <v>0.03</v>
      </c>
      <c r="Z159" s="20">
        <v>0.04</v>
      </c>
      <c r="AA159" s="55">
        <v>0.05</v>
      </c>
    </row>
    <row r="160" spans="1:27" x14ac:dyDescent="0.3">
      <c r="A160" s="30"/>
      <c r="I160" s="33"/>
      <c r="T160" s="30">
        <v>1</v>
      </c>
      <c r="U160">
        <v>35</v>
      </c>
      <c r="W160">
        <f>U160+(U160*1%)</f>
        <v>35.35</v>
      </c>
      <c r="X160">
        <f>U160+(U160*2%)</f>
        <v>35.700000000000003</v>
      </c>
      <c r="Y160">
        <f>U160+(U160*3%)</f>
        <v>36.049999999999997</v>
      </c>
      <c r="Z160">
        <f>U160+(U160*4%)</f>
        <v>36.4</v>
      </c>
      <c r="AA160" s="33">
        <f>U160+(U160*5%)</f>
        <v>36.75</v>
      </c>
    </row>
    <row r="161" spans="1:27" x14ac:dyDescent="0.3">
      <c r="A161" s="30"/>
      <c r="B161" t="s">
        <v>161</v>
      </c>
      <c r="E161" s="16">
        <f>(E162-B162)/B162*100</f>
        <v>4.1577410811837832E-3</v>
      </c>
      <c r="F161" s="16">
        <f>(F162-B162)/B162*100</f>
        <v>8.3154821623817859E-3</v>
      </c>
      <c r="G161" s="16">
        <f>(G162-B162)/B162*100</f>
        <v>1.2473223243579789E-2</v>
      </c>
      <c r="H161" s="16">
        <f>(H162-B162)/B162*100</f>
        <v>1.6630964324763572E-2</v>
      </c>
      <c r="I161" s="32">
        <f>(I162-B162)/B162*100</f>
        <v>2.0788705405961571E-2</v>
      </c>
      <c r="T161" s="30">
        <v>2</v>
      </c>
      <c r="U161">
        <v>44</v>
      </c>
      <c r="W161">
        <f t="shared" ref="W161:W162" si="57">U161+(U161*1%)</f>
        <v>44.44</v>
      </c>
      <c r="X161">
        <f t="shared" ref="X161:X162" si="58">U161+(U161*2%)</f>
        <v>44.88</v>
      </c>
      <c r="Y161">
        <f t="shared" ref="Y161:Y162" si="59">U161+(U161*3%)</f>
        <v>45.32</v>
      </c>
      <c r="Z161">
        <f t="shared" ref="Z161:Z162" si="60">U161+(U161*4%)</f>
        <v>45.76</v>
      </c>
      <c r="AA161" s="33">
        <f t="shared" ref="AA161:AA162" si="61">U161+(U161*5%)</f>
        <v>46.2</v>
      </c>
    </row>
    <row r="162" spans="1:27" x14ac:dyDescent="0.3">
      <c r="A162" s="30" t="s">
        <v>158</v>
      </c>
      <c r="B162" s="21">
        <v>818713.8</v>
      </c>
      <c r="C162" s="21"/>
      <c r="E162" s="21">
        <v>818747.84</v>
      </c>
      <c r="F162" s="21">
        <v>818781.88</v>
      </c>
      <c r="G162" s="21">
        <v>818815.92</v>
      </c>
      <c r="H162" s="21">
        <v>818849.96</v>
      </c>
      <c r="I162" s="31">
        <v>818884</v>
      </c>
      <c r="T162" s="30">
        <v>3</v>
      </c>
      <c r="U162">
        <v>46</v>
      </c>
      <c r="W162">
        <f t="shared" si="57"/>
        <v>46.46</v>
      </c>
      <c r="X162">
        <f t="shared" si="58"/>
        <v>46.92</v>
      </c>
      <c r="Y162">
        <f t="shared" si="59"/>
        <v>47.38</v>
      </c>
      <c r="Z162">
        <f t="shared" si="60"/>
        <v>47.84</v>
      </c>
      <c r="AA162" s="33">
        <f t="shared" si="61"/>
        <v>48.3</v>
      </c>
    </row>
    <row r="163" spans="1:27" x14ac:dyDescent="0.3">
      <c r="A163" s="30"/>
      <c r="B163" s="21"/>
      <c r="C163" s="21"/>
      <c r="E163" s="15">
        <f>(E164-B164)/B164*100</f>
        <v>0</v>
      </c>
      <c r="F163" s="15">
        <f>(F164-B164)/B164*100</f>
        <v>0</v>
      </c>
      <c r="G163" s="15">
        <f>(G164-B164)/B164*100</f>
        <v>0</v>
      </c>
      <c r="H163" s="15">
        <f>(H164-B164)/B164*100</f>
        <v>0</v>
      </c>
      <c r="I163" s="56">
        <f>(I164-B164)/B164*100</f>
        <v>0</v>
      </c>
      <c r="T163" s="30"/>
      <c r="AA163" s="33"/>
    </row>
    <row r="164" spans="1:27" x14ac:dyDescent="0.3">
      <c r="A164" s="30" t="s">
        <v>159</v>
      </c>
      <c r="B164" s="21">
        <v>4757.7240947110004</v>
      </c>
      <c r="C164" s="21"/>
      <c r="D164" t="s">
        <v>238</v>
      </c>
      <c r="E164" s="21">
        <v>4757.7240947110004</v>
      </c>
      <c r="F164" s="21">
        <v>4757.7240947110004</v>
      </c>
      <c r="G164" s="21">
        <v>4757.7240947110004</v>
      </c>
      <c r="H164" s="21">
        <v>4757.7240947110004</v>
      </c>
      <c r="I164" s="31">
        <v>4757.7240947110004</v>
      </c>
      <c r="T164" s="30" t="s">
        <v>195</v>
      </c>
      <c r="U164" t="s">
        <v>160</v>
      </c>
      <c r="W164" s="16">
        <f>(W165-U165)/U165*100</f>
        <v>-5.0050313306722587E-3</v>
      </c>
      <c r="X164" s="16">
        <f>(X165-U165)/U165*100</f>
        <v>-9.9119247953653195E-3</v>
      </c>
      <c r="Y164" s="16">
        <f>(Y165-U165)/U165*100</f>
        <v>-1.4723538779712136E-2</v>
      </c>
      <c r="Z164" s="16">
        <f>(Z165-U165)/U165*100</f>
        <v>-1.9442621726704176E-2</v>
      </c>
      <c r="AA164" s="32">
        <f>(AA165-U165)/U165*100</f>
        <v>-2.4071817363138813E-2</v>
      </c>
    </row>
    <row r="165" spans="1:27" x14ac:dyDescent="0.3">
      <c r="A165" s="34"/>
      <c r="B165" s="22"/>
      <c r="C165" s="22"/>
      <c r="D165" s="22"/>
      <c r="E165" s="22"/>
      <c r="F165" s="22"/>
      <c r="G165" s="22"/>
      <c r="H165" s="22"/>
      <c r="I165" s="40"/>
      <c r="T165" s="30" t="s">
        <v>178</v>
      </c>
      <c r="U165" s="21">
        <v>4840.7044030870002</v>
      </c>
      <c r="W165" s="21">
        <v>4840.4621243150004</v>
      </c>
      <c r="X165" s="21">
        <v>4840.2245961070003</v>
      </c>
      <c r="Y165" s="21">
        <v>4839.9916800970004</v>
      </c>
      <c r="Z165" s="21">
        <v>4839.7632432410001</v>
      </c>
      <c r="AA165" s="31">
        <v>4839.5391575639997</v>
      </c>
    </row>
    <row r="166" spans="1:27" x14ac:dyDescent="0.3">
      <c r="T166" s="30"/>
      <c r="U166" s="21"/>
      <c r="W166" s="15">
        <f>(W167-U167)/U167*100</f>
        <v>0</v>
      </c>
      <c r="X166" s="15">
        <f>(X167-U167)/U167*100</f>
        <v>0</v>
      </c>
      <c r="Y166" s="15">
        <f>(Y167-U167)/U167*100</f>
        <v>0</v>
      </c>
      <c r="Z166" s="15">
        <f>(Z167-U167)/U167*100</f>
        <v>0</v>
      </c>
      <c r="AA166" s="56">
        <f>(AA167-U167)/U167*100</f>
        <v>0</v>
      </c>
    </row>
    <row r="167" spans="1:27" x14ac:dyDescent="0.3">
      <c r="A167" s="64" t="s">
        <v>37</v>
      </c>
      <c r="B167" s="65"/>
      <c r="C167" s="65"/>
      <c r="D167" s="65"/>
      <c r="E167" s="65"/>
      <c r="F167" s="65"/>
      <c r="G167" s="65"/>
      <c r="H167" s="65"/>
      <c r="I167" s="65"/>
      <c r="J167" s="66"/>
      <c r="T167" s="30" t="s">
        <v>158</v>
      </c>
      <c r="U167" s="21">
        <v>815497.45</v>
      </c>
      <c r="W167" s="21">
        <v>815497.45</v>
      </c>
      <c r="X167" s="21">
        <v>815497.45</v>
      </c>
      <c r="Y167" s="21">
        <v>815497.45</v>
      </c>
      <c r="Z167" s="21">
        <v>815497.45</v>
      </c>
      <c r="AA167" s="31">
        <v>815497.45</v>
      </c>
    </row>
    <row r="168" spans="1:27" x14ac:dyDescent="0.3">
      <c r="A168" s="57" t="s">
        <v>38</v>
      </c>
      <c r="J168" s="33"/>
      <c r="T168" s="30"/>
      <c r="AA168" s="33"/>
    </row>
    <row r="169" spans="1:27" x14ac:dyDescent="0.3">
      <c r="A169" s="58" t="s">
        <v>39</v>
      </c>
      <c r="J169" s="33"/>
      <c r="T169" s="30"/>
      <c r="AA169" s="33"/>
    </row>
    <row r="170" spans="1:27" x14ac:dyDescent="0.3">
      <c r="A170" s="30"/>
      <c r="J170" s="33"/>
      <c r="T170" s="30"/>
      <c r="U170" t="s">
        <v>161</v>
      </c>
      <c r="W170" s="16">
        <f>(W171-U171)/U171*100</f>
        <v>-3.9091787227990395E-3</v>
      </c>
      <c r="X170" s="16">
        <f>(X171-U171)/U171*100</f>
        <v>-7.7417068890081415E-3</v>
      </c>
      <c r="Y170" s="16">
        <f>(Y171-U171)/U171*100</f>
        <v>-1.1499817036641368E-2</v>
      </c>
      <c r="Z170" s="16">
        <f>(Z171-U171)/U171*100</f>
        <v>-1.5185655822362056E-2</v>
      </c>
      <c r="AA170" s="32">
        <f>(AA171-U171)/U171*100</f>
        <v>-1.8801288162026475E-2</v>
      </c>
    </row>
    <row r="171" spans="1:27" x14ac:dyDescent="0.3">
      <c r="A171" s="30" t="s">
        <v>19</v>
      </c>
      <c r="B171" t="s">
        <v>2</v>
      </c>
      <c r="C171" t="s">
        <v>40</v>
      </c>
      <c r="D171" t="s">
        <v>41</v>
      </c>
      <c r="F171" s="20">
        <v>0.01</v>
      </c>
      <c r="G171" s="20">
        <v>0.02</v>
      </c>
      <c r="H171" s="20">
        <v>0.03</v>
      </c>
      <c r="I171" s="20">
        <v>0.04</v>
      </c>
      <c r="J171" s="55">
        <v>0.05</v>
      </c>
      <c r="T171" s="30" t="s">
        <v>178</v>
      </c>
      <c r="U171" s="21">
        <v>4757.7240947110004</v>
      </c>
      <c r="W171" s="21">
        <v>4757.5381067730004</v>
      </c>
      <c r="X171" s="21">
        <v>4757.3557656570001</v>
      </c>
      <c r="Y171" s="21">
        <v>4757.1769651450004</v>
      </c>
      <c r="Z171" s="21">
        <v>4757.001603105</v>
      </c>
      <c r="AA171" s="31">
        <v>4756.8295812939996</v>
      </c>
    </row>
    <row r="172" spans="1:27" x14ac:dyDescent="0.3">
      <c r="A172" s="30">
        <v>1</v>
      </c>
      <c r="B172">
        <v>1</v>
      </c>
      <c r="C172">
        <v>1</v>
      </c>
      <c r="D172">
        <v>9.4</v>
      </c>
      <c r="F172">
        <f>D172+(D172*1%)</f>
        <v>9.4939999999999998</v>
      </c>
      <c r="G172">
        <f>D172+(D172*2%)</f>
        <v>9.588000000000001</v>
      </c>
      <c r="H172">
        <f>D172+(D172*3%)</f>
        <v>9.6820000000000004</v>
      </c>
      <c r="I172">
        <f>D172+(D172*4%)</f>
        <v>9.7759999999999998</v>
      </c>
      <c r="J172" s="33">
        <f>D172+(D172*5%)</f>
        <v>9.870000000000001</v>
      </c>
      <c r="T172" s="30"/>
      <c r="U172" s="21"/>
      <c r="W172" s="15">
        <f>(W173-U173)/U173*100</f>
        <v>2.1985704893824319E-4</v>
      </c>
      <c r="X172" s="15">
        <f>(X173-U173)/U173*100</f>
        <v>2.1985704893824319E-4</v>
      </c>
      <c r="Y172" s="15">
        <f>(Y173-U173)/U173*100</f>
        <v>2.1985704893824319E-4</v>
      </c>
      <c r="Z172" s="15">
        <f>(Z173-U173)/U173*100</f>
        <v>0</v>
      </c>
      <c r="AA172" s="56">
        <f>(AA173-U173)/U173*100</f>
        <v>3.6642841491129133E-4</v>
      </c>
    </row>
    <row r="173" spans="1:27" x14ac:dyDescent="0.3">
      <c r="A173" s="30">
        <v>1</v>
      </c>
      <c r="B173">
        <v>1</v>
      </c>
      <c r="C173">
        <v>2</v>
      </c>
      <c r="D173">
        <v>7.5</v>
      </c>
      <c r="F173">
        <f t="shared" ref="F173:F177" si="62">D173+(D173*1%)</f>
        <v>7.5750000000000002</v>
      </c>
      <c r="G173">
        <f t="shared" ref="G173:G183" si="63">D173+(D173*2%)</f>
        <v>7.65</v>
      </c>
      <c r="H173">
        <f t="shared" ref="H173:H183" si="64">D173+(D173*3%)</f>
        <v>7.7249999999999996</v>
      </c>
      <c r="I173">
        <f t="shared" ref="I173:I183" si="65">D173+(D173*4%)</f>
        <v>7.8</v>
      </c>
      <c r="J173" s="33">
        <f t="shared" ref="J173:J195" si="66">D173+(D173*5%)</f>
        <v>7.875</v>
      </c>
      <c r="T173" s="30" t="s">
        <v>158</v>
      </c>
      <c r="U173" s="21">
        <v>818713.8</v>
      </c>
      <c r="V173" t="s">
        <v>238</v>
      </c>
      <c r="W173" s="21">
        <v>818715.6</v>
      </c>
      <c r="X173" s="21">
        <v>818715.6</v>
      </c>
      <c r="Y173" s="21">
        <v>818715.6</v>
      </c>
      <c r="Z173" s="21">
        <v>818713.8</v>
      </c>
      <c r="AA173" s="31">
        <v>818716.8</v>
      </c>
    </row>
    <row r="174" spans="1:27" x14ac:dyDescent="0.3">
      <c r="A174" s="30">
        <v>1</v>
      </c>
      <c r="B174">
        <v>1</v>
      </c>
      <c r="C174">
        <v>3</v>
      </c>
      <c r="D174">
        <v>4.5999999999999996</v>
      </c>
      <c r="F174">
        <f t="shared" si="62"/>
        <v>4.6459999999999999</v>
      </c>
      <c r="G174">
        <f t="shared" si="63"/>
        <v>4.6919999999999993</v>
      </c>
      <c r="H174">
        <f t="shared" si="64"/>
        <v>4.7379999999999995</v>
      </c>
      <c r="I174">
        <f t="shared" si="65"/>
        <v>4.7839999999999998</v>
      </c>
      <c r="J174" s="33">
        <f t="shared" si="66"/>
        <v>4.83</v>
      </c>
      <c r="T174" s="34"/>
      <c r="U174" s="22"/>
      <c r="V174" s="22"/>
      <c r="W174" s="22"/>
      <c r="X174" s="22"/>
      <c r="Y174" s="22"/>
      <c r="Z174" s="22"/>
      <c r="AA174" s="40"/>
    </row>
    <row r="175" spans="1:27" x14ac:dyDescent="0.3">
      <c r="A175" s="30">
        <v>1</v>
      </c>
      <c r="B175">
        <v>2</v>
      </c>
      <c r="C175">
        <v>1</v>
      </c>
      <c r="D175">
        <v>9.6</v>
      </c>
      <c r="F175">
        <f t="shared" si="62"/>
        <v>9.6959999999999997</v>
      </c>
      <c r="G175">
        <f t="shared" si="63"/>
        <v>9.7919999999999998</v>
      </c>
      <c r="H175">
        <f>D175+(D175*3%)</f>
        <v>9.8879999999999999</v>
      </c>
      <c r="I175">
        <f t="shared" si="65"/>
        <v>9.984</v>
      </c>
      <c r="J175" s="33">
        <f>D175+(D175*5%)</f>
        <v>10.08</v>
      </c>
    </row>
    <row r="176" spans="1:27" x14ac:dyDescent="0.3">
      <c r="A176" s="30">
        <v>1</v>
      </c>
      <c r="B176">
        <v>2</v>
      </c>
      <c r="C176">
        <v>2</v>
      </c>
      <c r="D176">
        <v>4.5999999999999996</v>
      </c>
      <c r="F176">
        <f t="shared" si="62"/>
        <v>4.6459999999999999</v>
      </c>
      <c r="G176">
        <f t="shared" si="63"/>
        <v>4.6919999999999993</v>
      </c>
      <c r="H176">
        <f t="shared" si="64"/>
        <v>4.7379999999999995</v>
      </c>
      <c r="I176">
        <f t="shared" si="65"/>
        <v>4.7839999999999998</v>
      </c>
      <c r="J176" s="33">
        <f t="shared" si="66"/>
        <v>4.83</v>
      </c>
      <c r="T176" s="64" t="s">
        <v>107</v>
      </c>
      <c r="U176" s="65"/>
      <c r="V176" s="65"/>
      <c r="W176" s="65"/>
      <c r="X176" s="65"/>
      <c r="Y176" s="65"/>
      <c r="Z176" s="65"/>
      <c r="AA176" s="66"/>
    </row>
    <row r="177" spans="1:27" x14ac:dyDescent="0.3">
      <c r="A177" s="30">
        <v>1</v>
      </c>
      <c r="B177">
        <v>2</v>
      </c>
      <c r="C177">
        <v>3</v>
      </c>
      <c r="D177">
        <v>7.8</v>
      </c>
      <c r="F177">
        <f t="shared" si="62"/>
        <v>7.8780000000000001</v>
      </c>
      <c r="G177">
        <f t="shared" si="63"/>
        <v>7.9559999999999995</v>
      </c>
      <c r="H177">
        <f t="shared" si="64"/>
        <v>8.0339999999999989</v>
      </c>
      <c r="I177">
        <f t="shared" si="65"/>
        <v>8.1120000000000001</v>
      </c>
      <c r="J177" s="33">
        <f t="shared" si="66"/>
        <v>8.19</v>
      </c>
      <c r="T177" s="57" t="s">
        <v>93</v>
      </c>
      <c r="AA177" s="33"/>
    </row>
    <row r="178" spans="1:27" x14ac:dyDescent="0.3">
      <c r="A178" s="30">
        <v>1</v>
      </c>
      <c r="B178">
        <v>3</v>
      </c>
      <c r="C178">
        <v>1</v>
      </c>
      <c r="D178">
        <v>6.7</v>
      </c>
      <c r="F178">
        <f>D178+(D178*1%)</f>
        <v>6.7670000000000003</v>
      </c>
      <c r="G178">
        <f t="shared" si="63"/>
        <v>6.8340000000000005</v>
      </c>
      <c r="H178">
        <f t="shared" si="64"/>
        <v>6.9009999999999998</v>
      </c>
      <c r="I178">
        <f>D178+(D178*4%)</f>
        <v>6.968</v>
      </c>
      <c r="J178" s="33">
        <f t="shared" si="66"/>
        <v>7.0350000000000001</v>
      </c>
      <c r="T178" s="30"/>
      <c r="AA178" s="33"/>
    </row>
    <row r="179" spans="1:27" x14ac:dyDescent="0.3">
      <c r="A179" s="30">
        <v>1</v>
      </c>
      <c r="B179">
        <v>3</v>
      </c>
      <c r="C179">
        <v>2</v>
      </c>
      <c r="D179">
        <v>4.5</v>
      </c>
      <c r="F179">
        <f>D179+(D179*1%)</f>
        <v>4.5449999999999999</v>
      </c>
      <c r="G179">
        <f t="shared" si="63"/>
        <v>4.59</v>
      </c>
      <c r="H179">
        <f t="shared" si="64"/>
        <v>4.6349999999999998</v>
      </c>
      <c r="I179">
        <f t="shared" si="65"/>
        <v>4.68</v>
      </c>
      <c r="J179" s="33">
        <f t="shared" si="66"/>
        <v>4.7249999999999996</v>
      </c>
      <c r="T179" s="30" t="s">
        <v>72</v>
      </c>
      <c r="U179" t="s">
        <v>102</v>
      </c>
      <c r="W179" s="20">
        <v>0.01</v>
      </c>
      <c r="X179" s="20">
        <v>0.02</v>
      </c>
      <c r="Y179" s="20">
        <v>0.03</v>
      </c>
      <c r="Z179" s="20">
        <v>0.04</v>
      </c>
      <c r="AA179" s="55">
        <v>0.05</v>
      </c>
    </row>
    <row r="180" spans="1:27" x14ac:dyDescent="0.3">
      <c r="A180" s="30">
        <v>1</v>
      </c>
      <c r="B180">
        <v>3</v>
      </c>
      <c r="C180">
        <v>3</v>
      </c>
      <c r="D180">
        <v>5.7</v>
      </c>
      <c r="F180">
        <f t="shared" ref="F180:F183" si="67">D180+(D180*1%)</f>
        <v>5.7570000000000006</v>
      </c>
      <c r="G180">
        <f t="shared" si="63"/>
        <v>5.8140000000000001</v>
      </c>
      <c r="H180">
        <f t="shared" si="64"/>
        <v>5.8710000000000004</v>
      </c>
      <c r="I180">
        <f t="shared" si="65"/>
        <v>5.9279999999999999</v>
      </c>
      <c r="J180" s="33">
        <f t="shared" si="66"/>
        <v>5.9850000000000003</v>
      </c>
      <c r="T180" s="30">
        <v>1</v>
      </c>
      <c r="U180">
        <v>43</v>
      </c>
      <c r="W180">
        <f>U180+(U180*1%)</f>
        <v>43.43</v>
      </c>
      <c r="X180">
        <f>U180+(U180*2%)</f>
        <v>43.86</v>
      </c>
      <c r="Y180">
        <f>U180+(U180*3%)</f>
        <v>44.29</v>
      </c>
      <c r="Z180">
        <f>U180+(U180*4%)</f>
        <v>44.72</v>
      </c>
      <c r="AA180" s="33">
        <f>U180+(U180*5%)</f>
        <v>45.15</v>
      </c>
    </row>
    <row r="181" spans="1:27" x14ac:dyDescent="0.3">
      <c r="A181" s="30">
        <v>1</v>
      </c>
      <c r="B181">
        <v>4</v>
      </c>
      <c r="C181">
        <v>1</v>
      </c>
      <c r="D181">
        <v>6.7</v>
      </c>
      <c r="F181">
        <f t="shared" si="67"/>
        <v>6.7670000000000003</v>
      </c>
      <c r="G181">
        <f t="shared" si="63"/>
        <v>6.8340000000000005</v>
      </c>
      <c r="H181">
        <f t="shared" si="64"/>
        <v>6.9009999999999998</v>
      </c>
      <c r="I181">
        <f t="shared" si="65"/>
        <v>6.968</v>
      </c>
      <c r="J181" s="33">
        <f>D181+(D181*5%)</f>
        <v>7.0350000000000001</v>
      </c>
      <c r="T181" s="30">
        <v>2</v>
      </c>
      <c r="U181">
        <v>54</v>
      </c>
      <c r="W181">
        <f t="shared" ref="W181" si="68">U181+(U181*1%)</f>
        <v>54.54</v>
      </c>
      <c r="X181">
        <f t="shared" ref="X181" si="69">U181+(U181*2%)</f>
        <v>55.08</v>
      </c>
      <c r="Y181">
        <f t="shared" ref="Y181" si="70">U181+(U181*3%)</f>
        <v>55.62</v>
      </c>
      <c r="Z181">
        <f t="shared" ref="Z181" si="71">U181+(U181*4%)</f>
        <v>56.16</v>
      </c>
      <c r="AA181" s="33">
        <f t="shared" ref="AA181" si="72">U181+(U181*5%)</f>
        <v>56.7</v>
      </c>
    </row>
    <row r="182" spans="1:27" x14ac:dyDescent="0.3">
      <c r="A182" s="30">
        <v>1</v>
      </c>
      <c r="B182">
        <v>4</v>
      </c>
      <c r="C182">
        <v>2</v>
      </c>
      <c r="D182">
        <v>5.2</v>
      </c>
      <c r="F182">
        <f t="shared" si="67"/>
        <v>5.2519999999999998</v>
      </c>
      <c r="G182">
        <f t="shared" si="63"/>
        <v>5.3040000000000003</v>
      </c>
      <c r="H182">
        <f t="shared" si="64"/>
        <v>5.3559999999999999</v>
      </c>
      <c r="I182">
        <f t="shared" si="65"/>
        <v>5.4080000000000004</v>
      </c>
      <c r="J182" s="33">
        <f t="shared" si="66"/>
        <v>5.46</v>
      </c>
      <c r="T182" s="30"/>
      <c r="AA182" s="33"/>
    </row>
    <row r="183" spans="1:27" x14ac:dyDescent="0.3">
      <c r="A183" s="30">
        <v>1</v>
      </c>
      <c r="B183">
        <v>4</v>
      </c>
      <c r="C183">
        <v>3</v>
      </c>
      <c r="D183">
        <v>7.4</v>
      </c>
      <c r="F183">
        <f t="shared" si="67"/>
        <v>7.4740000000000002</v>
      </c>
      <c r="G183">
        <f t="shared" si="63"/>
        <v>7.548</v>
      </c>
      <c r="H183">
        <f t="shared" si="64"/>
        <v>7.6220000000000008</v>
      </c>
      <c r="I183">
        <f t="shared" si="65"/>
        <v>7.6960000000000006</v>
      </c>
      <c r="J183" s="33">
        <f t="shared" si="66"/>
        <v>7.7700000000000005</v>
      </c>
      <c r="T183" s="30" t="s">
        <v>196</v>
      </c>
      <c r="U183" t="s">
        <v>160</v>
      </c>
      <c r="W183" s="16">
        <f>(W184-U184)/U184*100</f>
        <v>-2.3522449321219797E-3</v>
      </c>
      <c r="X183" s="16">
        <f>(X184-U184)/U184*100</f>
        <v>-4.6583674032300579E-3</v>
      </c>
      <c r="Y183" s="16">
        <f>(Y184-U184)/U184*100</f>
        <v>-6.9197108128847872E-3</v>
      </c>
      <c r="Z183" s="16">
        <f>(Z184-U184)/U184*100</f>
        <v>-9.1375668325837239E-3</v>
      </c>
      <c r="AA183" s="32">
        <f>(AA184-U184)/U184*100</f>
        <v>-1.1313177988125056E-2</v>
      </c>
    </row>
    <row r="184" spans="1:27" x14ac:dyDescent="0.3">
      <c r="A184" s="30">
        <v>2</v>
      </c>
      <c r="B184">
        <v>1</v>
      </c>
      <c r="C184">
        <v>1</v>
      </c>
      <c r="D184">
        <v>6.8</v>
      </c>
      <c r="F184">
        <f>D184+(D184*1%)</f>
        <v>6.8679999999999994</v>
      </c>
      <c r="G184">
        <f>D184+(D184*2%)</f>
        <v>6.9359999999999999</v>
      </c>
      <c r="H184">
        <f>D184+(D184*3%)</f>
        <v>7.0039999999999996</v>
      </c>
      <c r="I184">
        <f>D184+(D184*4%)</f>
        <v>7.0720000000000001</v>
      </c>
      <c r="J184" s="33">
        <f t="shared" si="66"/>
        <v>7.14</v>
      </c>
      <c r="T184" s="30" t="s">
        <v>178</v>
      </c>
      <c r="U184" s="21">
        <v>4840.7044030870002</v>
      </c>
      <c r="W184" s="21">
        <v>4840.5905378629996</v>
      </c>
      <c r="X184" s="21">
        <v>4840.478905291</v>
      </c>
      <c r="Y184" s="21">
        <v>4840.369440341</v>
      </c>
      <c r="Z184" s="21">
        <v>4840.2620804870003</v>
      </c>
      <c r="AA184" s="31">
        <v>4840.1567655819999</v>
      </c>
    </row>
    <row r="185" spans="1:27" x14ac:dyDescent="0.3">
      <c r="A185" s="30">
        <v>2</v>
      </c>
      <c r="B185">
        <v>1</v>
      </c>
      <c r="C185">
        <v>2</v>
      </c>
      <c r="D185">
        <v>7.9</v>
      </c>
      <c r="F185">
        <f t="shared" ref="F185:F189" si="73">D185+(D185*1%)</f>
        <v>7.9790000000000001</v>
      </c>
      <c r="G185">
        <f t="shared" ref="G185:G195" si="74">D185+(D185*2%)</f>
        <v>8.0579999999999998</v>
      </c>
      <c r="H185">
        <f t="shared" ref="H185:H195" si="75">D185+(D185*3%)</f>
        <v>8.1370000000000005</v>
      </c>
      <c r="I185">
        <f t="shared" ref="I185:I195" si="76">D185+(D185*4%)</f>
        <v>8.2160000000000011</v>
      </c>
      <c r="J185" s="33">
        <f t="shared" si="66"/>
        <v>8.2949999999999999</v>
      </c>
      <c r="T185" s="30"/>
      <c r="U185" s="21"/>
      <c r="W185" s="15">
        <f>(W186-U186)/U186*100</f>
        <v>0</v>
      </c>
      <c r="X185" s="15">
        <f>(X186-U186)/U186*100</f>
        <v>0</v>
      </c>
      <c r="Y185" s="15">
        <f>(Y186-U186)/U186*100</f>
        <v>0</v>
      </c>
      <c r="Z185" s="15">
        <f>(Z186-U186)/U186*100</f>
        <v>0</v>
      </c>
      <c r="AA185" s="56">
        <f>(AA186-U186)/U186*100</f>
        <v>0</v>
      </c>
    </row>
    <row r="186" spans="1:27" x14ac:dyDescent="0.3">
      <c r="A186" s="30">
        <v>2</v>
      </c>
      <c r="B186">
        <v>1</v>
      </c>
      <c r="C186">
        <v>3</v>
      </c>
      <c r="D186">
        <v>5.8</v>
      </c>
      <c r="F186">
        <f t="shared" si="73"/>
        <v>5.8579999999999997</v>
      </c>
      <c r="G186">
        <f t="shared" si="74"/>
        <v>5.9159999999999995</v>
      </c>
      <c r="H186">
        <f t="shared" si="75"/>
        <v>5.9740000000000002</v>
      </c>
      <c r="I186">
        <f t="shared" si="76"/>
        <v>6.032</v>
      </c>
      <c r="J186" s="33">
        <f t="shared" si="66"/>
        <v>6.09</v>
      </c>
      <c r="T186" s="30" t="s">
        <v>158</v>
      </c>
      <c r="U186" s="21">
        <v>815497.45</v>
      </c>
      <c r="W186" s="21">
        <v>815497.45</v>
      </c>
      <c r="X186" s="21">
        <v>815497.45</v>
      </c>
      <c r="Y186" s="21">
        <v>815497.45</v>
      </c>
      <c r="Z186" s="21">
        <v>815497.45</v>
      </c>
      <c r="AA186" s="31">
        <v>815497.45</v>
      </c>
    </row>
    <row r="187" spans="1:27" x14ac:dyDescent="0.3">
      <c r="A187" s="30">
        <v>2</v>
      </c>
      <c r="B187">
        <v>2</v>
      </c>
      <c r="C187">
        <v>1</v>
      </c>
      <c r="D187">
        <v>6.9</v>
      </c>
      <c r="F187">
        <f t="shared" si="73"/>
        <v>6.9690000000000003</v>
      </c>
      <c r="G187">
        <f t="shared" si="74"/>
        <v>7.0380000000000003</v>
      </c>
      <c r="H187">
        <f t="shared" si="75"/>
        <v>7.1070000000000002</v>
      </c>
      <c r="I187">
        <f t="shared" si="76"/>
        <v>7.1760000000000002</v>
      </c>
      <c r="J187" s="33">
        <f t="shared" si="66"/>
        <v>7.2450000000000001</v>
      </c>
      <c r="T187" s="30"/>
      <c r="AA187" s="33"/>
    </row>
    <row r="188" spans="1:27" x14ac:dyDescent="0.3">
      <c r="A188" s="30">
        <v>2</v>
      </c>
      <c r="B188">
        <v>2</v>
      </c>
      <c r="C188">
        <v>2</v>
      </c>
      <c r="D188">
        <v>9.1</v>
      </c>
      <c r="F188">
        <f t="shared" si="73"/>
        <v>9.1909999999999989</v>
      </c>
      <c r="G188">
        <f t="shared" si="74"/>
        <v>9.282</v>
      </c>
      <c r="H188">
        <f t="shared" si="75"/>
        <v>9.3729999999999993</v>
      </c>
      <c r="I188">
        <f t="shared" si="76"/>
        <v>9.4640000000000004</v>
      </c>
      <c r="J188" s="33">
        <f t="shared" si="66"/>
        <v>9.5549999999999997</v>
      </c>
      <c r="T188" s="30"/>
      <c r="AA188" s="33"/>
    </row>
    <row r="189" spans="1:27" x14ac:dyDescent="0.3">
      <c r="A189" s="30">
        <v>2</v>
      </c>
      <c r="B189">
        <v>2</v>
      </c>
      <c r="C189">
        <v>3</v>
      </c>
      <c r="D189">
        <v>8.4</v>
      </c>
      <c r="F189">
        <f t="shared" si="73"/>
        <v>8.484</v>
      </c>
      <c r="G189">
        <f t="shared" si="74"/>
        <v>8.5679999999999996</v>
      </c>
      <c r="H189">
        <f t="shared" si="75"/>
        <v>8.652000000000001</v>
      </c>
      <c r="I189">
        <f t="shared" si="76"/>
        <v>8.7360000000000007</v>
      </c>
      <c r="J189" s="33">
        <f t="shared" si="66"/>
        <v>8.82</v>
      </c>
      <c r="T189" s="30"/>
      <c r="U189" t="s">
        <v>161</v>
      </c>
      <c r="W189" s="16">
        <f>(W190-U190)/U190*100</f>
        <v>-1.9880578427245916E-3</v>
      </c>
      <c r="X189" s="16">
        <f>(X190-U190)/U190*100</f>
        <v>-3.9371341690076847E-3</v>
      </c>
      <c r="Y189" s="16">
        <f>(Y190-U190)/U190*100</f>
        <v>-5.8483643536573759E-3</v>
      </c>
      <c r="Z189" s="16">
        <f>(Z190-U190)/U190*100</f>
        <v>-7.7228401161100971E-3</v>
      </c>
      <c r="AA189" s="32">
        <f>(AA190-U190)/U190*100</f>
        <v>-9.5616115803319121E-3</v>
      </c>
    </row>
    <row r="190" spans="1:27" x14ac:dyDescent="0.3">
      <c r="A190" s="30">
        <v>2</v>
      </c>
      <c r="B190">
        <v>3</v>
      </c>
      <c r="C190">
        <v>1</v>
      </c>
      <c r="D190">
        <v>6.8</v>
      </c>
      <c r="F190">
        <f>D190+(D190*1%)</f>
        <v>6.8679999999999994</v>
      </c>
      <c r="G190">
        <f t="shared" si="74"/>
        <v>6.9359999999999999</v>
      </c>
      <c r="H190">
        <f t="shared" si="75"/>
        <v>7.0039999999999996</v>
      </c>
      <c r="I190">
        <f t="shared" si="76"/>
        <v>7.0720000000000001</v>
      </c>
      <c r="J190" s="33">
        <f t="shared" si="66"/>
        <v>7.14</v>
      </c>
      <c r="T190" s="30" t="s">
        <v>178</v>
      </c>
      <c r="U190" s="21">
        <v>4757.7240947110004</v>
      </c>
      <c r="W190" s="21">
        <v>4757.6295084040003</v>
      </c>
      <c r="X190" s="21">
        <v>4757.5367767300004</v>
      </c>
      <c r="Y190" s="21">
        <v>4757.4458456709999</v>
      </c>
      <c r="Z190" s="21">
        <v>4757.3566632860002</v>
      </c>
      <c r="AA190" s="31">
        <v>4757.2691796130002</v>
      </c>
    </row>
    <row r="191" spans="1:27" x14ac:dyDescent="0.3">
      <c r="A191" s="30">
        <v>2</v>
      </c>
      <c r="B191">
        <v>3</v>
      </c>
      <c r="C191">
        <v>2</v>
      </c>
      <c r="D191">
        <v>4.9000000000000004</v>
      </c>
      <c r="F191">
        <f t="shared" ref="F191:F195" si="77">D191+(D191*1%)</f>
        <v>4.9490000000000007</v>
      </c>
      <c r="G191">
        <f t="shared" si="74"/>
        <v>4.9980000000000002</v>
      </c>
      <c r="H191">
        <f t="shared" si="75"/>
        <v>5.0470000000000006</v>
      </c>
      <c r="I191">
        <f t="shared" si="76"/>
        <v>5.0960000000000001</v>
      </c>
      <c r="J191" s="33">
        <f t="shared" si="66"/>
        <v>5.1450000000000005</v>
      </c>
      <c r="T191" s="30"/>
      <c r="U191" s="21"/>
      <c r="W191" s="15">
        <f>(W192-U192)/U192*100</f>
        <v>0</v>
      </c>
      <c r="X191" s="15">
        <f>(X192-U192)/U192*100</f>
        <v>0</v>
      </c>
      <c r="Y191" s="15">
        <f>(Y192-U192)/U192*100</f>
        <v>0</v>
      </c>
      <c r="Z191" s="15">
        <f>(Z192-U192)/U192*100</f>
        <v>0</v>
      </c>
      <c r="AA191" s="56">
        <f>(AA192-U192)/U192*100</f>
        <v>0</v>
      </c>
    </row>
    <row r="192" spans="1:27" x14ac:dyDescent="0.3">
      <c r="A192" s="30">
        <v>2</v>
      </c>
      <c r="B192">
        <v>3</v>
      </c>
      <c r="C192">
        <v>3</v>
      </c>
      <c r="D192">
        <v>8.1</v>
      </c>
      <c r="F192">
        <f t="shared" si="77"/>
        <v>8.1809999999999992</v>
      </c>
      <c r="G192">
        <f t="shared" si="74"/>
        <v>8.2620000000000005</v>
      </c>
      <c r="H192">
        <f t="shared" si="75"/>
        <v>8.343</v>
      </c>
      <c r="I192">
        <f t="shared" si="76"/>
        <v>8.4239999999999995</v>
      </c>
      <c r="J192" s="33">
        <f t="shared" si="66"/>
        <v>8.504999999999999</v>
      </c>
      <c r="T192" s="30" t="s">
        <v>158</v>
      </c>
      <c r="U192" s="21">
        <v>818713.8</v>
      </c>
      <c r="V192" t="s">
        <v>238</v>
      </c>
      <c r="W192" s="21">
        <v>818713.8</v>
      </c>
      <c r="X192" s="21">
        <v>818713.8</v>
      </c>
      <c r="Y192" s="21">
        <v>818713.8</v>
      </c>
      <c r="Z192" s="21">
        <v>818713.8</v>
      </c>
      <c r="AA192" s="31">
        <v>818713.8</v>
      </c>
    </row>
    <row r="193" spans="1:27" x14ac:dyDescent="0.3">
      <c r="A193" s="30">
        <v>2</v>
      </c>
      <c r="B193">
        <v>4</v>
      </c>
      <c r="C193">
        <v>1</v>
      </c>
      <c r="D193">
        <v>5.7</v>
      </c>
      <c r="F193">
        <f t="shared" si="77"/>
        <v>5.7570000000000006</v>
      </c>
      <c r="G193">
        <f t="shared" si="74"/>
        <v>5.8140000000000001</v>
      </c>
      <c r="H193">
        <f>D193+(D193*3%)</f>
        <v>5.8710000000000004</v>
      </c>
      <c r="I193">
        <f>D193+(D193*4%)</f>
        <v>5.9279999999999999</v>
      </c>
      <c r="J193" s="33">
        <f>D193+(D193*5%)</f>
        <v>5.9850000000000003</v>
      </c>
      <c r="T193" s="34"/>
      <c r="U193" s="22"/>
      <c r="V193" s="22"/>
      <c r="W193" s="22"/>
      <c r="X193" s="22"/>
      <c r="Y193" s="22"/>
      <c r="Z193" s="22"/>
      <c r="AA193" s="40"/>
    </row>
    <row r="194" spans="1:27" x14ac:dyDescent="0.3">
      <c r="A194" s="30">
        <v>2</v>
      </c>
      <c r="B194">
        <v>4</v>
      </c>
      <c r="C194">
        <v>2</v>
      </c>
      <c r="D194">
        <v>8.5</v>
      </c>
      <c r="F194">
        <f t="shared" si="77"/>
        <v>8.5850000000000009</v>
      </c>
      <c r="G194">
        <f t="shared" si="74"/>
        <v>8.67</v>
      </c>
      <c r="H194">
        <f t="shared" si="75"/>
        <v>8.7550000000000008</v>
      </c>
      <c r="I194">
        <f t="shared" si="76"/>
        <v>8.84</v>
      </c>
      <c r="J194" s="33">
        <f t="shared" si="66"/>
        <v>8.9250000000000007</v>
      </c>
    </row>
    <row r="195" spans="1:27" x14ac:dyDescent="0.3">
      <c r="A195" s="30">
        <v>2</v>
      </c>
      <c r="B195">
        <v>4</v>
      </c>
      <c r="C195">
        <v>3</v>
      </c>
      <c r="D195">
        <v>6.9</v>
      </c>
      <c r="F195">
        <f t="shared" si="77"/>
        <v>6.9690000000000003</v>
      </c>
      <c r="G195">
        <f t="shared" si="74"/>
        <v>7.0380000000000003</v>
      </c>
      <c r="H195">
        <f t="shared" si="75"/>
        <v>7.1070000000000002</v>
      </c>
      <c r="I195">
        <f t="shared" si="76"/>
        <v>7.1760000000000002</v>
      </c>
      <c r="J195" s="33">
        <f t="shared" si="66"/>
        <v>7.2450000000000001</v>
      </c>
      <c r="T195" s="64" t="s">
        <v>103</v>
      </c>
      <c r="U195" s="65"/>
      <c r="V195" s="65"/>
      <c r="W195" s="65"/>
      <c r="X195" s="65"/>
      <c r="Y195" s="65"/>
      <c r="Z195" s="65"/>
      <c r="AA195" s="66"/>
    </row>
    <row r="196" spans="1:27" x14ac:dyDescent="0.3">
      <c r="A196" s="30"/>
      <c r="J196" s="33"/>
      <c r="T196" s="57" t="s">
        <v>94</v>
      </c>
      <c r="AA196" s="33"/>
    </row>
    <row r="197" spans="1:27" x14ac:dyDescent="0.3">
      <c r="A197" s="30" t="s">
        <v>220</v>
      </c>
      <c r="B197" t="s">
        <v>160</v>
      </c>
      <c r="F197" s="16">
        <f>(F198-B198)/B198*100</f>
        <v>8.9951231607281901E-3</v>
      </c>
      <c r="G197" s="16">
        <f>(G198-B198)/B198*100</f>
        <v>1.7990246321442104E-2</v>
      </c>
      <c r="H197" s="16">
        <f>(H198-B198)/B198*100</f>
        <v>2.6985369482156022E-2</v>
      </c>
      <c r="I197" s="16">
        <f>(I198-B198)/B198*100</f>
        <v>3.5980492642869934E-2</v>
      </c>
      <c r="J197" s="32">
        <f>(J198-B198)/B198*100</f>
        <v>4.4975615803583849E-2</v>
      </c>
      <c r="T197" s="30"/>
      <c r="AA197" s="33"/>
    </row>
    <row r="198" spans="1:27" x14ac:dyDescent="0.3">
      <c r="A198" s="30" t="s">
        <v>158</v>
      </c>
      <c r="B198" s="21">
        <v>815497.45</v>
      </c>
      <c r="C198" s="21"/>
      <c r="D198" s="21"/>
      <c r="F198" s="21">
        <v>815570.80500000005</v>
      </c>
      <c r="G198" s="21">
        <v>815644.16000000003</v>
      </c>
      <c r="H198" s="21">
        <v>815717.51500000001</v>
      </c>
      <c r="I198" s="21">
        <v>815790.87</v>
      </c>
      <c r="J198" s="31">
        <v>815864.22499999998</v>
      </c>
      <c r="K198" s="21"/>
      <c r="T198" s="30" t="s">
        <v>67</v>
      </c>
      <c r="U198" t="s">
        <v>104</v>
      </c>
      <c r="W198" s="20">
        <v>0.01</v>
      </c>
      <c r="X198" s="20">
        <v>0.02</v>
      </c>
      <c r="Y198" s="20">
        <v>0.03</v>
      </c>
      <c r="Z198" s="20">
        <v>0.04</v>
      </c>
      <c r="AA198" s="55">
        <v>0.05</v>
      </c>
    </row>
    <row r="199" spans="1:27" x14ac:dyDescent="0.3">
      <c r="A199" s="30"/>
      <c r="B199" s="21"/>
      <c r="C199" s="21"/>
      <c r="D199" s="21"/>
      <c r="F199" s="15">
        <f>(F200-B200)/B200*100</f>
        <v>0</v>
      </c>
      <c r="G199" s="15">
        <f>(G200-B200)/B200*100</f>
        <v>0</v>
      </c>
      <c r="H199" s="15">
        <f>(H200-B200)/B200*100</f>
        <v>0</v>
      </c>
      <c r="I199" s="15">
        <f>(I200-B200)/B200*100</f>
        <v>0</v>
      </c>
      <c r="J199" s="56">
        <f>(J200-B200)/B200*100</f>
        <v>0</v>
      </c>
      <c r="K199" s="21"/>
      <c r="T199" s="30">
        <v>1</v>
      </c>
      <c r="U199">
        <v>44</v>
      </c>
      <c r="W199">
        <f>U199+(U199*1%)</f>
        <v>44.44</v>
      </c>
      <c r="X199">
        <f>U199+(U199*2%)</f>
        <v>44.88</v>
      </c>
      <c r="Y199">
        <f>U199+(U199*3%)</f>
        <v>45.32</v>
      </c>
      <c r="Z199">
        <f>U199+(U199*4%)</f>
        <v>45.76</v>
      </c>
      <c r="AA199" s="33">
        <f>U199+(U199*5%)</f>
        <v>46.2</v>
      </c>
    </row>
    <row r="200" spans="1:27" x14ac:dyDescent="0.3">
      <c r="A200" s="30" t="s">
        <v>159</v>
      </c>
      <c r="B200" s="21">
        <v>4840.7044030870002</v>
      </c>
      <c r="C200" s="21"/>
      <c r="D200" s="21"/>
      <c r="F200" s="21">
        <v>4840.7044030870002</v>
      </c>
      <c r="G200" s="21">
        <v>4840.7044030870002</v>
      </c>
      <c r="H200" s="21">
        <v>4840.7044030870002</v>
      </c>
      <c r="I200" s="21">
        <v>4840.7044030870002</v>
      </c>
      <c r="J200" s="31">
        <v>4840.7044030870002</v>
      </c>
      <c r="K200" s="21"/>
      <c r="T200" s="30">
        <v>2</v>
      </c>
      <c r="U200">
        <v>31</v>
      </c>
      <c r="W200">
        <f t="shared" ref="W200" si="78">U200+(U200*1%)</f>
        <v>31.31</v>
      </c>
      <c r="X200">
        <f t="shared" ref="X200" si="79">U200+(U200*2%)</f>
        <v>31.62</v>
      </c>
      <c r="Y200">
        <f t="shared" ref="Y200" si="80">U200+(U200*3%)</f>
        <v>31.93</v>
      </c>
      <c r="Z200">
        <f t="shared" ref="Z200" si="81">U200+(U200*4%)</f>
        <v>32.24</v>
      </c>
      <c r="AA200" s="33">
        <f t="shared" ref="AA200" si="82">U200+(U200*5%)</f>
        <v>32.549999999999997</v>
      </c>
    </row>
    <row r="201" spans="1:27" x14ac:dyDescent="0.3">
      <c r="A201" s="30"/>
      <c r="J201" s="33"/>
      <c r="T201" s="30">
        <v>3</v>
      </c>
      <c r="U201">
        <v>42</v>
      </c>
      <c r="W201">
        <f>U201+(U201*1%)</f>
        <v>42.42</v>
      </c>
      <c r="X201">
        <f>U201+(U201*2%)</f>
        <v>42.84</v>
      </c>
      <c r="Y201">
        <f>U201+(U201*3%)</f>
        <v>43.26</v>
      </c>
      <c r="Z201">
        <f>U201+(U201*4%)</f>
        <v>43.68</v>
      </c>
      <c r="AA201" s="33">
        <f>U201+(U201*5%)</f>
        <v>44.1</v>
      </c>
    </row>
    <row r="202" spans="1:27" x14ac:dyDescent="0.3">
      <c r="A202" s="30"/>
      <c r="J202" s="33"/>
      <c r="T202" s="30"/>
      <c r="AA202" s="33"/>
    </row>
    <row r="203" spans="1:27" x14ac:dyDescent="0.3">
      <c r="A203" s="30"/>
      <c r="B203" t="s">
        <v>161</v>
      </c>
      <c r="F203" s="16">
        <f>(F204-B204)/B204*100</f>
        <v>1.178409353793753E-2</v>
      </c>
      <c r="G203" s="16">
        <f>(G204-B204)/B204*100</f>
        <v>2.3568187075875061E-2</v>
      </c>
      <c r="H203" s="16">
        <f>(H204-B204)/B204*100</f>
        <v>3.5352280613812584E-2</v>
      </c>
      <c r="I203" s="16">
        <f>(I204-B204)/B204*100</f>
        <v>4.6256945955954483E-2</v>
      </c>
      <c r="J203" s="32">
        <f>(J204-B204)/B204*100</f>
        <v>5.804103949389202E-2</v>
      </c>
      <c r="T203" s="30" t="s">
        <v>197</v>
      </c>
      <c r="U203" t="s">
        <v>160</v>
      </c>
      <c r="W203" s="16">
        <f>(W204-U204)/U204*100</f>
        <v>-3.7303315377941841E-3</v>
      </c>
      <c r="X203" s="16">
        <f>(X204-U204)/U204*100</f>
        <v>-7.3875192993089643E-3</v>
      </c>
      <c r="Y203" s="16">
        <f>(Y204-U204)/U204*100</f>
        <v>-1.0973693718246913E-2</v>
      </c>
      <c r="Z203" s="16">
        <f>(Z204-U204)/U204*100</f>
        <v>-1.4490903236161139E-2</v>
      </c>
      <c r="AA203" s="32">
        <f>(AA204-U204)/U204*100</f>
        <v>-1.7941118289445557E-2</v>
      </c>
    </row>
    <row r="204" spans="1:27" x14ac:dyDescent="0.3">
      <c r="A204" s="30" t="s">
        <v>158</v>
      </c>
      <c r="B204" s="21">
        <v>818713.8</v>
      </c>
      <c r="C204" s="21"/>
      <c r="D204" s="21"/>
      <c r="F204" s="21">
        <v>818810.27800000005</v>
      </c>
      <c r="G204" s="21">
        <v>818906.75600000005</v>
      </c>
      <c r="H204" s="21">
        <v>819003.23400000005</v>
      </c>
      <c r="I204" s="21">
        <v>819092.51199999999</v>
      </c>
      <c r="J204" s="31">
        <v>819188.99</v>
      </c>
      <c r="K204" s="21"/>
      <c r="T204" s="30" t="s">
        <v>178</v>
      </c>
      <c r="U204" s="21">
        <v>4840.7044030870002</v>
      </c>
      <c r="W204" s="21">
        <v>4840.5238287640004</v>
      </c>
      <c r="X204" s="21">
        <v>4840.3467951149996</v>
      </c>
      <c r="Y204" s="21">
        <v>4840.1731990119997</v>
      </c>
      <c r="Z204" s="21">
        <v>4840.0029412960002</v>
      </c>
      <c r="AA204" s="31">
        <v>4839.8359265839999</v>
      </c>
    </row>
    <row r="205" spans="1:27" x14ac:dyDescent="0.3">
      <c r="A205" s="30"/>
      <c r="B205" s="21"/>
      <c r="C205" s="21"/>
      <c r="D205" s="21"/>
      <c r="F205" s="15">
        <f>(F206-B206)/B206*100</f>
        <v>0</v>
      </c>
      <c r="G205" s="15">
        <f>(G206-B206)/B206*100</f>
        <v>0</v>
      </c>
      <c r="H205" s="15">
        <f>(H206-B206)/B206*100</f>
        <v>0</v>
      </c>
      <c r="I205" s="15">
        <f>(I206-B206)/B206*100</f>
        <v>2.0665577289136049E-3</v>
      </c>
      <c r="J205" s="56">
        <f>(J206-B206)/B206*100</f>
        <v>2.0665577289136049E-3</v>
      </c>
      <c r="K205" s="21"/>
      <c r="T205" s="30"/>
      <c r="U205" s="21"/>
      <c r="W205" s="15">
        <f>(W206-U206)/U206*100</f>
        <v>0</v>
      </c>
      <c r="X205" s="15">
        <f>(X206-U206)/U206*100</f>
        <v>0</v>
      </c>
      <c r="Y205" s="15">
        <f>(Y206-U206)/U206*100</f>
        <v>0</v>
      </c>
      <c r="Z205" s="15">
        <f>(Z206-U206)/U206*100</f>
        <v>0</v>
      </c>
      <c r="AA205" s="56">
        <f>(AA206-U206)/U206*100</f>
        <v>0</v>
      </c>
    </row>
    <row r="206" spans="1:27" x14ac:dyDescent="0.3">
      <c r="A206" s="30" t="s">
        <v>159</v>
      </c>
      <c r="B206" s="21">
        <v>4757.7240947110004</v>
      </c>
      <c r="C206" s="21"/>
      <c r="D206" s="21"/>
      <c r="E206" t="s">
        <v>238</v>
      </c>
      <c r="F206" s="21">
        <v>4757.7240947110004</v>
      </c>
      <c r="G206" s="21">
        <v>4757.7240947110004</v>
      </c>
      <c r="H206" s="21">
        <v>4757.7240947110004</v>
      </c>
      <c r="I206" s="21">
        <v>4757.822415826</v>
      </c>
      <c r="J206" s="31">
        <v>4757.822415826</v>
      </c>
      <c r="K206" s="21"/>
      <c r="T206" s="30" t="s">
        <v>158</v>
      </c>
      <c r="U206" s="21">
        <v>815497.45</v>
      </c>
      <c r="W206" s="21">
        <v>815497.45</v>
      </c>
      <c r="X206" s="21">
        <v>815497.45</v>
      </c>
      <c r="Y206" s="21">
        <v>815497.45</v>
      </c>
      <c r="Z206" s="21">
        <v>815497.45</v>
      </c>
      <c r="AA206" s="31">
        <v>815497.45</v>
      </c>
    </row>
    <row r="207" spans="1:27" x14ac:dyDescent="0.3">
      <c r="A207" s="34"/>
      <c r="B207" s="22"/>
      <c r="C207" s="22"/>
      <c r="D207" s="22"/>
      <c r="E207" s="22"/>
      <c r="F207" s="22"/>
      <c r="G207" s="22"/>
      <c r="H207" s="22"/>
      <c r="I207" s="22"/>
      <c r="J207" s="40"/>
      <c r="T207" s="30"/>
      <c r="AA207" s="33"/>
    </row>
    <row r="208" spans="1:27" x14ac:dyDescent="0.3">
      <c r="T208" s="30"/>
      <c r="AA208" s="33"/>
    </row>
    <row r="209" spans="1:28" x14ac:dyDescent="0.3">
      <c r="A209" s="64" t="s">
        <v>42</v>
      </c>
      <c r="B209" s="65"/>
      <c r="C209" s="65"/>
      <c r="D209" s="65"/>
      <c r="E209" s="65"/>
      <c r="F209" s="65"/>
      <c r="G209" s="65"/>
      <c r="H209" s="65"/>
      <c r="I209" s="65"/>
      <c r="J209" s="65"/>
      <c r="K209" s="66"/>
      <c r="T209" s="30"/>
      <c r="U209" t="s">
        <v>161</v>
      </c>
      <c r="W209" s="16">
        <f>(W210-U210)/U210*100</f>
        <v>3.5759309622231004E-3</v>
      </c>
      <c r="X209" s="16">
        <f>(X210-U210)/U210*100</f>
        <v>2.6839329153577614E-3</v>
      </c>
      <c r="Y209" s="16">
        <f>(Y210-U210)/U210*100</f>
        <v>-1.7984987211765243E-3</v>
      </c>
      <c r="Z209" s="16">
        <f>(Z210-U210)/U210*100</f>
        <v>-3.4131505057406158E-3</v>
      </c>
      <c r="AA209" s="32">
        <f>(AA210-U210)/U210*100</f>
        <v>1.1271925175116166E-3</v>
      </c>
    </row>
    <row r="210" spans="1:28" x14ac:dyDescent="0.3">
      <c r="A210" s="57" t="s">
        <v>43</v>
      </c>
      <c r="K210" s="33"/>
      <c r="T210" s="30" t="s">
        <v>178</v>
      </c>
      <c r="U210" s="21">
        <v>4757.7240947110004</v>
      </c>
      <c r="W210" s="21">
        <v>4757.8942276400003</v>
      </c>
      <c r="X210" s="21">
        <v>4757.8517888340002</v>
      </c>
      <c r="Y210" s="21">
        <v>4757.6385271039999</v>
      </c>
      <c r="Z210" s="21">
        <v>4757.561706427</v>
      </c>
      <c r="AA210" s="31">
        <v>4757.7777234209998</v>
      </c>
    </row>
    <row r="211" spans="1:28" x14ac:dyDescent="0.3">
      <c r="A211" s="58" t="s">
        <v>44</v>
      </c>
      <c r="K211" s="33"/>
      <c r="T211" s="30"/>
      <c r="U211" s="21"/>
      <c r="W211" s="15">
        <f>(W212-U212)/U212*100</f>
        <v>-2.6871417093494699E-3</v>
      </c>
      <c r="X211" s="15">
        <f>(X212-U212)/U212*100</f>
        <v>-2.6749274288552704E-3</v>
      </c>
      <c r="Y211" s="15">
        <f>(Y212-U212)/U212*100</f>
        <v>-3.5054985026598856E-3</v>
      </c>
      <c r="Z211" s="15">
        <f>(Z212-U212)/U212*100</f>
        <v>-3.6398555881245148E-3</v>
      </c>
      <c r="AA211" s="56">
        <f>(AA212-U212)/U212*100</f>
        <v>-5.6185690286398001E-3</v>
      </c>
    </row>
    <row r="212" spans="1:28" x14ac:dyDescent="0.3">
      <c r="A212" s="58" t="s">
        <v>45</v>
      </c>
      <c r="K212" s="33"/>
      <c r="T212" s="30" t="s">
        <v>158</v>
      </c>
      <c r="U212" s="21">
        <v>818713.8</v>
      </c>
      <c r="V212" t="s">
        <v>238</v>
      </c>
      <c r="W212" s="21">
        <v>818691.8</v>
      </c>
      <c r="X212" s="21">
        <v>818691.9</v>
      </c>
      <c r="Y212" s="21">
        <v>818685.1</v>
      </c>
      <c r="Z212" s="21">
        <v>818684</v>
      </c>
      <c r="AA212" s="31">
        <v>818667.8</v>
      </c>
    </row>
    <row r="213" spans="1:28" x14ac:dyDescent="0.3">
      <c r="A213" s="58" t="s">
        <v>46</v>
      </c>
      <c r="K213" s="33"/>
      <c r="T213" s="34"/>
      <c r="U213" s="22"/>
      <c r="V213" s="22"/>
      <c r="W213" s="22"/>
      <c r="X213" s="22"/>
      <c r="Y213" s="22"/>
      <c r="Z213" s="22"/>
      <c r="AA213" s="40"/>
    </row>
    <row r="214" spans="1:28" x14ac:dyDescent="0.3">
      <c r="A214" s="58" t="s">
        <v>47</v>
      </c>
      <c r="K214" s="33"/>
    </row>
    <row r="215" spans="1:28" x14ac:dyDescent="0.3">
      <c r="A215" s="58" t="s">
        <v>48</v>
      </c>
      <c r="K215" s="33"/>
      <c r="T215" s="64" t="s">
        <v>105</v>
      </c>
      <c r="U215" s="65"/>
      <c r="V215" s="65"/>
      <c r="W215" s="65"/>
      <c r="X215" s="65"/>
      <c r="Y215" s="65"/>
      <c r="Z215" s="65"/>
      <c r="AA215" s="65"/>
      <c r="AB215" s="66"/>
    </row>
    <row r="216" spans="1:28" x14ac:dyDescent="0.3">
      <c r="A216" s="58" t="s">
        <v>49</v>
      </c>
      <c r="K216" s="33"/>
      <c r="T216" s="57" t="s">
        <v>95</v>
      </c>
      <c r="AB216" s="33"/>
    </row>
    <row r="217" spans="1:28" x14ac:dyDescent="0.3">
      <c r="A217" s="58" t="s">
        <v>50</v>
      </c>
      <c r="K217" s="33"/>
      <c r="T217" s="58" t="s">
        <v>96</v>
      </c>
      <c r="AB217" s="33"/>
    </row>
    <row r="218" spans="1:28" x14ac:dyDescent="0.3">
      <c r="A218" s="58" t="s">
        <v>51</v>
      </c>
      <c r="K218" s="33"/>
      <c r="T218" s="58" t="s">
        <v>97</v>
      </c>
      <c r="AB218" s="33"/>
    </row>
    <row r="219" spans="1:28" x14ac:dyDescent="0.3">
      <c r="A219" s="58" t="s">
        <v>52</v>
      </c>
      <c r="K219" s="33"/>
      <c r="T219" s="30"/>
      <c r="AB219" s="33"/>
    </row>
    <row r="220" spans="1:28" x14ac:dyDescent="0.3">
      <c r="A220" s="58" t="s">
        <v>53</v>
      </c>
      <c r="K220" s="33"/>
      <c r="T220" s="30" t="s">
        <v>28</v>
      </c>
      <c r="U220" t="s">
        <v>10</v>
      </c>
      <c r="V220" t="s">
        <v>106</v>
      </c>
      <c r="X220" s="20">
        <v>0.01</v>
      </c>
      <c r="Y220" s="20">
        <v>0.02</v>
      </c>
      <c r="Z220" s="20">
        <v>0.03</v>
      </c>
      <c r="AA220" s="20">
        <v>0.04</v>
      </c>
      <c r="AB220" s="55">
        <v>0.05</v>
      </c>
    </row>
    <row r="221" spans="1:28" x14ac:dyDescent="0.3">
      <c r="A221" s="58" t="s">
        <v>54</v>
      </c>
      <c r="K221" s="33"/>
      <c r="T221" s="30">
        <v>1</v>
      </c>
      <c r="U221">
        <v>1</v>
      </c>
      <c r="V221">
        <v>0.5</v>
      </c>
      <c r="X221">
        <f>V221+(V221*1%)</f>
        <v>0.505</v>
      </c>
      <c r="Y221">
        <f>V221+(V221*2%)</f>
        <v>0.51</v>
      </c>
      <c r="Z221">
        <f>V221+(V221*3%)</f>
        <v>0.51500000000000001</v>
      </c>
      <c r="AA221">
        <f>V221+(V221*4%)</f>
        <v>0.52</v>
      </c>
      <c r="AB221" s="33">
        <f>V221+(V221*5%)</f>
        <v>0.52500000000000002</v>
      </c>
    </row>
    <row r="222" spans="1:28" x14ac:dyDescent="0.3">
      <c r="A222" s="30"/>
      <c r="K222" s="33"/>
      <c r="T222" s="30">
        <v>1</v>
      </c>
      <c r="U222">
        <v>2</v>
      </c>
      <c r="V222">
        <v>0</v>
      </c>
      <c r="X222">
        <f t="shared" ref="X222" si="83">V222+(V222*1%)</f>
        <v>0</v>
      </c>
      <c r="Y222">
        <f t="shared" ref="Y222" si="84">V222+(V222*2%)</f>
        <v>0</v>
      </c>
      <c r="Z222">
        <f t="shared" ref="Z222" si="85">V222+(V222*3%)</f>
        <v>0</v>
      </c>
      <c r="AA222">
        <f t="shared" ref="AA222" si="86">V222+(V222*4%)</f>
        <v>0</v>
      </c>
      <c r="AB222" s="33">
        <f t="shared" ref="AB222" si="87">V222+(V222*5%)</f>
        <v>0</v>
      </c>
    </row>
    <row r="223" spans="1:28" x14ac:dyDescent="0.3">
      <c r="A223" s="58" t="s">
        <v>2</v>
      </c>
      <c r="B223" t="s">
        <v>28</v>
      </c>
      <c r="C223" t="s">
        <v>55</v>
      </c>
      <c r="D223" t="s">
        <v>10</v>
      </c>
      <c r="E223" t="s">
        <v>56</v>
      </c>
      <c r="G223" s="20">
        <v>0.01</v>
      </c>
      <c r="H223" s="20">
        <v>0.02</v>
      </c>
      <c r="I223" s="20">
        <v>0.03</v>
      </c>
      <c r="J223" s="20">
        <v>0.04</v>
      </c>
      <c r="K223" s="55">
        <v>0.05</v>
      </c>
      <c r="L223" s="20"/>
      <c r="T223" s="30">
        <v>1</v>
      </c>
      <c r="U223">
        <v>3</v>
      </c>
      <c r="V223">
        <v>0.1</v>
      </c>
      <c r="X223">
        <f>V223+(V223*1%)</f>
        <v>0.10100000000000001</v>
      </c>
      <c r="Y223">
        <f>V223+(V223*2%)</f>
        <v>0.10200000000000001</v>
      </c>
      <c r="Z223">
        <f>V223+(V223*3%)</f>
        <v>0.10300000000000001</v>
      </c>
      <c r="AA223">
        <f>V223+(V223*4%)</f>
        <v>0.10400000000000001</v>
      </c>
      <c r="AB223" s="33">
        <f>V223+(V223*5%)</f>
        <v>0.10500000000000001</v>
      </c>
    </row>
    <row r="224" spans="1:28" x14ac:dyDescent="0.3">
      <c r="A224" s="30">
        <v>1</v>
      </c>
      <c r="B224">
        <v>1</v>
      </c>
      <c r="C224">
        <v>1</v>
      </c>
      <c r="D224">
        <v>1</v>
      </c>
      <c r="E224">
        <v>8.6</v>
      </c>
      <c r="G224">
        <f>E224+(E224*1%)</f>
        <v>8.6859999999999999</v>
      </c>
      <c r="H224">
        <f>E224+(E224*2%)</f>
        <v>8.7720000000000002</v>
      </c>
      <c r="I224">
        <f>E224+(E224*3%)</f>
        <v>8.8580000000000005</v>
      </c>
      <c r="J224">
        <f>E224+(E224*4%)</f>
        <v>8.9439999999999991</v>
      </c>
      <c r="K224" s="33">
        <f>E224+(E224*5%)</f>
        <v>9.0299999999999994</v>
      </c>
      <c r="T224" s="30">
        <v>1</v>
      </c>
      <c r="U224">
        <v>4</v>
      </c>
      <c r="V224">
        <v>0.7</v>
      </c>
      <c r="X224">
        <f t="shared" ref="X224:X238" si="88">V224+(V224*1%)</f>
        <v>0.70699999999999996</v>
      </c>
      <c r="Y224">
        <f t="shared" ref="Y224:Y238" si="89">V224+(V224*2%)</f>
        <v>0.71399999999999997</v>
      </c>
      <c r="Z224">
        <f t="shared" ref="Z224:Z238" si="90">V224+(V224*3%)</f>
        <v>0.72099999999999997</v>
      </c>
      <c r="AA224">
        <f t="shared" ref="AA224:AA238" si="91">V224+(V224*4%)</f>
        <v>0.72799999999999998</v>
      </c>
      <c r="AB224" s="33">
        <f t="shared" ref="AB224:AB238" si="92">V224+(V224*5%)</f>
        <v>0.73499999999999999</v>
      </c>
    </row>
    <row r="225" spans="1:28" x14ac:dyDescent="0.3">
      <c r="A225" s="30">
        <v>1</v>
      </c>
      <c r="B225">
        <v>1</v>
      </c>
      <c r="C225">
        <v>1</v>
      </c>
      <c r="D225">
        <v>2</v>
      </c>
      <c r="E225">
        <v>7.2</v>
      </c>
      <c r="G225">
        <f t="shared" ref="G225:G229" si="93">E225+(E225*1%)</f>
        <v>7.2720000000000002</v>
      </c>
      <c r="H225">
        <f t="shared" ref="H225:H235" si="94">E225+(E225*2%)</f>
        <v>7.3440000000000003</v>
      </c>
      <c r="I225">
        <f t="shared" ref="I225:I235" si="95">E225+(E225*3%)</f>
        <v>7.4160000000000004</v>
      </c>
      <c r="J225">
        <f t="shared" ref="J225:J235" si="96">E225+(E225*4%)</f>
        <v>7.4880000000000004</v>
      </c>
      <c r="K225" s="33">
        <f t="shared" ref="K225:K288" si="97">E225+(E225*5%)</f>
        <v>7.5600000000000005</v>
      </c>
      <c r="T225" s="30">
        <v>1</v>
      </c>
      <c r="U225">
        <v>5</v>
      </c>
      <c r="V225">
        <v>0</v>
      </c>
      <c r="X225">
        <f t="shared" si="88"/>
        <v>0</v>
      </c>
      <c r="Y225">
        <f t="shared" si="89"/>
        <v>0</v>
      </c>
      <c r="Z225">
        <f t="shared" si="90"/>
        <v>0</v>
      </c>
      <c r="AA225">
        <f t="shared" si="91"/>
        <v>0</v>
      </c>
      <c r="AB225" s="33">
        <f t="shared" si="92"/>
        <v>0</v>
      </c>
    </row>
    <row r="226" spans="1:28" x14ac:dyDescent="0.3">
      <c r="A226" s="30">
        <v>1</v>
      </c>
      <c r="B226">
        <v>1</v>
      </c>
      <c r="C226">
        <v>1</v>
      </c>
      <c r="D226">
        <v>3</v>
      </c>
      <c r="E226">
        <v>9.3000000000000007</v>
      </c>
      <c r="G226">
        <f t="shared" si="93"/>
        <v>9.3930000000000007</v>
      </c>
      <c r="H226">
        <f t="shared" si="94"/>
        <v>9.4860000000000007</v>
      </c>
      <c r="I226">
        <f t="shared" si="95"/>
        <v>9.5790000000000006</v>
      </c>
      <c r="J226">
        <f t="shared" si="96"/>
        <v>9.6720000000000006</v>
      </c>
      <c r="K226" s="33">
        <f t="shared" si="97"/>
        <v>9.7650000000000006</v>
      </c>
      <c r="T226" s="30">
        <v>1</v>
      </c>
      <c r="U226">
        <v>6</v>
      </c>
      <c r="V226">
        <v>0</v>
      </c>
      <c r="X226">
        <f t="shared" si="88"/>
        <v>0</v>
      </c>
      <c r="Y226">
        <f t="shared" si="89"/>
        <v>0</v>
      </c>
      <c r="Z226">
        <f t="shared" si="90"/>
        <v>0</v>
      </c>
      <c r="AA226">
        <f t="shared" si="91"/>
        <v>0</v>
      </c>
      <c r="AB226" s="33">
        <f t="shared" si="92"/>
        <v>0</v>
      </c>
    </row>
    <row r="227" spans="1:28" x14ac:dyDescent="0.3">
      <c r="A227" s="30">
        <v>1</v>
      </c>
      <c r="B227">
        <v>1</v>
      </c>
      <c r="C227">
        <v>1</v>
      </c>
      <c r="D227">
        <v>4</v>
      </c>
      <c r="E227">
        <v>5.6</v>
      </c>
      <c r="G227">
        <f t="shared" si="93"/>
        <v>5.6559999999999997</v>
      </c>
      <c r="H227">
        <f t="shared" si="94"/>
        <v>5.7119999999999997</v>
      </c>
      <c r="I227">
        <f t="shared" si="95"/>
        <v>5.7679999999999998</v>
      </c>
      <c r="J227">
        <f t="shared" si="96"/>
        <v>5.8239999999999998</v>
      </c>
      <c r="K227" s="33">
        <f t="shared" si="97"/>
        <v>5.88</v>
      </c>
      <c r="T227" s="30">
        <v>2</v>
      </c>
      <c r="U227">
        <v>1</v>
      </c>
      <c r="V227">
        <v>0.5</v>
      </c>
      <c r="X227">
        <f t="shared" si="88"/>
        <v>0.505</v>
      </c>
      <c r="Y227">
        <f t="shared" si="89"/>
        <v>0.51</v>
      </c>
      <c r="Z227">
        <f t="shared" si="90"/>
        <v>0.51500000000000001</v>
      </c>
      <c r="AA227">
        <f t="shared" si="91"/>
        <v>0.52</v>
      </c>
      <c r="AB227" s="33">
        <f t="shared" si="92"/>
        <v>0.52500000000000002</v>
      </c>
    </row>
    <row r="228" spans="1:28" x14ac:dyDescent="0.3">
      <c r="A228" s="30">
        <v>1</v>
      </c>
      <c r="B228">
        <v>1</v>
      </c>
      <c r="C228">
        <v>1</v>
      </c>
      <c r="D228">
        <v>5</v>
      </c>
      <c r="E228">
        <v>6.5</v>
      </c>
      <c r="G228">
        <f t="shared" si="93"/>
        <v>6.5650000000000004</v>
      </c>
      <c r="H228">
        <f t="shared" si="94"/>
        <v>6.63</v>
      </c>
      <c r="I228">
        <f t="shared" si="95"/>
        <v>6.6950000000000003</v>
      </c>
      <c r="J228">
        <f t="shared" si="96"/>
        <v>6.76</v>
      </c>
      <c r="K228" s="33">
        <f t="shared" si="97"/>
        <v>6.8250000000000002</v>
      </c>
      <c r="T228" s="30">
        <v>2</v>
      </c>
      <c r="U228">
        <v>2</v>
      </c>
      <c r="V228">
        <v>0</v>
      </c>
      <c r="X228">
        <f t="shared" si="88"/>
        <v>0</v>
      </c>
      <c r="Y228">
        <f t="shared" si="89"/>
        <v>0</v>
      </c>
      <c r="Z228">
        <f t="shared" si="90"/>
        <v>0</v>
      </c>
      <c r="AA228">
        <f t="shared" si="91"/>
        <v>0</v>
      </c>
      <c r="AB228" s="33">
        <f t="shared" si="92"/>
        <v>0</v>
      </c>
    </row>
    <row r="229" spans="1:28" x14ac:dyDescent="0.3">
      <c r="A229" s="30">
        <v>1</v>
      </c>
      <c r="B229">
        <v>1</v>
      </c>
      <c r="C229">
        <v>1</v>
      </c>
      <c r="D229">
        <v>6</v>
      </c>
      <c r="E229">
        <v>7.3</v>
      </c>
      <c r="G229">
        <f t="shared" si="93"/>
        <v>7.3730000000000002</v>
      </c>
      <c r="H229">
        <f t="shared" si="94"/>
        <v>7.4459999999999997</v>
      </c>
      <c r="I229">
        <f t="shared" si="95"/>
        <v>7.5190000000000001</v>
      </c>
      <c r="J229">
        <f t="shared" si="96"/>
        <v>7.5919999999999996</v>
      </c>
      <c r="K229" s="33">
        <f t="shared" si="97"/>
        <v>7.665</v>
      </c>
      <c r="T229" s="30">
        <v>2</v>
      </c>
      <c r="U229">
        <v>3</v>
      </c>
      <c r="V229">
        <v>0.5</v>
      </c>
      <c r="X229">
        <f t="shared" si="88"/>
        <v>0.505</v>
      </c>
      <c r="Y229">
        <f t="shared" si="89"/>
        <v>0.51</v>
      </c>
      <c r="Z229">
        <f t="shared" si="90"/>
        <v>0.51500000000000001</v>
      </c>
      <c r="AA229">
        <f t="shared" si="91"/>
        <v>0.52</v>
      </c>
      <c r="AB229" s="33">
        <f t="shared" si="92"/>
        <v>0.52500000000000002</v>
      </c>
    </row>
    <row r="230" spans="1:28" x14ac:dyDescent="0.3">
      <c r="A230" s="30">
        <v>1</v>
      </c>
      <c r="B230">
        <v>1</v>
      </c>
      <c r="C230">
        <v>2</v>
      </c>
      <c r="D230">
        <v>1</v>
      </c>
      <c r="E230">
        <v>5.8</v>
      </c>
      <c r="G230">
        <f>E230+(E230*1%)</f>
        <v>5.8579999999999997</v>
      </c>
      <c r="H230">
        <f t="shared" si="94"/>
        <v>5.9159999999999995</v>
      </c>
      <c r="I230">
        <f t="shared" si="95"/>
        <v>5.9740000000000002</v>
      </c>
      <c r="J230">
        <f t="shared" si="96"/>
        <v>6.032</v>
      </c>
      <c r="K230" s="33">
        <f>E230+(E230*5%)</f>
        <v>6.09</v>
      </c>
      <c r="T230" s="30">
        <v>2</v>
      </c>
      <c r="U230">
        <v>4</v>
      </c>
      <c r="V230">
        <v>0.6</v>
      </c>
      <c r="X230">
        <f t="shared" si="88"/>
        <v>0.60599999999999998</v>
      </c>
      <c r="Y230">
        <f t="shared" si="89"/>
        <v>0.61199999999999999</v>
      </c>
      <c r="Z230">
        <f t="shared" si="90"/>
        <v>0.61799999999999999</v>
      </c>
      <c r="AA230">
        <f t="shared" si="91"/>
        <v>0.624</v>
      </c>
      <c r="AB230" s="33">
        <f t="shared" si="92"/>
        <v>0.63</v>
      </c>
    </row>
    <row r="231" spans="1:28" x14ac:dyDescent="0.3">
      <c r="A231" s="30">
        <v>1</v>
      </c>
      <c r="B231">
        <v>1</v>
      </c>
      <c r="C231">
        <v>2</v>
      </c>
      <c r="D231">
        <v>2</v>
      </c>
      <c r="E231">
        <v>7.8</v>
      </c>
      <c r="G231">
        <f>E231+(E231*1%)</f>
        <v>7.8780000000000001</v>
      </c>
      <c r="H231">
        <f t="shared" si="94"/>
        <v>7.9559999999999995</v>
      </c>
      <c r="I231">
        <f t="shared" si="95"/>
        <v>8.0339999999999989</v>
      </c>
      <c r="J231">
        <f t="shared" si="96"/>
        <v>8.1120000000000001</v>
      </c>
      <c r="K231" s="33">
        <f t="shared" si="97"/>
        <v>8.19</v>
      </c>
      <c r="T231" s="30">
        <v>2</v>
      </c>
      <c r="U231">
        <v>5</v>
      </c>
      <c r="V231">
        <v>0</v>
      </c>
      <c r="X231">
        <f t="shared" si="88"/>
        <v>0</v>
      </c>
      <c r="Y231">
        <f t="shared" si="89"/>
        <v>0</v>
      </c>
      <c r="Z231">
        <f t="shared" si="90"/>
        <v>0</v>
      </c>
      <c r="AA231">
        <f t="shared" si="91"/>
        <v>0</v>
      </c>
      <c r="AB231" s="33">
        <f t="shared" si="92"/>
        <v>0</v>
      </c>
    </row>
    <row r="232" spans="1:28" x14ac:dyDescent="0.3">
      <c r="A232" s="30">
        <v>1</v>
      </c>
      <c r="B232">
        <v>1</v>
      </c>
      <c r="C232">
        <v>2</v>
      </c>
      <c r="D232">
        <v>3</v>
      </c>
      <c r="E232">
        <v>6.8</v>
      </c>
      <c r="G232">
        <f t="shared" ref="G232:G235" si="98">E232+(E232*1%)</f>
        <v>6.8679999999999994</v>
      </c>
      <c r="H232">
        <f t="shared" si="94"/>
        <v>6.9359999999999999</v>
      </c>
      <c r="I232">
        <f t="shared" si="95"/>
        <v>7.0039999999999996</v>
      </c>
      <c r="J232">
        <f t="shared" si="96"/>
        <v>7.0720000000000001</v>
      </c>
      <c r="K232" s="33">
        <f t="shared" si="97"/>
        <v>7.14</v>
      </c>
      <c r="T232" s="30">
        <v>2</v>
      </c>
      <c r="U232">
        <v>6</v>
      </c>
      <c r="V232">
        <v>0</v>
      </c>
      <c r="X232">
        <f t="shared" si="88"/>
        <v>0</v>
      </c>
      <c r="Y232">
        <f t="shared" si="89"/>
        <v>0</v>
      </c>
      <c r="Z232">
        <f t="shared" si="90"/>
        <v>0</v>
      </c>
      <c r="AA232">
        <f t="shared" si="91"/>
        <v>0</v>
      </c>
      <c r="AB232" s="33">
        <f t="shared" si="92"/>
        <v>0</v>
      </c>
    </row>
    <row r="233" spans="1:28" x14ac:dyDescent="0.3">
      <c r="A233" s="30">
        <v>1</v>
      </c>
      <c r="B233">
        <v>1</v>
      </c>
      <c r="C233">
        <v>2</v>
      </c>
      <c r="D233">
        <v>4</v>
      </c>
      <c r="E233">
        <v>4.5</v>
      </c>
      <c r="G233">
        <f t="shared" si="98"/>
        <v>4.5449999999999999</v>
      </c>
      <c r="H233">
        <f t="shared" si="94"/>
        <v>4.59</v>
      </c>
      <c r="I233">
        <f t="shared" si="95"/>
        <v>4.6349999999999998</v>
      </c>
      <c r="J233">
        <f t="shared" si="96"/>
        <v>4.68</v>
      </c>
      <c r="K233" s="33">
        <f t="shared" si="97"/>
        <v>4.7249999999999996</v>
      </c>
      <c r="T233" s="30">
        <v>3</v>
      </c>
      <c r="U233">
        <v>1</v>
      </c>
      <c r="V233">
        <v>0.4</v>
      </c>
      <c r="X233">
        <f t="shared" si="88"/>
        <v>0.40400000000000003</v>
      </c>
      <c r="Y233">
        <f t="shared" si="89"/>
        <v>0.40800000000000003</v>
      </c>
      <c r="Z233">
        <f t="shared" si="90"/>
        <v>0.41200000000000003</v>
      </c>
      <c r="AA233">
        <f t="shared" si="91"/>
        <v>0.41600000000000004</v>
      </c>
      <c r="AB233" s="33">
        <f t="shared" si="92"/>
        <v>0.42000000000000004</v>
      </c>
    </row>
    <row r="234" spans="1:28" x14ac:dyDescent="0.3">
      <c r="A234" s="30">
        <v>1</v>
      </c>
      <c r="B234">
        <v>1</v>
      </c>
      <c r="C234">
        <v>2</v>
      </c>
      <c r="D234">
        <v>5</v>
      </c>
      <c r="E234">
        <v>8.1</v>
      </c>
      <c r="G234">
        <f t="shared" si="98"/>
        <v>8.1809999999999992</v>
      </c>
      <c r="H234">
        <f t="shared" si="94"/>
        <v>8.2620000000000005</v>
      </c>
      <c r="I234">
        <f t="shared" si="95"/>
        <v>8.343</v>
      </c>
      <c r="J234">
        <f t="shared" si="96"/>
        <v>8.4239999999999995</v>
      </c>
      <c r="K234" s="33">
        <f t="shared" si="97"/>
        <v>8.504999999999999</v>
      </c>
      <c r="T234" s="30">
        <v>3</v>
      </c>
      <c r="U234">
        <v>2</v>
      </c>
      <c r="V234">
        <v>0</v>
      </c>
      <c r="X234">
        <f t="shared" si="88"/>
        <v>0</v>
      </c>
      <c r="Y234">
        <f t="shared" si="89"/>
        <v>0</v>
      </c>
      <c r="Z234">
        <f t="shared" si="90"/>
        <v>0</v>
      </c>
      <c r="AA234">
        <f t="shared" si="91"/>
        <v>0</v>
      </c>
      <c r="AB234" s="33">
        <f t="shared" si="92"/>
        <v>0</v>
      </c>
    </row>
    <row r="235" spans="1:28" x14ac:dyDescent="0.3">
      <c r="A235" s="30">
        <v>1</v>
      </c>
      <c r="B235">
        <v>1</v>
      </c>
      <c r="C235">
        <v>2</v>
      </c>
      <c r="D235">
        <v>6</v>
      </c>
      <c r="E235">
        <v>6.4</v>
      </c>
      <c r="G235">
        <f t="shared" si="98"/>
        <v>6.4640000000000004</v>
      </c>
      <c r="H235">
        <f t="shared" si="94"/>
        <v>6.5280000000000005</v>
      </c>
      <c r="I235">
        <f t="shared" si="95"/>
        <v>6.5920000000000005</v>
      </c>
      <c r="J235">
        <f t="shared" si="96"/>
        <v>6.6560000000000006</v>
      </c>
      <c r="K235" s="33">
        <f t="shared" si="97"/>
        <v>6.7200000000000006</v>
      </c>
      <c r="T235" s="30">
        <v>3</v>
      </c>
      <c r="U235">
        <v>3</v>
      </c>
      <c r="V235">
        <v>0.3</v>
      </c>
      <c r="X235">
        <f t="shared" si="88"/>
        <v>0.30299999999999999</v>
      </c>
      <c r="Y235">
        <f t="shared" si="89"/>
        <v>0.30599999999999999</v>
      </c>
      <c r="Z235">
        <f t="shared" si="90"/>
        <v>0.309</v>
      </c>
      <c r="AA235">
        <f t="shared" si="91"/>
        <v>0.312</v>
      </c>
      <c r="AB235" s="33">
        <f t="shared" si="92"/>
        <v>0.315</v>
      </c>
    </row>
    <row r="236" spans="1:28" x14ac:dyDescent="0.3">
      <c r="A236" s="30">
        <v>1</v>
      </c>
      <c r="B236">
        <v>1</v>
      </c>
      <c r="C236">
        <v>3</v>
      </c>
      <c r="D236">
        <v>1</v>
      </c>
      <c r="E236">
        <v>7.3</v>
      </c>
      <c r="G236">
        <f>E236+(E236*1%)</f>
        <v>7.3730000000000002</v>
      </c>
      <c r="H236">
        <f>E236+(E236*2%)</f>
        <v>7.4459999999999997</v>
      </c>
      <c r="I236">
        <f>E236+(E236*3%)</f>
        <v>7.5190000000000001</v>
      </c>
      <c r="J236">
        <f>E236+(E236*4%)</f>
        <v>7.5919999999999996</v>
      </c>
      <c r="K236" s="33">
        <f t="shared" si="97"/>
        <v>7.665</v>
      </c>
      <c r="T236" s="30">
        <v>3</v>
      </c>
      <c r="U236">
        <v>4</v>
      </c>
      <c r="V236">
        <v>0.6</v>
      </c>
      <c r="X236">
        <f t="shared" si="88"/>
        <v>0.60599999999999998</v>
      </c>
      <c r="Y236">
        <f t="shared" si="89"/>
        <v>0.61199999999999999</v>
      </c>
      <c r="Z236">
        <f t="shared" si="90"/>
        <v>0.61799999999999999</v>
      </c>
      <c r="AA236">
        <f t="shared" si="91"/>
        <v>0.624</v>
      </c>
      <c r="AB236" s="33">
        <f t="shared" si="92"/>
        <v>0.63</v>
      </c>
    </row>
    <row r="237" spans="1:28" x14ac:dyDescent="0.3">
      <c r="A237" s="30">
        <v>1</v>
      </c>
      <c r="B237">
        <v>1</v>
      </c>
      <c r="C237">
        <v>3</v>
      </c>
      <c r="D237">
        <v>2</v>
      </c>
      <c r="E237">
        <v>8.4</v>
      </c>
      <c r="G237">
        <f t="shared" ref="G237:G300" si="99">E237+(E237*1%)</f>
        <v>8.484</v>
      </c>
      <c r="H237">
        <f t="shared" ref="H237:H300" si="100">E237+(E237*2%)</f>
        <v>8.5679999999999996</v>
      </c>
      <c r="I237">
        <f t="shared" ref="I237:I300" si="101">E237+(E237*3%)</f>
        <v>8.652000000000001</v>
      </c>
      <c r="J237">
        <f t="shared" ref="J237:J244" si="102">E237+(E237*4%)</f>
        <v>8.7360000000000007</v>
      </c>
      <c r="K237" s="33">
        <f t="shared" si="97"/>
        <v>8.82</v>
      </c>
      <c r="T237" s="30">
        <v>3</v>
      </c>
      <c r="U237">
        <v>5</v>
      </c>
      <c r="V237">
        <v>0</v>
      </c>
      <c r="X237">
        <f t="shared" si="88"/>
        <v>0</v>
      </c>
      <c r="Y237">
        <f t="shared" si="89"/>
        <v>0</v>
      </c>
      <c r="Z237">
        <f t="shared" si="90"/>
        <v>0</v>
      </c>
      <c r="AA237">
        <f t="shared" si="91"/>
        <v>0</v>
      </c>
      <c r="AB237" s="33">
        <f t="shared" si="92"/>
        <v>0</v>
      </c>
    </row>
    <row r="238" spans="1:28" x14ac:dyDescent="0.3">
      <c r="A238" s="30">
        <v>1</v>
      </c>
      <c r="B238">
        <v>1</v>
      </c>
      <c r="C238">
        <v>3</v>
      </c>
      <c r="D238">
        <v>3</v>
      </c>
      <c r="E238">
        <v>5.5</v>
      </c>
      <c r="G238">
        <f t="shared" si="99"/>
        <v>5.5549999999999997</v>
      </c>
      <c r="H238">
        <f t="shared" si="100"/>
        <v>5.61</v>
      </c>
      <c r="I238">
        <f t="shared" si="101"/>
        <v>5.665</v>
      </c>
      <c r="J238">
        <f t="shared" si="102"/>
        <v>5.72</v>
      </c>
      <c r="K238" s="33">
        <f t="shared" si="97"/>
        <v>5.7750000000000004</v>
      </c>
      <c r="T238" s="30">
        <v>3</v>
      </c>
      <c r="U238">
        <v>6</v>
      </c>
      <c r="V238">
        <v>0</v>
      </c>
      <c r="X238">
        <f t="shared" si="88"/>
        <v>0</v>
      </c>
      <c r="Y238">
        <f t="shared" si="89"/>
        <v>0</v>
      </c>
      <c r="Z238">
        <f t="shared" si="90"/>
        <v>0</v>
      </c>
      <c r="AA238">
        <f t="shared" si="91"/>
        <v>0</v>
      </c>
      <c r="AB238" s="33">
        <f t="shared" si="92"/>
        <v>0</v>
      </c>
    </row>
    <row r="239" spans="1:28" x14ac:dyDescent="0.3">
      <c r="A239" s="30">
        <v>1</v>
      </c>
      <c r="B239">
        <v>1</v>
      </c>
      <c r="C239">
        <v>3</v>
      </c>
      <c r="D239">
        <v>4</v>
      </c>
      <c r="E239">
        <v>7.6</v>
      </c>
      <c r="G239">
        <f t="shared" si="99"/>
        <v>7.6759999999999993</v>
      </c>
      <c r="H239">
        <f t="shared" si="100"/>
        <v>7.7519999999999998</v>
      </c>
      <c r="I239">
        <f t="shared" si="101"/>
        <v>7.8279999999999994</v>
      </c>
      <c r="J239">
        <f t="shared" si="102"/>
        <v>7.9039999999999999</v>
      </c>
      <c r="K239" s="33">
        <f t="shared" si="97"/>
        <v>7.9799999999999995</v>
      </c>
      <c r="T239" s="30"/>
      <c r="AB239" s="33"/>
    </row>
    <row r="240" spans="1:28" x14ac:dyDescent="0.3">
      <c r="A240" s="30">
        <v>1</v>
      </c>
      <c r="B240">
        <v>1</v>
      </c>
      <c r="C240">
        <v>3</v>
      </c>
      <c r="D240">
        <v>5</v>
      </c>
      <c r="E240">
        <v>5.4</v>
      </c>
      <c r="G240">
        <f t="shared" si="99"/>
        <v>5.4540000000000006</v>
      </c>
      <c r="H240">
        <f t="shared" si="100"/>
        <v>5.508</v>
      </c>
      <c r="I240">
        <f t="shared" si="101"/>
        <v>5.5620000000000003</v>
      </c>
      <c r="J240">
        <f t="shared" si="102"/>
        <v>5.6160000000000005</v>
      </c>
      <c r="K240" s="33">
        <f t="shared" si="97"/>
        <v>5.67</v>
      </c>
      <c r="T240" s="30" t="s">
        <v>201</v>
      </c>
      <c r="U240" t="s">
        <v>160</v>
      </c>
      <c r="X240" s="16">
        <f>(X241-U241)/U241*100</f>
        <v>-100</v>
      </c>
      <c r="Y240" s="16">
        <f>(Y241-U241)/U241*100</f>
        <v>-100</v>
      </c>
      <c r="Z240" s="16">
        <f>(Z241-U241)/U241*100</f>
        <v>-100</v>
      </c>
      <c r="AA240" s="16">
        <f>(AA241-U241)/U241*100</f>
        <v>-100</v>
      </c>
      <c r="AB240" s="32">
        <f>(AB241-U241)/U241*100</f>
        <v>-100</v>
      </c>
    </row>
    <row r="241" spans="1:29" x14ac:dyDescent="0.3">
      <c r="A241" s="30">
        <v>1</v>
      </c>
      <c r="B241">
        <v>1</v>
      </c>
      <c r="C241">
        <v>3</v>
      </c>
      <c r="D241">
        <v>6</v>
      </c>
      <c r="E241">
        <v>8.1999999999999993</v>
      </c>
      <c r="G241">
        <f t="shared" si="99"/>
        <v>8.282</v>
      </c>
      <c r="H241">
        <f t="shared" si="100"/>
        <v>8.363999999999999</v>
      </c>
      <c r="I241">
        <f t="shared" si="101"/>
        <v>8.4459999999999997</v>
      </c>
      <c r="J241">
        <f t="shared" si="102"/>
        <v>8.5279999999999987</v>
      </c>
      <c r="K241" s="33">
        <f t="shared" si="97"/>
        <v>8.61</v>
      </c>
      <c r="T241" s="30" t="s">
        <v>178</v>
      </c>
      <c r="U241" s="21">
        <v>4840.7044030870002</v>
      </c>
      <c r="V241" s="21"/>
      <c r="X241" s="21"/>
      <c r="Y241" s="21"/>
      <c r="Z241" s="21"/>
      <c r="AA241" s="21"/>
      <c r="AB241" s="31"/>
      <c r="AC241" s="21"/>
    </row>
    <row r="242" spans="1:29" x14ac:dyDescent="0.3">
      <c r="A242" s="30">
        <v>1</v>
      </c>
      <c r="B242">
        <v>2</v>
      </c>
      <c r="C242">
        <v>1</v>
      </c>
      <c r="D242">
        <v>1</v>
      </c>
      <c r="E242">
        <v>4.7</v>
      </c>
      <c r="G242">
        <f t="shared" si="99"/>
        <v>4.7469999999999999</v>
      </c>
      <c r="H242">
        <f t="shared" si="100"/>
        <v>4.7940000000000005</v>
      </c>
      <c r="I242">
        <f t="shared" si="101"/>
        <v>4.8410000000000002</v>
      </c>
      <c r="J242">
        <f t="shared" si="102"/>
        <v>4.8879999999999999</v>
      </c>
      <c r="K242" s="33">
        <f t="shared" si="97"/>
        <v>4.9350000000000005</v>
      </c>
      <c r="T242" s="30"/>
      <c r="U242" s="21"/>
      <c r="V242" s="21"/>
      <c r="X242" s="15">
        <f>(X243-U243)/U243*100</f>
        <v>-100</v>
      </c>
      <c r="Y242" s="15">
        <f>(Y243-U243)/U243*100</f>
        <v>-100</v>
      </c>
      <c r="Z242" s="15">
        <f>(Z243-U243)/U243*100</f>
        <v>-100</v>
      </c>
      <c r="AA242" s="15">
        <f>(AA243-U243)/U243*100</f>
        <v>-100</v>
      </c>
      <c r="AB242" s="56">
        <f>(AB243-U243)/U243*100</f>
        <v>-100</v>
      </c>
    </row>
    <row r="243" spans="1:29" x14ac:dyDescent="0.3">
      <c r="A243" s="30">
        <v>1</v>
      </c>
      <c r="B243">
        <v>2</v>
      </c>
      <c r="C243">
        <v>1</v>
      </c>
      <c r="D243">
        <v>2</v>
      </c>
      <c r="E243">
        <v>7.5</v>
      </c>
      <c r="G243">
        <f t="shared" si="99"/>
        <v>7.5750000000000002</v>
      </c>
      <c r="H243">
        <f t="shared" si="100"/>
        <v>7.65</v>
      </c>
      <c r="I243">
        <f t="shared" si="101"/>
        <v>7.7249999999999996</v>
      </c>
      <c r="J243">
        <f t="shared" si="102"/>
        <v>7.8</v>
      </c>
      <c r="K243" s="33">
        <f t="shared" si="97"/>
        <v>7.875</v>
      </c>
      <c r="T243" s="30" t="s">
        <v>158</v>
      </c>
      <c r="U243" s="21">
        <v>815497.45</v>
      </c>
      <c r="V243" s="21"/>
      <c r="X243" s="21"/>
      <c r="Y243" s="21"/>
      <c r="Z243" s="21"/>
      <c r="AA243" s="21"/>
      <c r="AB243" s="31"/>
      <c r="AC243" s="21"/>
    </row>
    <row r="244" spans="1:29" x14ac:dyDescent="0.3">
      <c r="A244" s="30">
        <v>1</v>
      </c>
      <c r="B244">
        <v>2</v>
      </c>
      <c r="C244">
        <v>1</v>
      </c>
      <c r="D244">
        <v>3</v>
      </c>
      <c r="E244">
        <v>5.7</v>
      </c>
      <c r="G244">
        <f t="shared" si="99"/>
        <v>5.7570000000000006</v>
      </c>
      <c r="H244">
        <f t="shared" si="100"/>
        <v>5.8140000000000001</v>
      </c>
      <c r="I244">
        <f t="shared" si="101"/>
        <v>5.8710000000000004</v>
      </c>
      <c r="J244">
        <f t="shared" si="102"/>
        <v>5.9279999999999999</v>
      </c>
      <c r="K244" s="33">
        <f t="shared" si="97"/>
        <v>5.9850000000000003</v>
      </c>
      <c r="T244" s="30"/>
      <c r="AB244" s="33"/>
    </row>
    <row r="245" spans="1:29" x14ac:dyDescent="0.3">
      <c r="A245" s="30">
        <v>1</v>
      </c>
      <c r="B245">
        <v>2</v>
      </c>
      <c r="C245">
        <v>1</v>
      </c>
      <c r="D245">
        <v>4</v>
      </c>
      <c r="E245">
        <v>7.2</v>
      </c>
      <c r="G245">
        <f t="shared" si="99"/>
        <v>7.2720000000000002</v>
      </c>
      <c r="H245">
        <f t="shared" si="100"/>
        <v>7.3440000000000003</v>
      </c>
      <c r="I245">
        <f t="shared" si="101"/>
        <v>7.4160000000000004</v>
      </c>
      <c r="J245">
        <f>E245+(E245*4%)</f>
        <v>7.4880000000000004</v>
      </c>
      <c r="K245" s="33">
        <f t="shared" si="97"/>
        <v>7.5600000000000005</v>
      </c>
      <c r="T245" s="30"/>
      <c r="AB245" s="33"/>
    </row>
    <row r="246" spans="1:29" x14ac:dyDescent="0.3">
      <c r="A246" s="30">
        <v>1</v>
      </c>
      <c r="B246">
        <v>2</v>
      </c>
      <c r="C246">
        <v>1</v>
      </c>
      <c r="D246">
        <v>5</v>
      </c>
      <c r="E246">
        <v>5.3</v>
      </c>
      <c r="G246">
        <f t="shared" si="99"/>
        <v>5.3529999999999998</v>
      </c>
      <c r="H246">
        <f t="shared" si="100"/>
        <v>5.4059999999999997</v>
      </c>
      <c r="I246">
        <f t="shared" si="101"/>
        <v>5.4589999999999996</v>
      </c>
      <c r="J246">
        <f t="shared" ref="J246:J309" si="103">E246+(E246*4%)</f>
        <v>5.5119999999999996</v>
      </c>
      <c r="K246" s="33">
        <f t="shared" si="97"/>
        <v>5.5649999999999995</v>
      </c>
      <c r="T246" s="30"/>
      <c r="U246" t="s">
        <v>161</v>
      </c>
      <c r="X246" s="16">
        <f>(X247-U247)/U247*100</f>
        <v>-100</v>
      </c>
      <c r="Y246" s="16">
        <f>(Y247-U247)/U247*100</f>
        <v>-100</v>
      </c>
      <c r="Z246" s="16">
        <f>(Z247-U247)/U247*100</f>
        <v>-100</v>
      </c>
      <c r="AA246" s="16">
        <f>(AA247-U247)/U247*100</f>
        <v>-100</v>
      </c>
      <c r="AB246" s="32">
        <f>(AB247-U247)/U247*100</f>
        <v>-100</v>
      </c>
    </row>
    <row r="247" spans="1:29" x14ac:dyDescent="0.3">
      <c r="A247" s="30">
        <v>1</v>
      </c>
      <c r="B247">
        <v>2</v>
      </c>
      <c r="C247">
        <v>1</v>
      </c>
      <c r="D247">
        <v>6</v>
      </c>
      <c r="E247">
        <v>9.4</v>
      </c>
      <c r="G247">
        <f t="shared" si="99"/>
        <v>9.4939999999999998</v>
      </c>
      <c r="H247">
        <f t="shared" si="100"/>
        <v>9.588000000000001</v>
      </c>
      <c r="I247">
        <f t="shared" si="101"/>
        <v>9.6820000000000004</v>
      </c>
      <c r="J247">
        <f t="shared" si="103"/>
        <v>9.7759999999999998</v>
      </c>
      <c r="K247" s="33">
        <f t="shared" si="97"/>
        <v>9.870000000000001</v>
      </c>
      <c r="T247" s="30" t="s">
        <v>178</v>
      </c>
      <c r="U247" s="21">
        <v>4757.7240947110004</v>
      </c>
      <c r="V247" s="21"/>
      <c r="X247" s="21"/>
      <c r="Y247" s="21"/>
      <c r="Z247" s="21"/>
      <c r="AA247" s="21"/>
      <c r="AB247" s="31"/>
      <c r="AC247" s="21"/>
    </row>
    <row r="248" spans="1:29" x14ac:dyDescent="0.3">
      <c r="A248" s="30">
        <v>1</v>
      </c>
      <c r="B248">
        <v>2</v>
      </c>
      <c r="C248">
        <v>2</v>
      </c>
      <c r="D248">
        <v>1</v>
      </c>
      <c r="E248">
        <v>5.5</v>
      </c>
      <c r="G248">
        <f t="shared" si="99"/>
        <v>5.5549999999999997</v>
      </c>
      <c r="H248">
        <f t="shared" si="100"/>
        <v>5.61</v>
      </c>
      <c r="I248">
        <f t="shared" si="101"/>
        <v>5.665</v>
      </c>
      <c r="J248">
        <f t="shared" si="103"/>
        <v>5.72</v>
      </c>
      <c r="K248" s="33">
        <f t="shared" si="97"/>
        <v>5.7750000000000004</v>
      </c>
      <c r="T248" s="30"/>
      <c r="U248" s="21"/>
      <c r="V248" s="21"/>
      <c r="X248" s="15">
        <f>(X249-U249)/U249*100</f>
        <v>-100</v>
      </c>
      <c r="Y248" s="15">
        <f>(Y249-U249)/U249*100</f>
        <v>-100</v>
      </c>
      <c r="Z248" s="15">
        <f>(Z249-U249)/U249*100</f>
        <v>-100</v>
      </c>
      <c r="AA248" s="15">
        <f>(AA249-U249)/U249*100</f>
        <v>-100</v>
      </c>
      <c r="AB248" s="56">
        <f>(AB249-U249)/U249*100</f>
        <v>-100</v>
      </c>
    </row>
    <row r="249" spans="1:29" x14ac:dyDescent="0.3">
      <c r="A249" s="30">
        <v>1</v>
      </c>
      <c r="B249">
        <v>2</v>
      </c>
      <c r="C249">
        <v>2</v>
      </c>
      <c r="D249">
        <v>2</v>
      </c>
      <c r="E249">
        <v>6.6</v>
      </c>
      <c r="G249">
        <f t="shared" si="99"/>
        <v>6.6659999999999995</v>
      </c>
      <c r="H249">
        <f t="shared" si="100"/>
        <v>6.7319999999999993</v>
      </c>
      <c r="I249">
        <f t="shared" si="101"/>
        <v>6.798</v>
      </c>
      <c r="J249">
        <f t="shared" si="103"/>
        <v>6.8639999999999999</v>
      </c>
      <c r="K249" s="33">
        <f t="shared" si="97"/>
        <v>6.93</v>
      </c>
      <c r="T249" s="30" t="s">
        <v>158</v>
      </c>
      <c r="U249" s="21">
        <v>818713.8</v>
      </c>
      <c r="V249" s="21"/>
      <c r="W249" t="s">
        <v>238</v>
      </c>
      <c r="X249" s="21"/>
      <c r="Y249" s="21"/>
      <c r="Z249" s="21"/>
      <c r="AA249" s="21"/>
      <c r="AB249" s="31"/>
      <c r="AC249" s="21"/>
    </row>
    <row r="250" spans="1:29" x14ac:dyDescent="0.3">
      <c r="A250" s="30">
        <v>1</v>
      </c>
      <c r="B250">
        <v>2</v>
      </c>
      <c r="C250">
        <v>2</v>
      </c>
      <c r="D250">
        <v>3</v>
      </c>
      <c r="E250">
        <v>7.2</v>
      </c>
      <c r="G250">
        <f t="shared" si="99"/>
        <v>7.2720000000000002</v>
      </c>
      <c r="H250">
        <f t="shared" si="100"/>
        <v>7.3440000000000003</v>
      </c>
      <c r="I250">
        <f t="shared" si="101"/>
        <v>7.4160000000000004</v>
      </c>
      <c r="J250">
        <f t="shared" si="103"/>
        <v>7.4880000000000004</v>
      </c>
      <c r="K250" s="33">
        <f t="shared" si="97"/>
        <v>7.5600000000000005</v>
      </c>
      <c r="T250" s="34"/>
      <c r="U250" s="22"/>
      <c r="V250" s="22"/>
      <c r="W250" s="22"/>
      <c r="X250" s="22"/>
      <c r="Y250" s="22"/>
      <c r="Z250" s="22"/>
      <c r="AA250" s="22"/>
      <c r="AB250" s="40"/>
    </row>
    <row r="251" spans="1:29" x14ac:dyDescent="0.3">
      <c r="A251" s="30">
        <v>1</v>
      </c>
      <c r="B251">
        <v>2</v>
      </c>
      <c r="C251">
        <v>2</v>
      </c>
      <c r="D251">
        <v>4</v>
      </c>
      <c r="E251">
        <v>8.5</v>
      </c>
      <c r="G251">
        <f t="shared" si="99"/>
        <v>8.5850000000000009</v>
      </c>
      <c r="H251">
        <f t="shared" si="100"/>
        <v>8.67</v>
      </c>
      <c r="I251">
        <f t="shared" si="101"/>
        <v>8.7550000000000008</v>
      </c>
      <c r="J251">
        <f t="shared" si="103"/>
        <v>8.84</v>
      </c>
      <c r="K251" s="33">
        <f t="shared" si="97"/>
        <v>8.9250000000000007</v>
      </c>
    </row>
    <row r="252" spans="1:29" x14ac:dyDescent="0.3">
      <c r="A252" s="30">
        <v>1</v>
      </c>
      <c r="B252">
        <v>2</v>
      </c>
      <c r="C252">
        <v>2</v>
      </c>
      <c r="D252">
        <v>5</v>
      </c>
      <c r="E252">
        <v>4.7</v>
      </c>
      <c r="G252">
        <f t="shared" si="99"/>
        <v>4.7469999999999999</v>
      </c>
      <c r="H252">
        <f t="shared" si="100"/>
        <v>4.7940000000000005</v>
      </c>
      <c r="I252">
        <f t="shared" si="101"/>
        <v>4.8410000000000002</v>
      </c>
      <c r="J252">
        <f t="shared" si="103"/>
        <v>4.8879999999999999</v>
      </c>
      <c r="K252" s="33">
        <f t="shared" si="97"/>
        <v>4.9350000000000005</v>
      </c>
      <c r="T252" s="64" t="s">
        <v>179</v>
      </c>
      <c r="U252" s="65"/>
      <c r="V252" s="65"/>
      <c r="W252" s="65"/>
      <c r="X252" s="65"/>
      <c r="Y252" s="65"/>
      <c r="Z252" s="65"/>
      <c r="AA252" s="66"/>
    </row>
    <row r="253" spans="1:29" x14ac:dyDescent="0.3">
      <c r="A253" s="30">
        <v>1</v>
      </c>
      <c r="B253">
        <v>2</v>
      </c>
      <c r="C253">
        <v>2</v>
      </c>
      <c r="D253">
        <v>6</v>
      </c>
      <c r="E253">
        <v>6.3</v>
      </c>
      <c r="G253">
        <f t="shared" si="99"/>
        <v>6.3629999999999995</v>
      </c>
      <c r="H253">
        <f t="shared" si="100"/>
        <v>6.4260000000000002</v>
      </c>
      <c r="I253">
        <f t="shared" si="101"/>
        <v>6.4889999999999999</v>
      </c>
      <c r="J253">
        <f t="shared" si="103"/>
        <v>6.5519999999999996</v>
      </c>
      <c r="K253" s="33">
        <f t="shared" si="97"/>
        <v>6.6150000000000002</v>
      </c>
      <c r="T253" s="54" t="s">
        <v>241</v>
      </c>
      <c r="AA253" s="33"/>
    </row>
    <row r="254" spans="1:29" x14ac:dyDescent="0.3">
      <c r="A254" s="30">
        <v>1</v>
      </c>
      <c r="B254">
        <v>2</v>
      </c>
      <c r="C254">
        <v>3</v>
      </c>
      <c r="D254">
        <v>1</v>
      </c>
      <c r="E254">
        <v>6.6</v>
      </c>
      <c r="G254">
        <f t="shared" si="99"/>
        <v>6.6659999999999995</v>
      </c>
      <c r="H254">
        <f t="shared" si="100"/>
        <v>6.7319999999999993</v>
      </c>
      <c r="I254">
        <f t="shared" si="101"/>
        <v>6.798</v>
      </c>
      <c r="J254">
        <f t="shared" si="103"/>
        <v>6.8639999999999999</v>
      </c>
      <c r="K254" s="33">
        <f t="shared" si="97"/>
        <v>6.93</v>
      </c>
      <c r="T254" s="30"/>
      <c r="AA254" s="33"/>
    </row>
    <row r="255" spans="1:29" x14ac:dyDescent="0.3">
      <c r="A255" s="30">
        <v>1</v>
      </c>
      <c r="B255">
        <v>2</v>
      </c>
      <c r="C255">
        <v>3</v>
      </c>
      <c r="D255">
        <v>2</v>
      </c>
      <c r="E255">
        <v>7.7</v>
      </c>
      <c r="G255">
        <f t="shared" si="99"/>
        <v>7.7770000000000001</v>
      </c>
      <c r="H255">
        <f t="shared" si="100"/>
        <v>7.8540000000000001</v>
      </c>
      <c r="I255">
        <f t="shared" si="101"/>
        <v>7.931</v>
      </c>
      <c r="J255">
        <f t="shared" si="103"/>
        <v>8.0080000000000009</v>
      </c>
      <c r="K255" s="33">
        <f t="shared" si="97"/>
        <v>8.0850000000000009</v>
      </c>
      <c r="T255" s="30" t="s">
        <v>19</v>
      </c>
      <c r="U255" t="s">
        <v>180</v>
      </c>
      <c r="W255" s="20">
        <v>0.01</v>
      </c>
      <c r="X255" s="20">
        <v>0.02</v>
      </c>
      <c r="Y255" s="20">
        <v>0.03</v>
      </c>
      <c r="Z255" s="20">
        <v>0.04</v>
      </c>
      <c r="AA255" s="55">
        <v>0.05</v>
      </c>
    </row>
    <row r="256" spans="1:29" x14ac:dyDescent="0.3">
      <c r="A256" s="30">
        <v>1</v>
      </c>
      <c r="B256">
        <v>2</v>
      </c>
      <c r="C256">
        <v>3</v>
      </c>
      <c r="D256">
        <v>3</v>
      </c>
      <c r="E256">
        <v>4.3</v>
      </c>
      <c r="G256">
        <f t="shared" si="99"/>
        <v>4.343</v>
      </c>
      <c r="H256">
        <f t="shared" si="100"/>
        <v>4.3860000000000001</v>
      </c>
      <c r="I256">
        <f t="shared" si="101"/>
        <v>4.4290000000000003</v>
      </c>
      <c r="J256">
        <f t="shared" si="103"/>
        <v>4.4719999999999995</v>
      </c>
      <c r="K256" s="33">
        <f t="shared" si="97"/>
        <v>4.5149999999999997</v>
      </c>
      <c r="T256" s="30">
        <v>1</v>
      </c>
      <c r="U256">
        <v>1.3</v>
      </c>
      <c r="W256">
        <f>U256+(U256*1%)</f>
        <v>1.3129999999999999</v>
      </c>
      <c r="X256">
        <f>U256+(U256*2%)</f>
        <v>1.3260000000000001</v>
      </c>
      <c r="Y256">
        <f>U256+(U256*3%)</f>
        <v>1.339</v>
      </c>
      <c r="Z256">
        <f>U256+(U256*4%)</f>
        <v>1.3520000000000001</v>
      </c>
      <c r="AA256" s="33">
        <f>U256+(U256*5%)</f>
        <v>1.365</v>
      </c>
    </row>
    <row r="257" spans="1:29" x14ac:dyDescent="0.3">
      <c r="A257" s="30">
        <v>1</v>
      </c>
      <c r="B257">
        <v>2</v>
      </c>
      <c r="C257">
        <v>3</v>
      </c>
      <c r="D257">
        <v>4</v>
      </c>
      <c r="E257">
        <v>7.6</v>
      </c>
      <c r="G257">
        <f t="shared" si="99"/>
        <v>7.6759999999999993</v>
      </c>
      <c r="H257">
        <f t="shared" si="100"/>
        <v>7.7519999999999998</v>
      </c>
      <c r="I257">
        <f t="shared" si="101"/>
        <v>7.8279999999999994</v>
      </c>
      <c r="J257">
        <f t="shared" si="103"/>
        <v>7.9039999999999999</v>
      </c>
      <c r="K257" s="33">
        <f t="shared" si="97"/>
        <v>7.9799999999999995</v>
      </c>
      <c r="T257" s="30">
        <v>2</v>
      </c>
      <c r="U257">
        <v>1.2</v>
      </c>
      <c r="W257">
        <f t="shared" ref="W257" si="104">U257+(U257*1%)</f>
        <v>1.212</v>
      </c>
      <c r="X257">
        <f t="shared" ref="X257" si="105">U257+(U257*2%)</f>
        <v>1.224</v>
      </c>
      <c r="Y257">
        <f t="shared" ref="Y257" si="106">U257+(U257*3%)</f>
        <v>1.236</v>
      </c>
      <c r="Z257">
        <f t="shared" ref="Z257" si="107">U257+(U257*4%)</f>
        <v>1.248</v>
      </c>
      <c r="AA257" s="33">
        <f t="shared" ref="AA257" si="108">U257+(U257*5%)</f>
        <v>1.26</v>
      </c>
    </row>
    <row r="258" spans="1:29" x14ac:dyDescent="0.3">
      <c r="A258" s="30">
        <v>1</v>
      </c>
      <c r="B258">
        <v>2</v>
      </c>
      <c r="C258">
        <v>3</v>
      </c>
      <c r="D258">
        <v>5</v>
      </c>
      <c r="E258">
        <v>4.8</v>
      </c>
      <c r="G258">
        <f t="shared" si="99"/>
        <v>4.8479999999999999</v>
      </c>
      <c r="H258">
        <f t="shared" si="100"/>
        <v>4.8959999999999999</v>
      </c>
      <c r="I258">
        <f t="shared" si="101"/>
        <v>4.944</v>
      </c>
      <c r="J258">
        <f t="shared" si="103"/>
        <v>4.992</v>
      </c>
      <c r="K258" s="33">
        <f t="shared" si="97"/>
        <v>5.04</v>
      </c>
      <c r="T258" s="30"/>
      <c r="AA258" s="33"/>
    </row>
    <row r="259" spans="1:29" x14ac:dyDescent="0.3">
      <c r="A259" s="30">
        <v>1</v>
      </c>
      <c r="B259">
        <v>2</v>
      </c>
      <c r="C259">
        <v>3</v>
      </c>
      <c r="D259">
        <v>6</v>
      </c>
      <c r="E259">
        <v>6.5</v>
      </c>
      <c r="G259">
        <f t="shared" si="99"/>
        <v>6.5650000000000004</v>
      </c>
      <c r="H259">
        <f t="shared" si="100"/>
        <v>6.63</v>
      </c>
      <c r="I259">
        <f t="shared" si="101"/>
        <v>6.6950000000000003</v>
      </c>
      <c r="J259">
        <f t="shared" si="103"/>
        <v>6.76</v>
      </c>
      <c r="K259" s="33">
        <f t="shared" si="97"/>
        <v>6.8250000000000002</v>
      </c>
      <c r="T259" s="30" t="s">
        <v>199</v>
      </c>
      <c r="U259" t="s">
        <v>160</v>
      </c>
      <c r="W259" s="16">
        <f>(W260-U262)/U262*100</f>
        <v>-100</v>
      </c>
      <c r="X259" s="16">
        <f>(X260-U262)/U262*100</f>
        <v>-100</v>
      </c>
      <c r="Y259" s="16">
        <f>(Y260-U262)/U262*100</f>
        <v>-100</v>
      </c>
      <c r="Z259" s="16">
        <f>(Z260-U262)/U262*100</f>
        <v>-100</v>
      </c>
      <c r="AA259" s="32">
        <f>(AA260-U262)/U262*100</f>
        <v>-100</v>
      </c>
    </row>
    <row r="260" spans="1:29" x14ac:dyDescent="0.3">
      <c r="A260" s="30">
        <v>1</v>
      </c>
      <c r="B260">
        <v>3</v>
      </c>
      <c r="C260">
        <v>1</v>
      </c>
      <c r="D260">
        <v>1</v>
      </c>
      <c r="E260">
        <v>6.6</v>
      </c>
      <c r="G260">
        <f t="shared" si="99"/>
        <v>6.6659999999999995</v>
      </c>
      <c r="H260">
        <f t="shared" si="100"/>
        <v>6.7319999999999993</v>
      </c>
      <c r="I260">
        <f t="shared" si="101"/>
        <v>6.798</v>
      </c>
      <c r="J260">
        <f t="shared" si="103"/>
        <v>6.8639999999999999</v>
      </c>
      <c r="K260" s="33">
        <f t="shared" si="97"/>
        <v>6.93</v>
      </c>
      <c r="T260" s="30" t="s">
        <v>178</v>
      </c>
      <c r="U260" s="21">
        <v>4840.7044030870002</v>
      </c>
      <c r="W260" s="21"/>
      <c r="X260" s="21"/>
      <c r="Y260" s="21"/>
      <c r="Z260" s="21"/>
      <c r="AA260" s="31"/>
    </row>
    <row r="261" spans="1:29" x14ac:dyDescent="0.3">
      <c r="A261" s="30">
        <v>1</v>
      </c>
      <c r="B261">
        <v>3</v>
      </c>
      <c r="C261">
        <v>1</v>
      </c>
      <c r="D261">
        <v>2</v>
      </c>
      <c r="E261">
        <v>4.3</v>
      </c>
      <c r="G261">
        <f t="shared" si="99"/>
        <v>4.343</v>
      </c>
      <c r="H261">
        <f t="shared" si="100"/>
        <v>4.3860000000000001</v>
      </c>
      <c r="I261">
        <f t="shared" si="101"/>
        <v>4.4290000000000003</v>
      </c>
      <c r="J261">
        <f t="shared" si="103"/>
        <v>4.4719999999999995</v>
      </c>
      <c r="K261" s="33">
        <f t="shared" si="97"/>
        <v>4.5149999999999997</v>
      </c>
      <c r="T261" s="30"/>
      <c r="U261" s="21"/>
      <c r="W261" s="15">
        <f>(W262-U260)/U260*100</f>
        <v>-100</v>
      </c>
      <c r="X261" s="15">
        <f>(X262-U260)/U260*100</f>
        <v>-100</v>
      </c>
      <c r="Y261" s="15">
        <f>(Y262-U260)/U260*100</f>
        <v>-100</v>
      </c>
      <c r="Z261" s="15">
        <f>(Z262-U260)/U260*100</f>
        <v>-100</v>
      </c>
      <c r="AA261" s="56">
        <f>(AA262-U260)/U260*100</f>
        <v>-100</v>
      </c>
    </row>
    <row r="262" spans="1:29" x14ac:dyDescent="0.3">
      <c r="A262" s="30">
        <v>1</v>
      </c>
      <c r="B262">
        <v>3</v>
      </c>
      <c r="C262">
        <v>1</v>
      </c>
      <c r="D262">
        <v>3</v>
      </c>
      <c r="E262">
        <v>7.6</v>
      </c>
      <c r="G262">
        <f t="shared" si="99"/>
        <v>7.6759999999999993</v>
      </c>
      <c r="H262">
        <f t="shared" si="100"/>
        <v>7.7519999999999998</v>
      </c>
      <c r="I262">
        <f t="shared" si="101"/>
        <v>7.8279999999999994</v>
      </c>
      <c r="J262">
        <f t="shared" si="103"/>
        <v>7.9039999999999999</v>
      </c>
      <c r="K262" s="33">
        <f t="shared" si="97"/>
        <v>7.9799999999999995</v>
      </c>
      <c r="T262" s="30" t="s">
        <v>158</v>
      </c>
      <c r="U262" s="21">
        <v>815497.45</v>
      </c>
      <c r="W262" s="21"/>
      <c r="X262" s="21"/>
      <c r="Y262" s="21"/>
      <c r="Z262" s="21"/>
      <c r="AA262" s="31"/>
    </row>
    <row r="263" spans="1:29" x14ac:dyDescent="0.3">
      <c r="A263" s="30">
        <v>1</v>
      </c>
      <c r="B263">
        <v>3</v>
      </c>
      <c r="C263">
        <v>1</v>
      </c>
      <c r="D263">
        <v>4</v>
      </c>
      <c r="E263">
        <v>9.4</v>
      </c>
      <c r="G263">
        <f t="shared" si="99"/>
        <v>9.4939999999999998</v>
      </c>
      <c r="H263">
        <f t="shared" si="100"/>
        <v>9.588000000000001</v>
      </c>
      <c r="I263">
        <f t="shared" si="101"/>
        <v>9.6820000000000004</v>
      </c>
      <c r="J263">
        <f t="shared" si="103"/>
        <v>9.7759999999999998</v>
      </c>
      <c r="K263" s="33">
        <f t="shared" si="97"/>
        <v>9.870000000000001</v>
      </c>
      <c r="T263" s="30"/>
      <c r="AA263" s="33"/>
    </row>
    <row r="264" spans="1:29" x14ac:dyDescent="0.3">
      <c r="A264" s="30">
        <v>1</v>
      </c>
      <c r="B264">
        <v>3</v>
      </c>
      <c r="C264">
        <v>1</v>
      </c>
      <c r="D264">
        <v>5</v>
      </c>
      <c r="E264">
        <v>3.6</v>
      </c>
      <c r="G264">
        <f t="shared" si="99"/>
        <v>3.6360000000000001</v>
      </c>
      <c r="H264">
        <f t="shared" si="100"/>
        <v>3.6720000000000002</v>
      </c>
      <c r="I264">
        <f t="shared" si="101"/>
        <v>3.7080000000000002</v>
      </c>
      <c r="J264">
        <f t="shared" si="103"/>
        <v>3.7440000000000002</v>
      </c>
      <c r="K264" s="33">
        <f t="shared" si="97"/>
        <v>3.7800000000000002</v>
      </c>
      <c r="T264" s="30"/>
      <c r="AA264" s="33"/>
    </row>
    <row r="265" spans="1:29" x14ac:dyDescent="0.3">
      <c r="A265" s="30">
        <v>1</v>
      </c>
      <c r="B265">
        <v>3</v>
      </c>
      <c r="C265">
        <v>1</v>
      </c>
      <c r="D265">
        <v>6</v>
      </c>
      <c r="E265">
        <v>6.8</v>
      </c>
      <c r="G265">
        <f t="shared" si="99"/>
        <v>6.8679999999999994</v>
      </c>
      <c r="H265">
        <f t="shared" si="100"/>
        <v>6.9359999999999999</v>
      </c>
      <c r="I265">
        <f t="shared" si="101"/>
        <v>7.0039999999999996</v>
      </c>
      <c r="J265">
        <f t="shared" si="103"/>
        <v>7.0720000000000001</v>
      </c>
      <c r="K265" s="33">
        <f t="shared" si="97"/>
        <v>7.14</v>
      </c>
      <c r="T265" s="30"/>
      <c r="U265" t="s">
        <v>161</v>
      </c>
      <c r="W265" s="16">
        <f>(W266-U268)/U268*100</f>
        <v>-100</v>
      </c>
      <c r="X265" s="16">
        <f>(X266-U268)/U268*100</f>
        <v>-100</v>
      </c>
      <c r="Y265" s="16">
        <f>(Y266-U268)/U268*100</f>
        <v>-100</v>
      </c>
      <c r="Z265" s="16">
        <f>(Z266-U268)/U268*100</f>
        <v>-100</v>
      </c>
      <c r="AA265" s="32">
        <f>(AA266-U268)/U268*100</f>
        <v>-100</v>
      </c>
    </row>
    <row r="266" spans="1:29" x14ac:dyDescent="0.3">
      <c r="A266" s="30">
        <v>1</v>
      </c>
      <c r="B266">
        <v>3</v>
      </c>
      <c r="C266">
        <v>2</v>
      </c>
      <c r="D266">
        <v>1</v>
      </c>
      <c r="E266">
        <v>4.3</v>
      </c>
      <c r="G266">
        <f t="shared" si="99"/>
        <v>4.343</v>
      </c>
      <c r="H266">
        <f t="shared" si="100"/>
        <v>4.3860000000000001</v>
      </c>
      <c r="I266">
        <f t="shared" si="101"/>
        <v>4.4290000000000003</v>
      </c>
      <c r="J266">
        <f t="shared" si="103"/>
        <v>4.4719999999999995</v>
      </c>
      <c r="K266" s="33">
        <f t="shared" si="97"/>
        <v>4.5149999999999997</v>
      </c>
      <c r="T266" s="30" t="s">
        <v>178</v>
      </c>
      <c r="U266" s="21">
        <v>4757.7240947110004</v>
      </c>
      <c r="W266" s="21"/>
      <c r="X266" s="21"/>
      <c r="Y266" s="21"/>
      <c r="Z266" s="21"/>
      <c r="AA266" s="31"/>
    </row>
    <row r="267" spans="1:29" x14ac:dyDescent="0.3">
      <c r="A267" s="30">
        <v>1</v>
      </c>
      <c r="B267">
        <v>3</v>
      </c>
      <c r="C267">
        <v>2</v>
      </c>
      <c r="D267">
        <v>2</v>
      </c>
      <c r="E267">
        <v>7.3</v>
      </c>
      <c r="G267">
        <f t="shared" si="99"/>
        <v>7.3730000000000002</v>
      </c>
      <c r="H267">
        <f t="shared" si="100"/>
        <v>7.4459999999999997</v>
      </c>
      <c r="I267">
        <f t="shared" si="101"/>
        <v>7.5190000000000001</v>
      </c>
      <c r="J267">
        <f t="shared" si="103"/>
        <v>7.5919999999999996</v>
      </c>
      <c r="K267" s="33">
        <f t="shared" si="97"/>
        <v>7.665</v>
      </c>
      <c r="T267" s="30"/>
      <c r="U267" s="21"/>
      <c r="W267" s="15">
        <f>(W268-U266)/U266*100</f>
        <v>-100</v>
      </c>
      <c r="X267" s="15">
        <f>(X268-U266)/U266*100</f>
        <v>-100</v>
      </c>
      <c r="Y267" s="15">
        <f>(Y268-U266)/U266*100</f>
        <v>-100</v>
      </c>
      <c r="Z267" s="15">
        <f>(Z268-U266)/U266*100</f>
        <v>-100</v>
      </c>
      <c r="AA267" s="56">
        <f>(AA268-U266)/U266*100</f>
        <v>-100</v>
      </c>
    </row>
    <row r="268" spans="1:29" x14ac:dyDescent="0.3">
      <c r="A268" s="30">
        <v>1</v>
      </c>
      <c r="B268">
        <v>3</v>
      </c>
      <c r="C268">
        <v>2</v>
      </c>
      <c r="D268">
        <v>3</v>
      </c>
      <c r="E268">
        <v>3.5</v>
      </c>
      <c r="G268">
        <f t="shared" si="99"/>
        <v>3.5350000000000001</v>
      </c>
      <c r="H268">
        <f t="shared" si="100"/>
        <v>3.57</v>
      </c>
      <c r="I268">
        <f t="shared" si="101"/>
        <v>3.605</v>
      </c>
      <c r="J268">
        <f t="shared" si="103"/>
        <v>3.64</v>
      </c>
      <c r="K268" s="33">
        <f t="shared" si="97"/>
        <v>3.6749999999999998</v>
      </c>
      <c r="T268" s="30" t="s">
        <v>158</v>
      </c>
      <c r="U268" s="21">
        <v>818713.8</v>
      </c>
      <c r="V268" t="s">
        <v>238</v>
      </c>
      <c r="W268" s="21"/>
      <c r="X268" s="21"/>
      <c r="Y268" s="21"/>
      <c r="Z268" s="21"/>
      <c r="AA268" s="31"/>
    </row>
    <row r="269" spans="1:29" x14ac:dyDescent="0.3">
      <c r="A269" s="30">
        <v>1</v>
      </c>
      <c r="B269">
        <v>3</v>
      </c>
      <c r="C269">
        <v>2</v>
      </c>
      <c r="D269">
        <v>4</v>
      </c>
      <c r="E269">
        <v>6.6</v>
      </c>
      <c r="G269">
        <f t="shared" si="99"/>
        <v>6.6659999999999995</v>
      </c>
      <c r="H269">
        <f t="shared" si="100"/>
        <v>6.7319999999999993</v>
      </c>
      <c r="I269">
        <f t="shared" si="101"/>
        <v>6.798</v>
      </c>
      <c r="J269">
        <f t="shared" si="103"/>
        <v>6.8639999999999999</v>
      </c>
      <c r="K269" s="33">
        <f t="shared" si="97"/>
        <v>6.93</v>
      </c>
      <c r="T269" s="34"/>
      <c r="U269" s="22"/>
      <c r="V269" s="22"/>
      <c r="W269" s="22"/>
      <c r="X269" s="22"/>
      <c r="Y269" s="22"/>
      <c r="Z269" s="22"/>
      <c r="AA269" s="40"/>
      <c r="AB269" s="22"/>
    </row>
    <row r="270" spans="1:29" x14ac:dyDescent="0.3">
      <c r="A270" s="30">
        <v>1</v>
      </c>
      <c r="B270">
        <v>3</v>
      </c>
      <c r="C270">
        <v>2</v>
      </c>
      <c r="D270">
        <v>5</v>
      </c>
      <c r="E270">
        <v>8.3000000000000007</v>
      </c>
      <c r="G270">
        <f t="shared" si="99"/>
        <v>8.3830000000000009</v>
      </c>
      <c r="H270">
        <f t="shared" si="100"/>
        <v>8.4660000000000011</v>
      </c>
      <c r="I270">
        <f t="shared" si="101"/>
        <v>8.5490000000000013</v>
      </c>
      <c r="J270">
        <f t="shared" si="103"/>
        <v>8.6320000000000014</v>
      </c>
      <c r="K270" s="33">
        <f t="shared" si="97"/>
        <v>8.7149999999999999</v>
      </c>
    </row>
    <row r="271" spans="1:29" x14ac:dyDescent="0.3">
      <c r="A271" s="30">
        <v>1</v>
      </c>
      <c r="B271">
        <v>3</v>
      </c>
      <c r="C271">
        <v>2</v>
      </c>
      <c r="D271">
        <v>6</v>
      </c>
      <c r="E271">
        <v>9.3000000000000007</v>
      </c>
      <c r="G271">
        <f t="shared" si="99"/>
        <v>9.3930000000000007</v>
      </c>
      <c r="H271">
        <f t="shared" si="100"/>
        <v>9.4860000000000007</v>
      </c>
      <c r="I271">
        <f t="shared" si="101"/>
        <v>9.5790000000000006</v>
      </c>
      <c r="J271">
        <f t="shared" si="103"/>
        <v>9.6720000000000006</v>
      </c>
      <c r="K271" s="33">
        <f t="shared" si="97"/>
        <v>9.7650000000000006</v>
      </c>
      <c r="T271" s="64" t="s">
        <v>246</v>
      </c>
      <c r="U271" s="65"/>
      <c r="V271" s="65"/>
      <c r="W271" s="65"/>
      <c r="X271" s="65"/>
      <c r="Y271" s="65"/>
      <c r="Z271" s="65"/>
      <c r="AA271" s="65"/>
      <c r="AB271" s="65"/>
      <c r="AC271" s="66"/>
    </row>
    <row r="272" spans="1:29" x14ac:dyDescent="0.3">
      <c r="A272" s="30">
        <v>1</v>
      </c>
      <c r="B272">
        <v>3</v>
      </c>
      <c r="C272">
        <v>3</v>
      </c>
      <c r="D272">
        <v>1</v>
      </c>
      <c r="E272">
        <v>4.3</v>
      </c>
      <c r="G272">
        <f>E272+(E272*1%)</f>
        <v>4.343</v>
      </c>
      <c r="H272">
        <f t="shared" si="100"/>
        <v>4.3860000000000001</v>
      </c>
      <c r="I272">
        <f>E272+(E272*3%)</f>
        <v>4.4290000000000003</v>
      </c>
      <c r="J272">
        <f t="shared" si="103"/>
        <v>4.4719999999999995</v>
      </c>
      <c r="K272" s="33">
        <f t="shared" si="97"/>
        <v>4.5149999999999997</v>
      </c>
      <c r="T272" s="57" t="s">
        <v>247</v>
      </c>
      <c r="AC272" s="33"/>
    </row>
    <row r="273" spans="1:29" x14ac:dyDescent="0.3">
      <c r="A273" s="30">
        <v>1</v>
      </c>
      <c r="B273">
        <v>3</v>
      </c>
      <c r="C273">
        <v>3</v>
      </c>
      <c r="D273">
        <v>2</v>
      </c>
      <c r="E273">
        <v>6.4</v>
      </c>
      <c r="G273">
        <f t="shared" si="99"/>
        <v>6.4640000000000004</v>
      </c>
      <c r="H273">
        <f t="shared" si="100"/>
        <v>6.5280000000000005</v>
      </c>
      <c r="I273">
        <f t="shared" si="101"/>
        <v>6.5920000000000005</v>
      </c>
      <c r="J273">
        <f t="shared" si="103"/>
        <v>6.6560000000000006</v>
      </c>
      <c r="K273" s="33">
        <f t="shared" si="97"/>
        <v>6.7200000000000006</v>
      </c>
      <c r="T273" s="58" t="s">
        <v>242</v>
      </c>
      <c r="AC273" s="33"/>
    </row>
    <row r="274" spans="1:29" x14ac:dyDescent="0.3">
      <c r="A274" s="30">
        <v>1</v>
      </c>
      <c r="B274">
        <v>3</v>
      </c>
      <c r="C274">
        <v>3</v>
      </c>
      <c r="D274">
        <v>3</v>
      </c>
      <c r="E274">
        <v>8.3000000000000007</v>
      </c>
      <c r="G274">
        <f t="shared" si="99"/>
        <v>8.3830000000000009</v>
      </c>
      <c r="H274">
        <f t="shared" si="100"/>
        <v>8.4660000000000011</v>
      </c>
      <c r="I274">
        <f t="shared" si="101"/>
        <v>8.5490000000000013</v>
      </c>
      <c r="J274">
        <f t="shared" si="103"/>
        <v>8.6320000000000014</v>
      </c>
      <c r="K274" s="33">
        <f t="shared" si="97"/>
        <v>8.7149999999999999</v>
      </c>
      <c r="T274" s="58" t="s">
        <v>243</v>
      </c>
      <c r="AC274" s="33"/>
    </row>
    <row r="275" spans="1:29" x14ac:dyDescent="0.3">
      <c r="A275" s="30">
        <v>1</v>
      </c>
      <c r="B275">
        <v>3</v>
      </c>
      <c r="C275">
        <v>3</v>
      </c>
      <c r="D275">
        <v>4</v>
      </c>
      <c r="E275">
        <v>4.5</v>
      </c>
      <c r="G275">
        <f t="shared" si="99"/>
        <v>4.5449999999999999</v>
      </c>
      <c r="H275">
        <f t="shared" si="100"/>
        <v>4.59</v>
      </c>
      <c r="I275">
        <f t="shared" si="101"/>
        <v>4.6349999999999998</v>
      </c>
      <c r="J275">
        <f t="shared" si="103"/>
        <v>4.68</v>
      </c>
      <c r="K275" s="33">
        <f t="shared" si="97"/>
        <v>4.7249999999999996</v>
      </c>
      <c r="T275" s="58" t="s">
        <v>244</v>
      </c>
      <c r="AC275" s="33"/>
    </row>
    <row r="276" spans="1:29" x14ac:dyDescent="0.3">
      <c r="A276" s="30">
        <v>1</v>
      </c>
      <c r="B276">
        <v>3</v>
      </c>
      <c r="C276">
        <v>3</v>
      </c>
      <c r="D276">
        <v>5</v>
      </c>
      <c r="E276">
        <v>7.2</v>
      </c>
      <c r="G276">
        <f t="shared" si="99"/>
        <v>7.2720000000000002</v>
      </c>
      <c r="H276">
        <f t="shared" si="100"/>
        <v>7.3440000000000003</v>
      </c>
      <c r="I276">
        <f t="shared" si="101"/>
        <v>7.4160000000000004</v>
      </c>
      <c r="J276">
        <f t="shared" si="103"/>
        <v>7.4880000000000004</v>
      </c>
      <c r="K276" s="33">
        <f t="shared" si="97"/>
        <v>7.5600000000000005</v>
      </c>
      <c r="T276" s="30"/>
      <c r="AC276" s="33"/>
    </row>
    <row r="277" spans="1:29" x14ac:dyDescent="0.3">
      <c r="A277" s="30">
        <v>1</v>
      </c>
      <c r="B277">
        <v>3</v>
      </c>
      <c r="C277">
        <v>3</v>
      </c>
      <c r="D277">
        <v>6</v>
      </c>
      <c r="E277">
        <v>9.6</v>
      </c>
      <c r="G277">
        <f t="shared" si="99"/>
        <v>9.6959999999999997</v>
      </c>
      <c r="H277">
        <f t="shared" si="100"/>
        <v>9.7919999999999998</v>
      </c>
      <c r="I277">
        <f t="shared" si="101"/>
        <v>9.8879999999999999</v>
      </c>
      <c r="J277">
        <f t="shared" si="103"/>
        <v>9.984</v>
      </c>
      <c r="K277" s="33">
        <f t="shared" si="97"/>
        <v>10.08</v>
      </c>
      <c r="T277" s="58" t="s">
        <v>2</v>
      </c>
      <c r="U277" t="s">
        <v>10</v>
      </c>
      <c r="V277" t="s">
        <v>182</v>
      </c>
      <c r="X277" s="20">
        <v>0.01</v>
      </c>
      <c r="Y277" s="20">
        <v>0.02</v>
      </c>
      <c r="Z277" s="20">
        <v>0.03</v>
      </c>
      <c r="AA277" s="20">
        <v>0.04</v>
      </c>
      <c r="AB277" s="20">
        <v>0.05</v>
      </c>
      <c r="AC277" s="55">
        <v>0.06</v>
      </c>
    </row>
    <row r="278" spans="1:29" x14ac:dyDescent="0.3">
      <c r="A278" s="30">
        <v>2</v>
      </c>
      <c r="B278">
        <v>1</v>
      </c>
      <c r="C278">
        <v>1</v>
      </c>
      <c r="D278">
        <v>1</v>
      </c>
      <c r="E278">
        <v>4.5</v>
      </c>
      <c r="G278">
        <f t="shared" si="99"/>
        <v>4.5449999999999999</v>
      </c>
      <c r="H278">
        <f>E278+(E278*2%)</f>
        <v>4.59</v>
      </c>
      <c r="I278">
        <f t="shared" si="101"/>
        <v>4.6349999999999998</v>
      </c>
      <c r="J278">
        <f t="shared" si="103"/>
        <v>4.68</v>
      </c>
      <c r="K278" s="33">
        <f t="shared" si="97"/>
        <v>4.7249999999999996</v>
      </c>
      <c r="T278" s="30">
        <v>1</v>
      </c>
      <c r="U278">
        <v>1</v>
      </c>
      <c r="V278">
        <v>0.8</v>
      </c>
      <c r="X278" s="6">
        <f>V278+(V278*1%)</f>
        <v>0.80800000000000005</v>
      </c>
      <c r="Y278" s="6">
        <f>V278+(V278*2%)</f>
        <v>0.81600000000000006</v>
      </c>
      <c r="Z278" s="6">
        <f>V278+(V278*3%)</f>
        <v>0.82400000000000007</v>
      </c>
      <c r="AA278" s="6">
        <f>V278+(V278*4%)</f>
        <v>0.83200000000000007</v>
      </c>
      <c r="AB278" s="6">
        <f>V278+(V278*5%)</f>
        <v>0.84000000000000008</v>
      </c>
      <c r="AC278" s="33">
        <f>V278+(V278*6%)</f>
        <v>0.84800000000000009</v>
      </c>
    </row>
    <row r="279" spans="1:29" x14ac:dyDescent="0.3">
      <c r="A279" s="30">
        <v>2</v>
      </c>
      <c r="B279">
        <v>1</v>
      </c>
      <c r="C279">
        <v>1</v>
      </c>
      <c r="D279">
        <v>2</v>
      </c>
      <c r="E279">
        <v>6.6</v>
      </c>
      <c r="G279">
        <f t="shared" si="99"/>
        <v>6.6659999999999995</v>
      </c>
      <c r="H279">
        <f t="shared" si="100"/>
        <v>6.7319999999999993</v>
      </c>
      <c r="I279">
        <f t="shared" si="101"/>
        <v>6.798</v>
      </c>
      <c r="J279">
        <f t="shared" si="103"/>
        <v>6.8639999999999999</v>
      </c>
      <c r="K279" s="33">
        <f t="shared" si="97"/>
        <v>6.93</v>
      </c>
      <c r="T279" s="30">
        <v>1</v>
      </c>
      <c r="U279">
        <v>2</v>
      </c>
      <c r="V279">
        <v>0.3</v>
      </c>
      <c r="X279" s="6">
        <f t="shared" ref="X279" si="109">V279+(V279*1%)</f>
        <v>0.30299999999999999</v>
      </c>
      <c r="Y279" s="6">
        <f t="shared" ref="Y279" si="110">V279+(V279*2%)</f>
        <v>0.30599999999999999</v>
      </c>
      <c r="Z279" s="6">
        <f t="shared" ref="Z279" si="111">V279+(V279*3%)</f>
        <v>0.309</v>
      </c>
      <c r="AA279" s="6">
        <f t="shared" ref="AA279" si="112">V279+(V279*4%)</f>
        <v>0.312</v>
      </c>
      <c r="AB279" s="6">
        <f t="shared" ref="AB279" si="113">V279+(V279*5%)</f>
        <v>0.315</v>
      </c>
      <c r="AC279" s="33">
        <f t="shared" ref="AC279:AC301" si="114">V279+(V279*6%)</f>
        <v>0.318</v>
      </c>
    </row>
    <row r="280" spans="1:29" x14ac:dyDescent="0.3">
      <c r="A280" s="30">
        <v>2</v>
      </c>
      <c r="B280">
        <v>1</v>
      </c>
      <c r="C280">
        <v>1</v>
      </c>
      <c r="D280">
        <v>3</v>
      </c>
      <c r="E280">
        <v>7.4</v>
      </c>
      <c r="G280">
        <f t="shared" si="99"/>
        <v>7.4740000000000002</v>
      </c>
      <c r="H280">
        <f t="shared" si="100"/>
        <v>7.548</v>
      </c>
      <c r="I280">
        <f t="shared" si="101"/>
        <v>7.6220000000000008</v>
      </c>
      <c r="J280">
        <f t="shared" si="103"/>
        <v>7.6960000000000006</v>
      </c>
      <c r="K280" s="33">
        <f t="shared" si="97"/>
        <v>7.7700000000000005</v>
      </c>
      <c r="T280" s="30">
        <v>1</v>
      </c>
      <c r="U280">
        <v>3</v>
      </c>
      <c r="V280">
        <v>0.4</v>
      </c>
      <c r="X280" s="6">
        <f>V280+(V280*1%)</f>
        <v>0.40400000000000003</v>
      </c>
      <c r="Y280" s="6">
        <f>V280+(V280*2%)</f>
        <v>0.40800000000000003</v>
      </c>
      <c r="Z280" s="6">
        <f>V280+(V280*3%)</f>
        <v>0.41200000000000003</v>
      </c>
      <c r="AA280" s="6">
        <f>V280+(V280*4%)</f>
        <v>0.41600000000000004</v>
      </c>
      <c r="AB280" s="6">
        <f>V280+(V280*5%)</f>
        <v>0.42000000000000004</v>
      </c>
      <c r="AC280" s="33">
        <f t="shared" si="114"/>
        <v>0.42400000000000004</v>
      </c>
    </row>
    <row r="281" spans="1:29" x14ac:dyDescent="0.3">
      <c r="A281" s="30">
        <v>2</v>
      </c>
      <c r="B281">
        <v>1</v>
      </c>
      <c r="C281">
        <v>1</v>
      </c>
      <c r="D281">
        <v>4</v>
      </c>
      <c r="E281">
        <v>3.4</v>
      </c>
      <c r="G281">
        <f t="shared" si="99"/>
        <v>3.4339999999999997</v>
      </c>
      <c r="H281">
        <f t="shared" si="100"/>
        <v>3.468</v>
      </c>
      <c r="I281">
        <f t="shared" si="101"/>
        <v>3.5019999999999998</v>
      </c>
      <c r="J281">
        <f t="shared" si="103"/>
        <v>3.536</v>
      </c>
      <c r="K281" s="33">
        <f t="shared" si="97"/>
        <v>3.57</v>
      </c>
      <c r="T281" s="30">
        <v>1</v>
      </c>
      <c r="U281">
        <v>4</v>
      </c>
      <c r="V281">
        <v>0.7</v>
      </c>
      <c r="X281" s="6">
        <f t="shared" ref="X281:X301" si="115">V281+(V281*1%)</f>
        <v>0.70699999999999996</v>
      </c>
      <c r="Y281" s="6">
        <f t="shared" ref="Y281:Y301" si="116">V281+(V281*2%)</f>
        <v>0.71399999999999997</v>
      </c>
      <c r="Z281" s="6">
        <f t="shared" ref="Z281:Z301" si="117">V281+(V281*3%)</f>
        <v>0.72099999999999997</v>
      </c>
      <c r="AA281" s="6">
        <f t="shared" ref="AA281:AA295" si="118">V281+(V281*4%)</f>
        <v>0.72799999999999998</v>
      </c>
      <c r="AB281" s="6">
        <f t="shared" ref="AB281:AB295" si="119">V281+(V281*5%)</f>
        <v>0.73499999999999999</v>
      </c>
      <c r="AC281" s="33">
        <f t="shared" si="114"/>
        <v>0.74199999999999999</v>
      </c>
    </row>
    <row r="282" spans="1:29" x14ac:dyDescent="0.3">
      <c r="A282" s="30">
        <v>2</v>
      </c>
      <c r="B282">
        <v>1</v>
      </c>
      <c r="C282">
        <v>1</v>
      </c>
      <c r="D282">
        <v>5</v>
      </c>
      <c r="E282">
        <v>6.1</v>
      </c>
      <c r="G282">
        <f t="shared" si="99"/>
        <v>6.1609999999999996</v>
      </c>
      <c r="H282">
        <f t="shared" si="100"/>
        <v>6.2219999999999995</v>
      </c>
      <c r="I282">
        <f t="shared" si="101"/>
        <v>6.2829999999999995</v>
      </c>
      <c r="J282">
        <f t="shared" si="103"/>
        <v>6.3439999999999994</v>
      </c>
      <c r="K282" s="33">
        <f t="shared" si="97"/>
        <v>6.4049999999999994</v>
      </c>
      <c r="T282" s="30">
        <v>1</v>
      </c>
      <c r="U282">
        <v>5</v>
      </c>
      <c r="V282">
        <v>0.5</v>
      </c>
      <c r="X282" s="6">
        <f t="shared" si="115"/>
        <v>0.505</v>
      </c>
      <c r="Y282" s="6">
        <f t="shared" si="116"/>
        <v>0.51</v>
      </c>
      <c r="Z282" s="6">
        <f t="shared" si="117"/>
        <v>0.51500000000000001</v>
      </c>
      <c r="AA282" s="6">
        <f t="shared" si="118"/>
        <v>0.52</v>
      </c>
      <c r="AB282" s="6">
        <f t="shared" si="119"/>
        <v>0.52500000000000002</v>
      </c>
      <c r="AC282" s="33">
        <f t="shared" si="114"/>
        <v>0.53</v>
      </c>
    </row>
    <row r="283" spans="1:29" x14ac:dyDescent="0.3">
      <c r="A283" s="30">
        <v>2</v>
      </c>
      <c r="B283">
        <v>1</v>
      </c>
      <c r="C283">
        <v>1</v>
      </c>
      <c r="D283">
        <v>6</v>
      </c>
      <c r="E283">
        <v>6.5</v>
      </c>
      <c r="G283">
        <f t="shared" si="99"/>
        <v>6.5650000000000004</v>
      </c>
      <c r="H283">
        <f t="shared" si="100"/>
        <v>6.63</v>
      </c>
      <c r="I283">
        <f t="shared" si="101"/>
        <v>6.6950000000000003</v>
      </c>
      <c r="J283">
        <f t="shared" si="103"/>
        <v>6.76</v>
      </c>
      <c r="K283" s="33">
        <f t="shared" si="97"/>
        <v>6.8250000000000002</v>
      </c>
      <c r="T283" s="30">
        <v>1</v>
      </c>
      <c r="U283">
        <v>6</v>
      </c>
      <c r="V283">
        <v>0.2</v>
      </c>
      <c r="X283" s="6">
        <f t="shared" si="115"/>
        <v>0.20200000000000001</v>
      </c>
      <c r="Y283" s="6">
        <f t="shared" si="116"/>
        <v>0.20400000000000001</v>
      </c>
      <c r="Z283" s="6">
        <f t="shared" si="117"/>
        <v>0.20600000000000002</v>
      </c>
      <c r="AA283" s="6">
        <f t="shared" si="118"/>
        <v>0.20800000000000002</v>
      </c>
      <c r="AB283" s="6">
        <f t="shared" si="119"/>
        <v>0.21000000000000002</v>
      </c>
      <c r="AC283" s="33">
        <f t="shared" si="114"/>
        <v>0.21200000000000002</v>
      </c>
    </row>
    <row r="284" spans="1:29" x14ac:dyDescent="0.3">
      <c r="A284" s="30">
        <v>2</v>
      </c>
      <c r="B284">
        <v>1</v>
      </c>
      <c r="C284">
        <v>2</v>
      </c>
      <c r="D284">
        <v>1</v>
      </c>
      <c r="E284">
        <v>5.5</v>
      </c>
      <c r="G284">
        <f t="shared" si="99"/>
        <v>5.5549999999999997</v>
      </c>
      <c r="H284">
        <f t="shared" si="100"/>
        <v>5.61</v>
      </c>
      <c r="I284">
        <f t="shared" si="101"/>
        <v>5.665</v>
      </c>
      <c r="J284">
        <f t="shared" si="103"/>
        <v>5.72</v>
      </c>
      <c r="K284" s="33">
        <f t="shared" si="97"/>
        <v>5.7750000000000004</v>
      </c>
      <c r="T284" s="30">
        <v>2</v>
      </c>
      <c r="U284">
        <v>1</v>
      </c>
      <c r="V284">
        <v>0.3</v>
      </c>
      <c r="X284" s="6">
        <f t="shared" si="115"/>
        <v>0.30299999999999999</v>
      </c>
      <c r="Y284" s="6">
        <f t="shared" si="116"/>
        <v>0.30599999999999999</v>
      </c>
      <c r="Z284" s="6">
        <f t="shared" si="117"/>
        <v>0.309</v>
      </c>
      <c r="AA284" s="6">
        <f t="shared" si="118"/>
        <v>0.312</v>
      </c>
      <c r="AB284" s="6">
        <f t="shared" si="119"/>
        <v>0.315</v>
      </c>
      <c r="AC284" s="33">
        <f t="shared" si="114"/>
        <v>0.318</v>
      </c>
    </row>
    <row r="285" spans="1:29" x14ac:dyDescent="0.3">
      <c r="A285" s="30">
        <v>2</v>
      </c>
      <c r="B285">
        <v>1</v>
      </c>
      <c r="C285">
        <v>2</v>
      </c>
      <c r="D285">
        <v>2</v>
      </c>
      <c r="E285">
        <v>6.6</v>
      </c>
      <c r="G285">
        <f t="shared" si="99"/>
        <v>6.6659999999999995</v>
      </c>
      <c r="H285">
        <f t="shared" si="100"/>
        <v>6.7319999999999993</v>
      </c>
      <c r="I285">
        <f t="shared" si="101"/>
        <v>6.798</v>
      </c>
      <c r="J285">
        <f t="shared" si="103"/>
        <v>6.8639999999999999</v>
      </c>
      <c r="K285" s="33">
        <f t="shared" si="97"/>
        <v>6.93</v>
      </c>
      <c r="T285" s="30">
        <v>2</v>
      </c>
      <c r="U285">
        <v>2</v>
      </c>
      <c r="V285">
        <v>0.7</v>
      </c>
      <c r="X285" s="6">
        <f t="shared" si="115"/>
        <v>0.70699999999999996</v>
      </c>
      <c r="Y285" s="6">
        <f t="shared" si="116"/>
        <v>0.71399999999999997</v>
      </c>
      <c r="Z285" s="6">
        <f t="shared" si="117"/>
        <v>0.72099999999999997</v>
      </c>
      <c r="AA285" s="6">
        <f t="shared" si="118"/>
        <v>0.72799999999999998</v>
      </c>
      <c r="AB285" s="6">
        <f t="shared" si="119"/>
        <v>0.73499999999999999</v>
      </c>
      <c r="AC285" s="33">
        <f t="shared" si="114"/>
        <v>0.74199999999999999</v>
      </c>
    </row>
    <row r="286" spans="1:29" x14ac:dyDescent="0.3">
      <c r="A286" s="30">
        <v>2</v>
      </c>
      <c r="B286">
        <v>1</v>
      </c>
      <c r="C286">
        <v>2</v>
      </c>
      <c r="D286">
        <v>3</v>
      </c>
      <c r="E286">
        <v>4.7</v>
      </c>
      <c r="G286">
        <f t="shared" si="99"/>
        <v>4.7469999999999999</v>
      </c>
      <c r="H286">
        <f t="shared" si="100"/>
        <v>4.7940000000000005</v>
      </c>
      <c r="I286">
        <f t="shared" si="101"/>
        <v>4.8410000000000002</v>
      </c>
      <c r="J286">
        <f t="shared" si="103"/>
        <v>4.8879999999999999</v>
      </c>
      <c r="K286" s="33">
        <f t="shared" si="97"/>
        <v>4.9350000000000005</v>
      </c>
      <c r="T286" s="30">
        <v>2</v>
      </c>
      <c r="U286">
        <v>3</v>
      </c>
      <c r="V286">
        <v>0.3</v>
      </c>
      <c r="X286" s="6">
        <f t="shared" si="115"/>
        <v>0.30299999999999999</v>
      </c>
      <c r="Y286" s="6">
        <f t="shared" si="116"/>
        <v>0.30599999999999999</v>
      </c>
      <c r="Z286" s="6">
        <f t="shared" si="117"/>
        <v>0.309</v>
      </c>
      <c r="AA286" s="6">
        <f t="shared" si="118"/>
        <v>0.312</v>
      </c>
      <c r="AB286" s="6">
        <f t="shared" si="119"/>
        <v>0.315</v>
      </c>
      <c r="AC286" s="33">
        <f t="shared" si="114"/>
        <v>0.318</v>
      </c>
    </row>
    <row r="287" spans="1:29" x14ac:dyDescent="0.3">
      <c r="A287" s="30">
        <v>2</v>
      </c>
      <c r="B287">
        <v>1</v>
      </c>
      <c r="C287">
        <v>2</v>
      </c>
      <c r="D287">
        <v>4</v>
      </c>
      <c r="E287">
        <v>5.2</v>
      </c>
      <c r="G287">
        <f t="shared" si="99"/>
        <v>5.2519999999999998</v>
      </c>
      <c r="H287">
        <f t="shared" si="100"/>
        <v>5.3040000000000003</v>
      </c>
      <c r="I287">
        <f t="shared" si="101"/>
        <v>5.3559999999999999</v>
      </c>
      <c r="J287">
        <f t="shared" si="103"/>
        <v>5.4080000000000004</v>
      </c>
      <c r="K287" s="33">
        <f t="shared" si="97"/>
        <v>5.46</v>
      </c>
      <c r="T287" s="30">
        <v>2</v>
      </c>
      <c r="U287">
        <v>4</v>
      </c>
      <c r="V287">
        <v>0.4</v>
      </c>
      <c r="X287" s="6">
        <f t="shared" si="115"/>
        <v>0.40400000000000003</v>
      </c>
      <c r="Y287" s="6">
        <f t="shared" si="116"/>
        <v>0.40800000000000003</v>
      </c>
      <c r="Z287" s="6">
        <f t="shared" si="117"/>
        <v>0.41200000000000003</v>
      </c>
      <c r="AA287" s="6">
        <f t="shared" si="118"/>
        <v>0.41600000000000004</v>
      </c>
      <c r="AB287" s="6">
        <f t="shared" si="119"/>
        <v>0.42000000000000004</v>
      </c>
      <c r="AC287" s="33">
        <f t="shared" si="114"/>
        <v>0.42400000000000004</v>
      </c>
    </row>
    <row r="288" spans="1:29" x14ac:dyDescent="0.3">
      <c r="A288" s="30">
        <v>2</v>
      </c>
      <c r="B288">
        <v>1</v>
      </c>
      <c r="C288">
        <v>2</v>
      </c>
      <c r="D288">
        <v>5</v>
      </c>
      <c r="E288">
        <v>6.3</v>
      </c>
      <c r="G288">
        <f t="shared" si="99"/>
        <v>6.3629999999999995</v>
      </c>
      <c r="H288">
        <f t="shared" si="100"/>
        <v>6.4260000000000002</v>
      </c>
      <c r="I288">
        <f t="shared" si="101"/>
        <v>6.4889999999999999</v>
      </c>
      <c r="J288">
        <f t="shared" si="103"/>
        <v>6.5519999999999996</v>
      </c>
      <c r="K288" s="33">
        <f t="shared" si="97"/>
        <v>6.6150000000000002</v>
      </c>
      <c r="T288" s="30">
        <v>2</v>
      </c>
      <c r="U288">
        <v>5</v>
      </c>
      <c r="V288">
        <v>0.1</v>
      </c>
      <c r="X288" s="6">
        <f t="shared" si="115"/>
        <v>0.10100000000000001</v>
      </c>
      <c r="Y288" s="6">
        <f t="shared" si="116"/>
        <v>0.10200000000000001</v>
      </c>
      <c r="Z288" s="6">
        <f t="shared" si="117"/>
        <v>0.10300000000000001</v>
      </c>
      <c r="AA288" s="6">
        <f t="shared" si="118"/>
        <v>0.10400000000000001</v>
      </c>
      <c r="AB288" s="6">
        <f t="shared" si="119"/>
        <v>0.10500000000000001</v>
      </c>
      <c r="AC288" s="33">
        <f t="shared" si="114"/>
        <v>0.10600000000000001</v>
      </c>
    </row>
    <row r="289" spans="1:29" x14ac:dyDescent="0.3">
      <c r="A289" s="30">
        <v>2</v>
      </c>
      <c r="B289">
        <v>1</v>
      </c>
      <c r="C289">
        <v>2</v>
      </c>
      <c r="D289">
        <v>6</v>
      </c>
      <c r="E289">
        <v>5.8</v>
      </c>
      <c r="G289">
        <f t="shared" si="99"/>
        <v>5.8579999999999997</v>
      </c>
      <c r="H289">
        <f t="shared" si="100"/>
        <v>5.9159999999999995</v>
      </c>
      <c r="I289">
        <f t="shared" si="101"/>
        <v>5.9740000000000002</v>
      </c>
      <c r="J289">
        <f t="shared" si="103"/>
        <v>6.032</v>
      </c>
      <c r="K289" s="33">
        <f t="shared" ref="K289:K352" si="120">E289+(E289*5%)</f>
        <v>6.09</v>
      </c>
      <c r="T289" s="30">
        <v>2</v>
      </c>
      <c r="U289">
        <v>6</v>
      </c>
      <c r="V289">
        <v>0.8</v>
      </c>
      <c r="X289" s="6">
        <f t="shared" si="115"/>
        <v>0.80800000000000005</v>
      </c>
      <c r="Y289" s="6">
        <f t="shared" si="116"/>
        <v>0.81600000000000006</v>
      </c>
      <c r="Z289" s="6">
        <f t="shared" si="117"/>
        <v>0.82400000000000007</v>
      </c>
      <c r="AA289" s="6">
        <f t="shared" si="118"/>
        <v>0.83200000000000007</v>
      </c>
      <c r="AB289" s="6">
        <f t="shared" si="119"/>
        <v>0.84000000000000008</v>
      </c>
      <c r="AC289" s="33">
        <f t="shared" si="114"/>
        <v>0.84800000000000009</v>
      </c>
    </row>
    <row r="290" spans="1:29" x14ac:dyDescent="0.3">
      <c r="A290" s="30">
        <v>2</v>
      </c>
      <c r="B290">
        <v>1</v>
      </c>
      <c r="C290">
        <v>3</v>
      </c>
      <c r="D290">
        <v>1</v>
      </c>
      <c r="E290">
        <v>5.8</v>
      </c>
      <c r="G290">
        <f t="shared" si="99"/>
        <v>5.8579999999999997</v>
      </c>
      <c r="H290">
        <f t="shared" si="100"/>
        <v>5.9159999999999995</v>
      </c>
      <c r="I290">
        <f t="shared" si="101"/>
        <v>5.9740000000000002</v>
      </c>
      <c r="J290">
        <f t="shared" si="103"/>
        <v>6.032</v>
      </c>
      <c r="K290" s="33">
        <f t="shared" si="120"/>
        <v>6.09</v>
      </c>
      <c r="T290" s="30">
        <v>3</v>
      </c>
      <c r="U290">
        <v>1</v>
      </c>
      <c r="V290">
        <v>0.6</v>
      </c>
      <c r="X290" s="6">
        <f t="shared" si="115"/>
        <v>0.60599999999999998</v>
      </c>
      <c r="Y290" s="6">
        <f t="shared" si="116"/>
        <v>0.61199999999999999</v>
      </c>
      <c r="Z290" s="6">
        <f t="shared" si="117"/>
        <v>0.61799999999999999</v>
      </c>
      <c r="AA290" s="6">
        <f t="shared" si="118"/>
        <v>0.624</v>
      </c>
      <c r="AB290" s="6">
        <f t="shared" si="119"/>
        <v>0.63</v>
      </c>
      <c r="AC290" s="33">
        <f t="shared" si="114"/>
        <v>0.63600000000000001</v>
      </c>
    </row>
    <row r="291" spans="1:29" x14ac:dyDescent="0.3">
      <c r="A291" s="30">
        <v>2</v>
      </c>
      <c r="B291">
        <v>1</v>
      </c>
      <c r="C291">
        <v>3</v>
      </c>
      <c r="D291">
        <v>2</v>
      </c>
      <c r="E291">
        <v>7.9</v>
      </c>
      <c r="G291">
        <f t="shared" si="99"/>
        <v>7.9790000000000001</v>
      </c>
      <c r="H291">
        <f t="shared" si="100"/>
        <v>8.0579999999999998</v>
      </c>
      <c r="I291">
        <f t="shared" si="101"/>
        <v>8.1370000000000005</v>
      </c>
      <c r="J291">
        <f t="shared" si="103"/>
        <v>8.2160000000000011</v>
      </c>
      <c r="K291" s="33">
        <f t="shared" si="120"/>
        <v>8.2949999999999999</v>
      </c>
      <c r="T291" s="30">
        <v>3</v>
      </c>
      <c r="U291">
        <v>2</v>
      </c>
      <c r="V291">
        <v>0.2</v>
      </c>
      <c r="X291" s="6">
        <f t="shared" si="115"/>
        <v>0.20200000000000001</v>
      </c>
      <c r="Y291" s="6">
        <f t="shared" si="116"/>
        <v>0.20400000000000001</v>
      </c>
      <c r="Z291" s="6">
        <f t="shared" si="117"/>
        <v>0.20600000000000002</v>
      </c>
      <c r="AA291" s="6">
        <f t="shared" si="118"/>
        <v>0.20800000000000002</v>
      </c>
      <c r="AB291" s="6">
        <f t="shared" si="119"/>
        <v>0.21000000000000002</v>
      </c>
      <c r="AC291" s="33">
        <f t="shared" si="114"/>
        <v>0.21200000000000002</v>
      </c>
    </row>
    <row r="292" spans="1:29" x14ac:dyDescent="0.3">
      <c r="A292" s="30">
        <v>2</v>
      </c>
      <c r="B292">
        <v>1</v>
      </c>
      <c r="C292">
        <v>3</v>
      </c>
      <c r="D292">
        <v>3</v>
      </c>
      <c r="E292">
        <v>5.9</v>
      </c>
      <c r="G292">
        <f t="shared" si="99"/>
        <v>5.9590000000000005</v>
      </c>
      <c r="H292">
        <f t="shared" si="100"/>
        <v>6.0180000000000007</v>
      </c>
      <c r="I292">
        <f t="shared" si="101"/>
        <v>6.077</v>
      </c>
      <c r="J292">
        <f t="shared" si="103"/>
        <v>6.1360000000000001</v>
      </c>
      <c r="K292" s="33">
        <f t="shared" si="120"/>
        <v>6.1950000000000003</v>
      </c>
      <c r="T292" s="30">
        <v>3</v>
      </c>
      <c r="U292">
        <v>3</v>
      </c>
      <c r="V292">
        <v>0.1</v>
      </c>
      <c r="X292" s="6">
        <f t="shared" si="115"/>
        <v>0.10100000000000001</v>
      </c>
      <c r="Y292" s="6">
        <f t="shared" si="116"/>
        <v>0.10200000000000001</v>
      </c>
      <c r="Z292" s="6">
        <f t="shared" si="117"/>
        <v>0.10300000000000001</v>
      </c>
      <c r="AA292" s="6">
        <f t="shared" si="118"/>
        <v>0.10400000000000001</v>
      </c>
      <c r="AB292" s="6">
        <f t="shared" si="119"/>
        <v>0.10500000000000001</v>
      </c>
      <c r="AC292" s="33">
        <f t="shared" si="114"/>
        <v>0.10600000000000001</v>
      </c>
    </row>
    <row r="293" spans="1:29" x14ac:dyDescent="0.3">
      <c r="A293" s="30">
        <v>2</v>
      </c>
      <c r="B293">
        <v>1</v>
      </c>
      <c r="C293">
        <v>3</v>
      </c>
      <c r="D293">
        <v>4</v>
      </c>
      <c r="E293">
        <v>4.3</v>
      </c>
      <c r="G293">
        <f t="shared" si="99"/>
        <v>4.343</v>
      </c>
      <c r="H293">
        <f t="shared" si="100"/>
        <v>4.3860000000000001</v>
      </c>
      <c r="I293">
        <f t="shared" si="101"/>
        <v>4.4290000000000003</v>
      </c>
      <c r="J293">
        <f t="shared" si="103"/>
        <v>4.4719999999999995</v>
      </c>
      <c r="K293" s="33">
        <f t="shared" si="120"/>
        <v>4.5149999999999997</v>
      </c>
      <c r="T293" s="30">
        <v>3</v>
      </c>
      <c r="U293">
        <v>4</v>
      </c>
      <c r="V293">
        <v>0.5</v>
      </c>
      <c r="X293" s="6">
        <f t="shared" si="115"/>
        <v>0.505</v>
      </c>
      <c r="Y293" s="6">
        <f t="shared" si="116"/>
        <v>0.51</v>
      </c>
      <c r="Z293" s="6">
        <f t="shared" si="117"/>
        <v>0.51500000000000001</v>
      </c>
      <c r="AA293" s="6">
        <f t="shared" si="118"/>
        <v>0.52</v>
      </c>
      <c r="AB293" s="6">
        <f t="shared" si="119"/>
        <v>0.52500000000000002</v>
      </c>
      <c r="AC293" s="33">
        <f t="shared" si="114"/>
        <v>0.53</v>
      </c>
    </row>
    <row r="294" spans="1:29" x14ac:dyDescent="0.3">
      <c r="A294" s="30">
        <v>2</v>
      </c>
      <c r="B294">
        <v>1</v>
      </c>
      <c r="C294">
        <v>3</v>
      </c>
      <c r="D294">
        <v>5</v>
      </c>
      <c r="E294">
        <v>5.5</v>
      </c>
      <c r="G294">
        <f t="shared" si="99"/>
        <v>5.5549999999999997</v>
      </c>
      <c r="H294">
        <f t="shared" si="100"/>
        <v>5.61</v>
      </c>
      <c r="I294">
        <f t="shared" si="101"/>
        <v>5.665</v>
      </c>
      <c r="J294">
        <f t="shared" si="103"/>
        <v>5.72</v>
      </c>
      <c r="K294" s="33">
        <f t="shared" si="120"/>
        <v>5.7750000000000004</v>
      </c>
      <c r="T294" s="30">
        <v>3</v>
      </c>
      <c r="U294">
        <v>5</v>
      </c>
      <c r="V294">
        <v>0.7</v>
      </c>
      <c r="X294" s="6">
        <f t="shared" si="115"/>
        <v>0.70699999999999996</v>
      </c>
      <c r="Y294" s="6">
        <f t="shared" si="116"/>
        <v>0.71399999999999997</v>
      </c>
      <c r="Z294" s="6">
        <f t="shared" si="117"/>
        <v>0.72099999999999997</v>
      </c>
      <c r="AA294" s="6">
        <f t="shared" si="118"/>
        <v>0.72799999999999998</v>
      </c>
      <c r="AB294" s="6">
        <f t="shared" si="119"/>
        <v>0.73499999999999999</v>
      </c>
      <c r="AC294" s="33">
        <f t="shared" si="114"/>
        <v>0.74199999999999999</v>
      </c>
    </row>
    <row r="295" spans="1:29" x14ac:dyDescent="0.3">
      <c r="A295" s="30">
        <v>2</v>
      </c>
      <c r="B295">
        <v>1</v>
      </c>
      <c r="C295">
        <v>3</v>
      </c>
      <c r="D295">
        <v>6</v>
      </c>
      <c r="E295">
        <v>9.1</v>
      </c>
      <c r="G295">
        <f t="shared" si="99"/>
        <v>9.1909999999999989</v>
      </c>
      <c r="H295">
        <f t="shared" si="100"/>
        <v>9.282</v>
      </c>
      <c r="I295">
        <f t="shared" si="101"/>
        <v>9.3729999999999993</v>
      </c>
      <c r="J295">
        <f t="shared" si="103"/>
        <v>9.4640000000000004</v>
      </c>
      <c r="K295" s="33">
        <f t="shared" si="120"/>
        <v>9.5549999999999997</v>
      </c>
      <c r="T295" s="30">
        <v>3</v>
      </c>
      <c r="U295">
        <v>6</v>
      </c>
      <c r="V295">
        <v>0.6</v>
      </c>
      <c r="X295" s="6">
        <f t="shared" si="115"/>
        <v>0.60599999999999998</v>
      </c>
      <c r="Y295" s="6">
        <f t="shared" si="116"/>
        <v>0.61199999999999999</v>
      </c>
      <c r="Z295" s="6">
        <f t="shared" si="117"/>
        <v>0.61799999999999999</v>
      </c>
      <c r="AA295" s="6">
        <f t="shared" si="118"/>
        <v>0.624</v>
      </c>
      <c r="AB295" s="6">
        <f t="shared" si="119"/>
        <v>0.63</v>
      </c>
      <c r="AC295" s="33">
        <f t="shared" si="114"/>
        <v>0.63600000000000001</v>
      </c>
    </row>
    <row r="296" spans="1:29" x14ac:dyDescent="0.3">
      <c r="A296" s="30">
        <v>2</v>
      </c>
      <c r="B296">
        <v>2</v>
      </c>
      <c r="C296">
        <v>1</v>
      </c>
      <c r="D296">
        <v>1</v>
      </c>
      <c r="E296">
        <v>4.4000000000000004</v>
      </c>
      <c r="G296">
        <f t="shared" si="99"/>
        <v>4.444</v>
      </c>
      <c r="H296">
        <f t="shared" si="100"/>
        <v>4.4880000000000004</v>
      </c>
      <c r="I296">
        <f t="shared" si="101"/>
        <v>4.532</v>
      </c>
      <c r="J296">
        <f t="shared" si="103"/>
        <v>4.5760000000000005</v>
      </c>
      <c r="K296" s="33">
        <f t="shared" si="120"/>
        <v>4.62</v>
      </c>
      <c r="T296" s="30">
        <v>4</v>
      </c>
      <c r="U296">
        <v>1</v>
      </c>
      <c r="V296">
        <v>0.3</v>
      </c>
      <c r="X296" s="6">
        <f t="shared" si="115"/>
        <v>0.30299999999999999</v>
      </c>
      <c r="Y296" s="6">
        <f t="shared" si="116"/>
        <v>0.30599999999999999</v>
      </c>
      <c r="Z296" s="6">
        <f t="shared" si="117"/>
        <v>0.309</v>
      </c>
      <c r="AA296" s="6">
        <f>V296+(V296*4%)</f>
        <v>0.312</v>
      </c>
      <c r="AB296" s="6">
        <f>V296+(V296*5%)</f>
        <v>0.315</v>
      </c>
      <c r="AC296" s="33">
        <f t="shared" si="114"/>
        <v>0.318</v>
      </c>
    </row>
    <row r="297" spans="1:29" x14ac:dyDescent="0.3">
      <c r="A297" s="30">
        <v>2</v>
      </c>
      <c r="B297">
        <v>2</v>
      </c>
      <c r="C297">
        <v>1</v>
      </c>
      <c r="D297">
        <v>2</v>
      </c>
      <c r="E297">
        <v>6.5</v>
      </c>
      <c r="G297">
        <f t="shared" si="99"/>
        <v>6.5650000000000004</v>
      </c>
      <c r="H297">
        <f t="shared" si="100"/>
        <v>6.63</v>
      </c>
      <c r="I297">
        <f t="shared" si="101"/>
        <v>6.6950000000000003</v>
      </c>
      <c r="J297">
        <f t="shared" si="103"/>
        <v>6.76</v>
      </c>
      <c r="K297" s="33">
        <f t="shared" si="120"/>
        <v>6.8250000000000002</v>
      </c>
      <c r="T297" s="30">
        <v>4</v>
      </c>
      <c r="U297">
        <v>2</v>
      </c>
      <c r="V297">
        <v>0.2</v>
      </c>
      <c r="X297" s="6">
        <f t="shared" si="115"/>
        <v>0.20200000000000001</v>
      </c>
      <c r="Y297" s="6">
        <f t="shared" si="116"/>
        <v>0.20400000000000001</v>
      </c>
      <c r="Z297" s="6">
        <f t="shared" si="117"/>
        <v>0.20600000000000002</v>
      </c>
      <c r="AA297" s="6">
        <f t="shared" ref="AA297:AA301" si="121">V297+(V297*4%)</f>
        <v>0.20800000000000002</v>
      </c>
      <c r="AB297" s="6">
        <f t="shared" ref="AB297:AB301" si="122">V297+(V297*5%)</f>
        <v>0.21000000000000002</v>
      </c>
      <c r="AC297" s="33">
        <f t="shared" si="114"/>
        <v>0.21200000000000002</v>
      </c>
    </row>
    <row r="298" spans="1:29" x14ac:dyDescent="0.3">
      <c r="A298" s="30">
        <v>2</v>
      </c>
      <c r="B298">
        <v>2</v>
      </c>
      <c r="C298">
        <v>1</v>
      </c>
      <c r="D298">
        <v>3</v>
      </c>
      <c r="E298">
        <v>3.5</v>
      </c>
      <c r="G298">
        <f t="shared" si="99"/>
        <v>3.5350000000000001</v>
      </c>
      <c r="H298">
        <f t="shared" si="100"/>
        <v>3.57</v>
      </c>
      <c r="I298">
        <f t="shared" si="101"/>
        <v>3.605</v>
      </c>
      <c r="J298">
        <f t="shared" si="103"/>
        <v>3.64</v>
      </c>
      <c r="K298" s="33">
        <f t="shared" si="120"/>
        <v>3.6749999999999998</v>
      </c>
      <c r="T298" s="30">
        <v>4</v>
      </c>
      <c r="U298">
        <v>3</v>
      </c>
      <c r="V298">
        <v>0.5</v>
      </c>
      <c r="X298" s="6">
        <f t="shared" si="115"/>
        <v>0.505</v>
      </c>
      <c r="Y298" s="6">
        <f t="shared" si="116"/>
        <v>0.51</v>
      </c>
      <c r="Z298" s="6">
        <f t="shared" si="117"/>
        <v>0.51500000000000001</v>
      </c>
      <c r="AA298" s="6">
        <f t="shared" si="121"/>
        <v>0.52</v>
      </c>
      <c r="AB298" s="6">
        <f t="shared" si="122"/>
        <v>0.52500000000000002</v>
      </c>
      <c r="AC298" s="33">
        <f>V298+(V298*6%)</f>
        <v>0.53</v>
      </c>
    </row>
    <row r="299" spans="1:29" x14ac:dyDescent="0.3">
      <c r="A299" s="30">
        <v>2</v>
      </c>
      <c r="B299">
        <v>2</v>
      </c>
      <c r="C299">
        <v>1</v>
      </c>
      <c r="D299">
        <v>4</v>
      </c>
      <c r="E299">
        <v>6.2</v>
      </c>
      <c r="G299">
        <f t="shared" si="99"/>
        <v>6.2620000000000005</v>
      </c>
      <c r="H299">
        <f t="shared" si="100"/>
        <v>6.3239999999999998</v>
      </c>
      <c r="I299">
        <f t="shared" si="101"/>
        <v>6.3860000000000001</v>
      </c>
      <c r="J299">
        <f t="shared" si="103"/>
        <v>6.4480000000000004</v>
      </c>
      <c r="K299" s="33">
        <f t="shared" si="120"/>
        <v>6.51</v>
      </c>
      <c r="T299" s="30">
        <v>4</v>
      </c>
      <c r="U299">
        <v>4</v>
      </c>
      <c r="V299">
        <v>0.3</v>
      </c>
      <c r="X299" s="6">
        <f t="shared" si="115"/>
        <v>0.30299999999999999</v>
      </c>
      <c r="Y299" s="6">
        <f t="shared" si="116"/>
        <v>0.30599999999999999</v>
      </c>
      <c r="Z299" s="6">
        <f t="shared" si="117"/>
        <v>0.309</v>
      </c>
      <c r="AA299" s="6">
        <f t="shared" si="121"/>
        <v>0.312</v>
      </c>
      <c r="AB299" s="6">
        <f t="shared" si="122"/>
        <v>0.315</v>
      </c>
      <c r="AC299" s="33">
        <f t="shared" si="114"/>
        <v>0.318</v>
      </c>
    </row>
    <row r="300" spans="1:29" x14ac:dyDescent="0.3">
      <c r="A300" s="30">
        <v>2</v>
      </c>
      <c r="B300">
        <v>2</v>
      </c>
      <c r="C300">
        <v>1</v>
      </c>
      <c r="D300">
        <v>5</v>
      </c>
      <c r="E300">
        <v>9.3000000000000007</v>
      </c>
      <c r="G300">
        <f t="shared" si="99"/>
        <v>9.3930000000000007</v>
      </c>
      <c r="H300">
        <f t="shared" si="100"/>
        <v>9.4860000000000007</v>
      </c>
      <c r="I300">
        <f t="shared" si="101"/>
        <v>9.5790000000000006</v>
      </c>
      <c r="J300">
        <f t="shared" si="103"/>
        <v>9.6720000000000006</v>
      </c>
      <c r="K300" s="33">
        <f t="shared" si="120"/>
        <v>9.7650000000000006</v>
      </c>
      <c r="T300" s="30">
        <v>4</v>
      </c>
      <c r="U300">
        <v>5</v>
      </c>
      <c r="V300">
        <v>0.8</v>
      </c>
      <c r="X300" s="6">
        <f t="shared" si="115"/>
        <v>0.80800000000000005</v>
      </c>
      <c r="Y300" s="6">
        <f t="shared" si="116"/>
        <v>0.81600000000000006</v>
      </c>
      <c r="Z300" s="6">
        <f t="shared" si="117"/>
        <v>0.82400000000000007</v>
      </c>
      <c r="AA300" s="6">
        <f t="shared" si="121"/>
        <v>0.83200000000000007</v>
      </c>
      <c r="AB300" s="6">
        <f t="shared" si="122"/>
        <v>0.84000000000000008</v>
      </c>
      <c r="AC300" s="33">
        <f t="shared" si="114"/>
        <v>0.84800000000000009</v>
      </c>
    </row>
    <row r="301" spans="1:29" x14ac:dyDescent="0.3">
      <c r="A301" s="30">
        <v>2</v>
      </c>
      <c r="B301">
        <v>2</v>
      </c>
      <c r="C301">
        <v>1</v>
      </c>
      <c r="D301">
        <v>6</v>
      </c>
      <c r="E301">
        <v>7.3</v>
      </c>
      <c r="G301">
        <f t="shared" ref="G301:G364" si="123">E301+(E301*1%)</f>
        <v>7.3730000000000002</v>
      </c>
      <c r="H301">
        <f t="shared" ref="H301:H364" si="124">E301+(E301*2%)</f>
        <v>7.4459999999999997</v>
      </c>
      <c r="I301">
        <f t="shared" ref="I301:I364" si="125">E301+(E301*3%)</f>
        <v>7.5190000000000001</v>
      </c>
      <c r="J301">
        <f t="shared" si="103"/>
        <v>7.5919999999999996</v>
      </c>
      <c r="K301" s="33">
        <f t="shared" si="120"/>
        <v>7.665</v>
      </c>
      <c r="T301" s="30">
        <v>4</v>
      </c>
      <c r="U301">
        <v>6</v>
      </c>
      <c r="V301">
        <v>0.4</v>
      </c>
      <c r="X301" s="6">
        <f t="shared" si="115"/>
        <v>0.40400000000000003</v>
      </c>
      <c r="Y301" s="6">
        <f t="shared" si="116"/>
        <v>0.40800000000000003</v>
      </c>
      <c r="Z301" s="6">
        <f t="shared" si="117"/>
        <v>0.41200000000000003</v>
      </c>
      <c r="AA301" s="6">
        <f t="shared" si="121"/>
        <v>0.41600000000000004</v>
      </c>
      <c r="AB301" s="6">
        <f t="shared" si="122"/>
        <v>0.42000000000000004</v>
      </c>
      <c r="AC301" s="33">
        <f t="shared" si="114"/>
        <v>0.42400000000000004</v>
      </c>
    </row>
    <row r="302" spans="1:29" x14ac:dyDescent="0.3">
      <c r="A302" s="30">
        <v>2</v>
      </c>
      <c r="B302">
        <v>2</v>
      </c>
      <c r="C302">
        <v>2</v>
      </c>
      <c r="D302">
        <v>1</v>
      </c>
      <c r="E302">
        <v>6.3</v>
      </c>
      <c r="G302">
        <f t="shared" si="123"/>
        <v>6.3629999999999995</v>
      </c>
      <c r="H302">
        <f t="shared" si="124"/>
        <v>6.4260000000000002</v>
      </c>
      <c r="I302">
        <f>E302+(E302*3%)</f>
        <v>6.4889999999999999</v>
      </c>
      <c r="J302">
        <f t="shared" si="103"/>
        <v>6.5519999999999996</v>
      </c>
      <c r="K302" s="33">
        <f t="shared" si="120"/>
        <v>6.6150000000000002</v>
      </c>
      <c r="T302" s="30"/>
      <c r="AC302" s="33"/>
    </row>
    <row r="303" spans="1:29" x14ac:dyDescent="0.3">
      <c r="A303" s="30">
        <v>2</v>
      </c>
      <c r="B303">
        <v>2</v>
      </c>
      <c r="C303">
        <v>2</v>
      </c>
      <c r="D303">
        <v>2</v>
      </c>
      <c r="E303">
        <v>7.4</v>
      </c>
      <c r="G303">
        <f t="shared" si="123"/>
        <v>7.4740000000000002</v>
      </c>
      <c r="H303">
        <f t="shared" si="124"/>
        <v>7.548</v>
      </c>
      <c r="I303">
        <f t="shared" si="125"/>
        <v>7.6220000000000008</v>
      </c>
      <c r="J303">
        <f t="shared" si="103"/>
        <v>7.6960000000000006</v>
      </c>
      <c r="K303" s="33">
        <f t="shared" si="120"/>
        <v>7.7700000000000005</v>
      </c>
      <c r="T303" s="30"/>
      <c r="AC303" s="33"/>
    </row>
    <row r="304" spans="1:29" x14ac:dyDescent="0.3">
      <c r="A304" s="30">
        <v>2</v>
      </c>
      <c r="B304">
        <v>2</v>
      </c>
      <c r="C304">
        <v>2</v>
      </c>
      <c r="D304">
        <v>3</v>
      </c>
      <c r="E304">
        <v>8.5</v>
      </c>
      <c r="G304">
        <f t="shared" si="123"/>
        <v>8.5850000000000009</v>
      </c>
      <c r="H304">
        <f t="shared" si="124"/>
        <v>8.67</v>
      </c>
      <c r="I304">
        <f t="shared" si="125"/>
        <v>8.7550000000000008</v>
      </c>
      <c r="J304">
        <f t="shared" si="103"/>
        <v>8.84</v>
      </c>
      <c r="K304" s="33">
        <f t="shared" si="120"/>
        <v>8.9250000000000007</v>
      </c>
      <c r="T304" s="30" t="s">
        <v>200</v>
      </c>
      <c r="U304" t="s">
        <v>160</v>
      </c>
      <c r="X304" s="16">
        <f>(X305-U305)/U305*100</f>
        <v>-0.48736259358138695</v>
      </c>
      <c r="Y304" s="16">
        <f>(Y305-U305)/U305*100</f>
        <v>-100</v>
      </c>
      <c r="Z304" s="16">
        <f>(Z305-U305)/U305*100</f>
        <v>-100</v>
      </c>
      <c r="AA304" s="16">
        <f>(AA305-U305)/U305*100</f>
        <v>-100</v>
      </c>
      <c r="AB304" s="16">
        <f>(AB305-U305)/U305*100</f>
        <v>-100</v>
      </c>
      <c r="AC304" s="32">
        <f>(AC305-U305)/U305*100</f>
        <v>-100</v>
      </c>
    </row>
    <row r="305" spans="1:29" x14ac:dyDescent="0.3">
      <c r="A305" s="30">
        <v>2</v>
      </c>
      <c r="B305">
        <v>2</v>
      </c>
      <c r="C305">
        <v>2</v>
      </c>
      <c r="D305">
        <v>4</v>
      </c>
      <c r="E305">
        <v>5.7</v>
      </c>
      <c r="G305">
        <f t="shared" si="123"/>
        <v>5.7570000000000006</v>
      </c>
      <c r="H305">
        <f t="shared" si="124"/>
        <v>5.8140000000000001</v>
      </c>
      <c r="I305">
        <f t="shared" si="125"/>
        <v>5.8710000000000004</v>
      </c>
      <c r="J305">
        <f t="shared" si="103"/>
        <v>5.9279999999999999</v>
      </c>
      <c r="K305" s="33">
        <f t="shared" si="120"/>
        <v>5.9850000000000003</v>
      </c>
      <c r="T305" s="30" t="s">
        <v>178</v>
      </c>
      <c r="U305" s="21">
        <v>2661.3136366680001</v>
      </c>
      <c r="V305" s="21"/>
      <c r="X305" s="21">
        <v>2648.3433895049998</v>
      </c>
      <c r="Y305" s="21"/>
      <c r="Z305" s="21"/>
      <c r="AA305" s="21"/>
      <c r="AB305" s="21"/>
      <c r="AC305" s="31"/>
    </row>
    <row r="306" spans="1:29" x14ac:dyDescent="0.3">
      <c r="A306" s="30">
        <v>2</v>
      </c>
      <c r="B306">
        <v>2</v>
      </c>
      <c r="C306">
        <v>2</v>
      </c>
      <c r="D306">
        <v>5</v>
      </c>
      <c r="E306">
        <v>8.1999999999999993</v>
      </c>
      <c r="G306">
        <f t="shared" si="123"/>
        <v>8.282</v>
      </c>
      <c r="H306">
        <f t="shared" si="124"/>
        <v>8.363999999999999</v>
      </c>
      <c r="I306">
        <f t="shared" si="125"/>
        <v>8.4459999999999997</v>
      </c>
      <c r="J306">
        <f t="shared" si="103"/>
        <v>8.5279999999999987</v>
      </c>
      <c r="K306" s="33">
        <f t="shared" si="120"/>
        <v>8.61</v>
      </c>
      <c r="T306" s="30"/>
      <c r="U306" s="21"/>
      <c r="V306" s="21"/>
      <c r="X306" s="15">
        <f>(X307-U307)/U307*100</f>
        <v>-1.8626941113533441E-3</v>
      </c>
      <c r="Y306" s="15">
        <f>(Y307-U307)/U307*100</f>
        <v>-100</v>
      </c>
      <c r="Z306" s="15">
        <f>(Z307-U307)/U307*100</f>
        <v>-100</v>
      </c>
      <c r="AA306" s="15">
        <f>(AA307-U307)/U307*100</f>
        <v>-100</v>
      </c>
      <c r="AB306" s="15">
        <f>(AB307-U307)/U307*100</f>
        <v>-100</v>
      </c>
      <c r="AC306" s="56">
        <f>(AC307-U307)/U307*100</f>
        <v>-100</v>
      </c>
    </row>
    <row r="307" spans="1:29" x14ac:dyDescent="0.3">
      <c r="A307" s="30">
        <v>2</v>
      </c>
      <c r="B307">
        <v>2</v>
      </c>
      <c r="C307">
        <v>2</v>
      </c>
      <c r="D307">
        <v>6</v>
      </c>
      <c r="E307">
        <v>6.3</v>
      </c>
      <c r="G307">
        <f t="shared" si="123"/>
        <v>6.3629999999999995</v>
      </c>
      <c r="H307">
        <f t="shared" si="124"/>
        <v>6.4260000000000002</v>
      </c>
      <c r="I307">
        <f t="shared" si="125"/>
        <v>6.4889999999999999</v>
      </c>
      <c r="J307">
        <f t="shared" si="103"/>
        <v>6.5519999999999996</v>
      </c>
      <c r="K307" s="33">
        <f t="shared" si="120"/>
        <v>6.6150000000000002</v>
      </c>
      <c r="T307" s="30" t="s">
        <v>158</v>
      </c>
      <c r="U307" s="21">
        <v>805285.2</v>
      </c>
      <c r="V307" s="21"/>
      <c r="X307" s="21">
        <v>805270.2</v>
      </c>
      <c r="Y307" s="21"/>
      <c r="Z307" s="21"/>
      <c r="AA307" s="21"/>
      <c r="AB307" s="21"/>
      <c r="AC307" s="31"/>
    </row>
    <row r="308" spans="1:29" x14ac:dyDescent="0.3">
      <c r="A308" s="30">
        <v>2</v>
      </c>
      <c r="B308">
        <v>2</v>
      </c>
      <c r="C308">
        <v>3</v>
      </c>
      <c r="D308">
        <v>1</v>
      </c>
      <c r="E308">
        <v>7.2</v>
      </c>
      <c r="G308">
        <f t="shared" si="123"/>
        <v>7.2720000000000002</v>
      </c>
      <c r="H308">
        <f t="shared" si="124"/>
        <v>7.3440000000000003</v>
      </c>
      <c r="I308">
        <f>E308+(E308*3%)</f>
        <v>7.4160000000000004</v>
      </c>
      <c r="J308">
        <f t="shared" si="103"/>
        <v>7.4880000000000004</v>
      </c>
      <c r="K308" s="33">
        <f>E308+(E308*5%)</f>
        <v>7.5600000000000005</v>
      </c>
      <c r="T308" s="30"/>
      <c r="AC308" s="33"/>
    </row>
    <row r="309" spans="1:29" x14ac:dyDescent="0.3">
      <c r="A309" s="30">
        <v>2</v>
      </c>
      <c r="B309">
        <v>2</v>
      </c>
      <c r="C309">
        <v>3</v>
      </c>
      <c r="D309">
        <v>2</v>
      </c>
      <c r="E309">
        <v>5.2</v>
      </c>
      <c r="G309">
        <f t="shared" si="123"/>
        <v>5.2519999999999998</v>
      </c>
      <c r="H309">
        <f t="shared" si="124"/>
        <v>5.3040000000000003</v>
      </c>
      <c r="I309">
        <f t="shared" si="125"/>
        <v>5.3559999999999999</v>
      </c>
      <c r="J309">
        <f t="shared" si="103"/>
        <v>5.4080000000000004</v>
      </c>
      <c r="K309" s="33">
        <f t="shared" si="120"/>
        <v>5.46</v>
      </c>
      <c r="T309" s="30"/>
      <c r="AC309" s="33"/>
    </row>
    <row r="310" spans="1:29" x14ac:dyDescent="0.3">
      <c r="A310" s="30">
        <v>2</v>
      </c>
      <c r="B310">
        <v>2</v>
      </c>
      <c r="C310">
        <v>3</v>
      </c>
      <c r="D310">
        <v>3</v>
      </c>
      <c r="E310">
        <v>6.4</v>
      </c>
      <c r="G310">
        <f t="shared" si="123"/>
        <v>6.4640000000000004</v>
      </c>
      <c r="H310">
        <f t="shared" si="124"/>
        <v>6.5280000000000005</v>
      </c>
      <c r="I310">
        <f t="shared" si="125"/>
        <v>6.5920000000000005</v>
      </c>
      <c r="J310">
        <f t="shared" ref="J310:J373" si="126">E310+(E310*4%)</f>
        <v>6.6560000000000006</v>
      </c>
      <c r="K310" s="33">
        <f t="shared" si="120"/>
        <v>6.7200000000000006</v>
      </c>
      <c r="T310" s="30"/>
      <c r="U310" t="s">
        <v>161</v>
      </c>
      <c r="X310" s="16">
        <f>(X311-U311)/U311*100</f>
        <v>-0.48832792333070218</v>
      </c>
      <c r="Y310" s="16">
        <f>(Y311-U311)/U311*100</f>
        <v>-100</v>
      </c>
      <c r="Z310" s="16">
        <f>(Z311-U311)/U311*100</f>
        <v>-100</v>
      </c>
      <c r="AA310" s="16">
        <f>(AA311-U311)/U311*100</f>
        <v>-100</v>
      </c>
      <c r="AB310" s="16">
        <f>(AB311-U311)/U311*100</f>
        <v>-100</v>
      </c>
      <c r="AC310" s="32">
        <f>(AC311-U311)/U311*100</f>
        <v>-100</v>
      </c>
    </row>
    <row r="311" spans="1:29" x14ac:dyDescent="0.3">
      <c r="A311" s="30">
        <v>2</v>
      </c>
      <c r="B311">
        <v>2</v>
      </c>
      <c r="C311">
        <v>3</v>
      </c>
      <c r="D311">
        <v>4</v>
      </c>
      <c r="E311">
        <v>8.1999999999999993</v>
      </c>
      <c r="G311">
        <f t="shared" si="123"/>
        <v>8.282</v>
      </c>
      <c r="H311">
        <f t="shared" si="124"/>
        <v>8.363999999999999</v>
      </c>
      <c r="I311">
        <f t="shared" si="125"/>
        <v>8.4459999999999997</v>
      </c>
      <c r="J311">
        <f t="shared" si="126"/>
        <v>8.5279999999999987</v>
      </c>
      <c r="K311" s="33">
        <f t="shared" si="120"/>
        <v>8.61</v>
      </c>
      <c r="T311" s="30" t="s">
        <v>178</v>
      </c>
      <c r="U311" s="21">
        <v>2660.9395406620001</v>
      </c>
      <c r="V311" s="21"/>
      <c r="X311" s="21">
        <v>2647.9454298619999</v>
      </c>
      <c r="Y311" s="21"/>
      <c r="Z311" s="21"/>
      <c r="AA311" s="21"/>
      <c r="AB311" s="21"/>
      <c r="AC311" s="31"/>
    </row>
    <row r="312" spans="1:29" x14ac:dyDescent="0.3">
      <c r="A312" s="30">
        <v>2</v>
      </c>
      <c r="B312">
        <v>2</v>
      </c>
      <c r="C312">
        <v>3</v>
      </c>
      <c r="D312">
        <v>5</v>
      </c>
      <c r="E312">
        <v>5.0999999999999996</v>
      </c>
      <c r="G312">
        <f t="shared" si="123"/>
        <v>5.1509999999999998</v>
      </c>
      <c r="H312">
        <f t="shared" si="124"/>
        <v>5.202</v>
      </c>
      <c r="I312">
        <f t="shared" si="125"/>
        <v>5.2529999999999992</v>
      </c>
      <c r="J312">
        <f t="shared" si="126"/>
        <v>5.3039999999999994</v>
      </c>
      <c r="K312" s="33">
        <f t="shared" si="120"/>
        <v>5.3549999999999995</v>
      </c>
      <c r="T312" s="30"/>
      <c r="U312" s="21"/>
      <c r="V312" s="21"/>
      <c r="X312" s="15">
        <f>(X313-U313)/U313*100</f>
        <v>-9.312146503158619E-4</v>
      </c>
      <c r="Y312" s="15">
        <f>(Y313-U313)/U313*100</f>
        <v>-100</v>
      </c>
      <c r="Z312" s="15">
        <f>(Z313-U313)/U313*100</f>
        <v>-100</v>
      </c>
      <c r="AA312" s="15">
        <f>(AA313-U313)/U313*100</f>
        <v>-100</v>
      </c>
      <c r="AB312" s="15">
        <f>(AB313-U313)/U313*100</f>
        <v>-100</v>
      </c>
      <c r="AC312" s="56">
        <f>(AC313-U313)/U313*100</f>
        <v>-100</v>
      </c>
    </row>
    <row r="313" spans="1:29" x14ac:dyDescent="0.3">
      <c r="A313" s="30">
        <v>2</v>
      </c>
      <c r="B313">
        <v>2</v>
      </c>
      <c r="C313">
        <v>3</v>
      </c>
      <c r="D313">
        <v>6</v>
      </c>
      <c r="E313">
        <v>6.3</v>
      </c>
      <c r="G313">
        <f t="shared" si="123"/>
        <v>6.3629999999999995</v>
      </c>
      <c r="H313">
        <f t="shared" si="124"/>
        <v>6.4260000000000002</v>
      </c>
      <c r="I313">
        <f t="shared" si="125"/>
        <v>6.4889999999999999</v>
      </c>
      <c r="J313">
        <f t="shared" si="126"/>
        <v>6.5519999999999996</v>
      </c>
      <c r="K313" s="33">
        <f t="shared" si="120"/>
        <v>6.6150000000000002</v>
      </c>
      <c r="T313" s="30" t="s">
        <v>158</v>
      </c>
      <c r="U313" s="21">
        <v>805399.7</v>
      </c>
      <c r="V313" s="21"/>
      <c r="W313" t="s">
        <v>238</v>
      </c>
      <c r="X313" s="21">
        <v>805392.2</v>
      </c>
      <c r="Y313" s="21"/>
      <c r="Z313" s="21"/>
      <c r="AA313" s="21"/>
      <c r="AB313" s="21"/>
      <c r="AC313" s="31"/>
    </row>
    <row r="314" spans="1:29" x14ac:dyDescent="0.3">
      <c r="A314" s="30">
        <v>2</v>
      </c>
      <c r="B314">
        <v>3</v>
      </c>
      <c r="C314">
        <v>1</v>
      </c>
      <c r="D314">
        <v>1</v>
      </c>
      <c r="E314">
        <v>5.5</v>
      </c>
      <c r="G314">
        <f t="shared" si="123"/>
        <v>5.5549999999999997</v>
      </c>
      <c r="H314">
        <f t="shared" si="124"/>
        <v>5.61</v>
      </c>
      <c r="I314">
        <f t="shared" si="125"/>
        <v>5.665</v>
      </c>
      <c r="J314">
        <f t="shared" si="126"/>
        <v>5.72</v>
      </c>
      <c r="K314" s="33">
        <f t="shared" si="120"/>
        <v>5.7750000000000004</v>
      </c>
      <c r="T314" s="34"/>
      <c r="U314" s="22"/>
      <c r="V314" s="22"/>
      <c r="W314" s="22"/>
      <c r="X314" s="22"/>
      <c r="Y314" s="22"/>
      <c r="Z314" s="22"/>
      <c r="AA314" s="22"/>
      <c r="AB314" s="22"/>
      <c r="AC314" s="40"/>
    </row>
    <row r="315" spans="1:29" x14ac:dyDescent="0.3">
      <c r="A315" s="30">
        <v>2</v>
      </c>
      <c r="B315">
        <v>3</v>
      </c>
      <c r="C315">
        <v>1</v>
      </c>
      <c r="D315">
        <v>2</v>
      </c>
      <c r="E315">
        <v>6.2</v>
      </c>
      <c r="G315">
        <f t="shared" si="123"/>
        <v>6.2620000000000005</v>
      </c>
      <c r="H315">
        <f t="shared" si="124"/>
        <v>6.3239999999999998</v>
      </c>
      <c r="I315">
        <f t="shared" si="125"/>
        <v>6.3860000000000001</v>
      </c>
      <c r="J315">
        <f t="shared" si="126"/>
        <v>6.4480000000000004</v>
      </c>
      <c r="K315" s="33">
        <f t="shared" si="120"/>
        <v>6.51</v>
      </c>
    </row>
    <row r="316" spans="1:29" x14ac:dyDescent="0.3">
      <c r="A316" s="30">
        <v>2</v>
      </c>
      <c r="B316">
        <v>3</v>
      </c>
      <c r="C316">
        <v>1</v>
      </c>
      <c r="D316">
        <v>3</v>
      </c>
      <c r="E316">
        <v>7.3</v>
      </c>
      <c r="G316">
        <f t="shared" si="123"/>
        <v>7.3730000000000002</v>
      </c>
      <c r="H316">
        <f t="shared" si="124"/>
        <v>7.4459999999999997</v>
      </c>
      <c r="I316">
        <f t="shared" si="125"/>
        <v>7.5190000000000001</v>
      </c>
      <c r="J316">
        <f t="shared" si="126"/>
        <v>7.5919999999999996</v>
      </c>
      <c r="K316" s="33">
        <f t="shared" si="120"/>
        <v>7.665</v>
      </c>
    </row>
    <row r="317" spans="1:29" x14ac:dyDescent="0.3">
      <c r="A317" s="30">
        <v>2</v>
      </c>
      <c r="B317">
        <v>3</v>
      </c>
      <c r="C317">
        <v>1</v>
      </c>
      <c r="D317">
        <v>4</v>
      </c>
      <c r="E317">
        <v>4.5999999999999996</v>
      </c>
      <c r="G317">
        <f t="shared" si="123"/>
        <v>4.6459999999999999</v>
      </c>
      <c r="H317">
        <f t="shared" si="124"/>
        <v>4.6919999999999993</v>
      </c>
      <c r="I317">
        <f t="shared" si="125"/>
        <v>4.7379999999999995</v>
      </c>
      <c r="J317">
        <f t="shared" si="126"/>
        <v>4.7839999999999998</v>
      </c>
      <c r="K317" s="33">
        <f t="shared" si="120"/>
        <v>4.83</v>
      </c>
    </row>
    <row r="318" spans="1:29" x14ac:dyDescent="0.3">
      <c r="A318" s="30">
        <v>2</v>
      </c>
      <c r="B318">
        <v>3</v>
      </c>
      <c r="C318">
        <v>1</v>
      </c>
      <c r="D318">
        <v>5</v>
      </c>
      <c r="E318">
        <v>6.7</v>
      </c>
      <c r="G318">
        <f t="shared" si="123"/>
        <v>6.7670000000000003</v>
      </c>
      <c r="H318">
        <f t="shared" si="124"/>
        <v>6.8340000000000005</v>
      </c>
      <c r="I318">
        <f t="shared" si="125"/>
        <v>6.9009999999999998</v>
      </c>
      <c r="J318">
        <f t="shared" si="126"/>
        <v>6.968</v>
      </c>
      <c r="K318" s="33">
        <f t="shared" si="120"/>
        <v>7.0350000000000001</v>
      </c>
    </row>
    <row r="319" spans="1:29" x14ac:dyDescent="0.3">
      <c r="A319" s="30">
        <v>2</v>
      </c>
      <c r="B319">
        <v>3</v>
      </c>
      <c r="C319">
        <v>1</v>
      </c>
      <c r="D319">
        <v>6</v>
      </c>
      <c r="E319">
        <v>7.8</v>
      </c>
      <c r="G319">
        <f t="shared" si="123"/>
        <v>7.8780000000000001</v>
      </c>
      <c r="H319">
        <f t="shared" si="124"/>
        <v>7.9559999999999995</v>
      </c>
      <c r="I319">
        <f t="shared" si="125"/>
        <v>8.0339999999999989</v>
      </c>
      <c r="J319">
        <f t="shared" si="126"/>
        <v>8.1120000000000001</v>
      </c>
      <c r="K319" s="33">
        <f t="shared" si="120"/>
        <v>8.19</v>
      </c>
    </row>
    <row r="320" spans="1:29" x14ac:dyDescent="0.3">
      <c r="A320" s="30">
        <v>2</v>
      </c>
      <c r="B320">
        <v>3</v>
      </c>
      <c r="C320">
        <v>2</v>
      </c>
      <c r="D320">
        <v>1</v>
      </c>
      <c r="E320">
        <v>3.3</v>
      </c>
      <c r="G320">
        <f t="shared" si="123"/>
        <v>3.3329999999999997</v>
      </c>
      <c r="H320">
        <f t="shared" si="124"/>
        <v>3.3659999999999997</v>
      </c>
      <c r="I320">
        <f t="shared" si="125"/>
        <v>3.399</v>
      </c>
      <c r="J320">
        <f>E320+(E320*4%)</f>
        <v>3.4319999999999999</v>
      </c>
      <c r="K320" s="33">
        <f t="shared" si="120"/>
        <v>3.4649999999999999</v>
      </c>
    </row>
    <row r="321" spans="1:11" x14ac:dyDescent="0.3">
      <c r="A321" s="30">
        <v>2</v>
      </c>
      <c r="B321">
        <v>3</v>
      </c>
      <c r="C321">
        <v>2</v>
      </c>
      <c r="D321">
        <v>2</v>
      </c>
      <c r="E321">
        <v>4.4000000000000004</v>
      </c>
      <c r="G321">
        <f t="shared" si="123"/>
        <v>4.444</v>
      </c>
      <c r="H321">
        <f t="shared" si="124"/>
        <v>4.4880000000000004</v>
      </c>
      <c r="I321">
        <f t="shared" si="125"/>
        <v>4.532</v>
      </c>
      <c r="J321">
        <f t="shared" si="126"/>
        <v>4.5760000000000005</v>
      </c>
      <c r="K321" s="33">
        <f t="shared" si="120"/>
        <v>4.62</v>
      </c>
    </row>
    <row r="322" spans="1:11" x14ac:dyDescent="0.3">
      <c r="A322" s="30">
        <v>2</v>
      </c>
      <c r="B322">
        <v>3</v>
      </c>
      <c r="C322">
        <v>2</v>
      </c>
      <c r="D322">
        <v>3</v>
      </c>
      <c r="E322">
        <v>6.2</v>
      </c>
      <c r="G322">
        <f t="shared" si="123"/>
        <v>6.2620000000000005</v>
      </c>
      <c r="H322">
        <f t="shared" si="124"/>
        <v>6.3239999999999998</v>
      </c>
      <c r="I322">
        <f t="shared" si="125"/>
        <v>6.3860000000000001</v>
      </c>
      <c r="J322">
        <f t="shared" si="126"/>
        <v>6.4480000000000004</v>
      </c>
      <c r="K322" s="33">
        <f t="shared" si="120"/>
        <v>6.51</v>
      </c>
    </row>
    <row r="323" spans="1:11" x14ac:dyDescent="0.3">
      <c r="A323" s="30">
        <v>2</v>
      </c>
      <c r="B323">
        <v>3</v>
      </c>
      <c r="C323">
        <v>2</v>
      </c>
      <c r="D323">
        <v>4</v>
      </c>
      <c r="E323">
        <v>7.5</v>
      </c>
      <c r="G323">
        <f t="shared" si="123"/>
        <v>7.5750000000000002</v>
      </c>
      <c r="H323">
        <f t="shared" si="124"/>
        <v>7.65</v>
      </c>
      <c r="I323">
        <f t="shared" si="125"/>
        <v>7.7249999999999996</v>
      </c>
      <c r="J323">
        <f t="shared" si="126"/>
        <v>7.8</v>
      </c>
      <c r="K323" s="33">
        <f t="shared" si="120"/>
        <v>7.875</v>
      </c>
    </row>
    <row r="324" spans="1:11" x14ac:dyDescent="0.3">
      <c r="A324" s="30">
        <v>2</v>
      </c>
      <c r="B324">
        <v>3</v>
      </c>
      <c r="C324">
        <v>2</v>
      </c>
      <c r="D324">
        <v>5</v>
      </c>
      <c r="E324">
        <v>3.2</v>
      </c>
      <c r="G324">
        <f t="shared" si="123"/>
        <v>3.2320000000000002</v>
      </c>
      <c r="H324">
        <f t="shared" si="124"/>
        <v>3.2640000000000002</v>
      </c>
      <c r="I324">
        <f t="shared" si="125"/>
        <v>3.2960000000000003</v>
      </c>
      <c r="J324">
        <f t="shared" si="126"/>
        <v>3.3280000000000003</v>
      </c>
      <c r="K324" s="33">
        <f t="shared" si="120"/>
        <v>3.3600000000000003</v>
      </c>
    </row>
    <row r="325" spans="1:11" x14ac:dyDescent="0.3">
      <c r="A325" s="30">
        <v>2</v>
      </c>
      <c r="B325">
        <v>3</v>
      </c>
      <c r="C325">
        <v>2</v>
      </c>
      <c r="D325">
        <v>6</v>
      </c>
      <c r="E325">
        <v>5.5</v>
      </c>
      <c r="G325">
        <f t="shared" si="123"/>
        <v>5.5549999999999997</v>
      </c>
      <c r="H325">
        <f t="shared" si="124"/>
        <v>5.61</v>
      </c>
      <c r="I325">
        <f t="shared" si="125"/>
        <v>5.665</v>
      </c>
      <c r="J325">
        <f t="shared" si="126"/>
        <v>5.72</v>
      </c>
      <c r="K325" s="33">
        <f t="shared" si="120"/>
        <v>5.7750000000000004</v>
      </c>
    </row>
    <row r="326" spans="1:11" x14ac:dyDescent="0.3">
      <c r="A326" s="30">
        <v>2</v>
      </c>
      <c r="B326">
        <v>3</v>
      </c>
      <c r="C326">
        <v>3</v>
      </c>
      <c r="D326">
        <v>1</v>
      </c>
      <c r="E326">
        <v>5.3</v>
      </c>
      <c r="G326">
        <f t="shared" si="123"/>
        <v>5.3529999999999998</v>
      </c>
      <c r="H326">
        <f t="shared" si="124"/>
        <v>5.4059999999999997</v>
      </c>
      <c r="I326">
        <f t="shared" si="125"/>
        <v>5.4589999999999996</v>
      </c>
      <c r="J326">
        <f t="shared" si="126"/>
        <v>5.5119999999999996</v>
      </c>
      <c r="K326" s="33">
        <f t="shared" si="120"/>
        <v>5.5649999999999995</v>
      </c>
    </row>
    <row r="327" spans="1:11" x14ac:dyDescent="0.3">
      <c r="A327" s="30">
        <v>2</v>
      </c>
      <c r="B327">
        <v>3</v>
      </c>
      <c r="C327">
        <v>3</v>
      </c>
      <c r="D327">
        <v>2</v>
      </c>
      <c r="E327">
        <v>7.5</v>
      </c>
      <c r="G327">
        <f t="shared" si="123"/>
        <v>7.5750000000000002</v>
      </c>
      <c r="H327">
        <f t="shared" si="124"/>
        <v>7.65</v>
      </c>
      <c r="I327">
        <f t="shared" si="125"/>
        <v>7.7249999999999996</v>
      </c>
      <c r="J327">
        <f t="shared" si="126"/>
        <v>7.8</v>
      </c>
      <c r="K327" s="33">
        <f t="shared" si="120"/>
        <v>7.875</v>
      </c>
    </row>
    <row r="328" spans="1:11" x14ac:dyDescent="0.3">
      <c r="A328" s="30">
        <v>2</v>
      </c>
      <c r="B328">
        <v>3</v>
      </c>
      <c r="C328">
        <v>3</v>
      </c>
      <c r="D328">
        <v>3</v>
      </c>
      <c r="E328">
        <v>4.7</v>
      </c>
      <c r="G328">
        <f t="shared" si="123"/>
        <v>4.7469999999999999</v>
      </c>
      <c r="H328">
        <f t="shared" si="124"/>
        <v>4.7940000000000005</v>
      </c>
      <c r="I328">
        <f t="shared" si="125"/>
        <v>4.8410000000000002</v>
      </c>
      <c r="J328">
        <f t="shared" si="126"/>
        <v>4.8879999999999999</v>
      </c>
      <c r="K328" s="33">
        <f t="shared" si="120"/>
        <v>4.9350000000000005</v>
      </c>
    </row>
    <row r="329" spans="1:11" x14ac:dyDescent="0.3">
      <c r="A329" s="30">
        <v>2</v>
      </c>
      <c r="B329">
        <v>3</v>
      </c>
      <c r="C329">
        <v>3</v>
      </c>
      <c r="D329">
        <v>4</v>
      </c>
      <c r="E329">
        <v>6.8</v>
      </c>
      <c r="G329">
        <f t="shared" si="123"/>
        <v>6.8679999999999994</v>
      </c>
      <c r="H329">
        <f t="shared" si="124"/>
        <v>6.9359999999999999</v>
      </c>
      <c r="I329">
        <f t="shared" si="125"/>
        <v>7.0039999999999996</v>
      </c>
      <c r="J329">
        <f t="shared" si="126"/>
        <v>7.0720000000000001</v>
      </c>
      <c r="K329" s="33">
        <f t="shared" si="120"/>
        <v>7.14</v>
      </c>
    </row>
    <row r="330" spans="1:11" x14ac:dyDescent="0.3">
      <c r="A330" s="30">
        <v>2</v>
      </c>
      <c r="B330">
        <v>3</v>
      </c>
      <c r="C330">
        <v>3</v>
      </c>
      <c r="D330">
        <v>5</v>
      </c>
      <c r="E330">
        <v>5.6</v>
      </c>
      <c r="G330">
        <f t="shared" si="123"/>
        <v>5.6559999999999997</v>
      </c>
      <c r="H330">
        <f t="shared" si="124"/>
        <v>5.7119999999999997</v>
      </c>
      <c r="I330">
        <f t="shared" si="125"/>
        <v>5.7679999999999998</v>
      </c>
      <c r="J330">
        <f t="shared" si="126"/>
        <v>5.8239999999999998</v>
      </c>
      <c r="K330" s="33">
        <f t="shared" si="120"/>
        <v>5.88</v>
      </c>
    </row>
    <row r="331" spans="1:11" x14ac:dyDescent="0.3">
      <c r="A331" s="30">
        <v>2</v>
      </c>
      <c r="B331">
        <v>3</v>
      </c>
      <c r="C331">
        <v>3</v>
      </c>
      <c r="D331">
        <v>6</v>
      </c>
      <c r="E331">
        <v>6.1</v>
      </c>
      <c r="G331">
        <f t="shared" si="123"/>
        <v>6.1609999999999996</v>
      </c>
      <c r="H331">
        <f t="shared" si="124"/>
        <v>6.2219999999999995</v>
      </c>
      <c r="I331">
        <f t="shared" si="125"/>
        <v>6.2829999999999995</v>
      </c>
      <c r="J331">
        <f t="shared" si="126"/>
        <v>6.3439999999999994</v>
      </c>
      <c r="K331" s="33">
        <f t="shared" si="120"/>
        <v>6.4049999999999994</v>
      </c>
    </row>
    <row r="332" spans="1:11" x14ac:dyDescent="0.3">
      <c r="A332" s="30">
        <v>3</v>
      </c>
      <c r="B332">
        <v>1</v>
      </c>
      <c r="C332">
        <v>1</v>
      </c>
      <c r="D332">
        <v>1</v>
      </c>
      <c r="E332">
        <v>5.4</v>
      </c>
      <c r="G332">
        <f t="shared" si="123"/>
        <v>5.4540000000000006</v>
      </c>
      <c r="H332">
        <f t="shared" si="124"/>
        <v>5.508</v>
      </c>
      <c r="I332">
        <f t="shared" si="125"/>
        <v>5.5620000000000003</v>
      </c>
      <c r="J332">
        <f t="shared" si="126"/>
        <v>5.6160000000000005</v>
      </c>
      <c r="K332" s="33">
        <f t="shared" si="120"/>
        <v>5.67</v>
      </c>
    </row>
    <row r="333" spans="1:11" x14ac:dyDescent="0.3">
      <c r="A333" s="30">
        <v>3</v>
      </c>
      <c r="B333">
        <v>1</v>
      </c>
      <c r="C333">
        <v>1</v>
      </c>
      <c r="D333">
        <v>2</v>
      </c>
      <c r="E333">
        <v>6.6</v>
      </c>
      <c r="G333">
        <f t="shared" si="123"/>
        <v>6.6659999999999995</v>
      </c>
      <c r="H333">
        <f t="shared" si="124"/>
        <v>6.7319999999999993</v>
      </c>
      <c r="I333">
        <f t="shared" si="125"/>
        <v>6.798</v>
      </c>
      <c r="J333">
        <f t="shared" si="126"/>
        <v>6.8639999999999999</v>
      </c>
      <c r="K333" s="33">
        <f t="shared" si="120"/>
        <v>6.93</v>
      </c>
    </row>
    <row r="334" spans="1:11" x14ac:dyDescent="0.3">
      <c r="A334" s="30">
        <v>3</v>
      </c>
      <c r="B334">
        <v>1</v>
      </c>
      <c r="C334">
        <v>1</v>
      </c>
      <c r="D334">
        <v>3</v>
      </c>
      <c r="E334">
        <v>3.4</v>
      </c>
      <c r="G334">
        <f t="shared" si="123"/>
        <v>3.4339999999999997</v>
      </c>
      <c r="H334">
        <f t="shared" si="124"/>
        <v>3.468</v>
      </c>
      <c r="I334">
        <f t="shared" si="125"/>
        <v>3.5019999999999998</v>
      </c>
      <c r="J334">
        <f t="shared" si="126"/>
        <v>3.536</v>
      </c>
      <c r="K334" s="33">
        <f t="shared" si="120"/>
        <v>3.57</v>
      </c>
    </row>
    <row r="335" spans="1:11" x14ac:dyDescent="0.3">
      <c r="A335" s="30">
        <v>3</v>
      </c>
      <c r="B335">
        <v>1</v>
      </c>
      <c r="C335">
        <v>1</v>
      </c>
      <c r="D335">
        <v>4</v>
      </c>
      <c r="E335">
        <v>2.2999999999999998</v>
      </c>
      <c r="G335">
        <f t="shared" si="123"/>
        <v>2.323</v>
      </c>
      <c r="H335">
        <f t="shared" si="124"/>
        <v>2.3459999999999996</v>
      </c>
      <c r="I335">
        <f t="shared" si="125"/>
        <v>2.3689999999999998</v>
      </c>
      <c r="J335">
        <f t="shared" si="126"/>
        <v>2.3919999999999999</v>
      </c>
      <c r="K335" s="33">
        <f t="shared" si="120"/>
        <v>2.415</v>
      </c>
    </row>
    <row r="336" spans="1:11" x14ac:dyDescent="0.3">
      <c r="A336" s="30">
        <v>3</v>
      </c>
      <c r="B336">
        <v>1</v>
      </c>
      <c r="C336">
        <v>1</v>
      </c>
      <c r="D336">
        <v>5</v>
      </c>
      <c r="E336">
        <v>4.4000000000000004</v>
      </c>
      <c r="G336">
        <f t="shared" si="123"/>
        <v>4.444</v>
      </c>
      <c r="H336">
        <f t="shared" si="124"/>
        <v>4.4880000000000004</v>
      </c>
      <c r="I336">
        <f t="shared" si="125"/>
        <v>4.532</v>
      </c>
      <c r="J336">
        <f t="shared" si="126"/>
        <v>4.5760000000000005</v>
      </c>
      <c r="K336" s="33">
        <f t="shared" si="120"/>
        <v>4.62</v>
      </c>
    </row>
    <row r="337" spans="1:11" x14ac:dyDescent="0.3">
      <c r="A337" s="30">
        <v>3</v>
      </c>
      <c r="B337">
        <v>1</v>
      </c>
      <c r="C337">
        <v>1</v>
      </c>
      <c r="D337">
        <v>6</v>
      </c>
      <c r="E337">
        <v>4.5</v>
      </c>
      <c r="G337">
        <f t="shared" si="123"/>
        <v>4.5449999999999999</v>
      </c>
      <c r="H337">
        <f t="shared" si="124"/>
        <v>4.59</v>
      </c>
      <c r="I337">
        <f t="shared" si="125"/>
        <v>4.6349999999999998</v>
      </c>
      <c r="J337">
        <f t="shared" si="126"/>
        <v>4.68</v>
      </c>
      <c r="K337" s="33">
        <f t="shared" si="120"/>
        <v>4.7249999999999996</v>
      </c>
    </row>
    <row r="338" spans="1:11" x14ac:dyDescent="0.3">
      <c r="A338" s="30">
        <v>3</v>
      </c>
      <c r="B338">
        <v>1</v>
      </c>
      <c r="C338">
        <v>2</v>
      </c>
      <c r="D338">
        <v>1</v>
      </c>
      <c r="E338">
        <v>4.3</v>
      </c>
      <c r="G338">
        <f t="shared" si="123"/>
        <v>4.343</v>
      </c>
      <c r="H338">
        <f t="shared" si="124"/>
        <v>4.3860000000000001</v>
      </c>
      <c r="I338">
        <f>E338+(E338*3%)</f>
        <v>4.4290000000000003</v>
      </c>
      <c r="J338">
        <f t="shared" si="126"/>
        <v>4.4719999999999995</v>
      </c>
      <c r="K338" s="33">
        <f t="shared" si="120"/>
        <v>4.5149999999999997</v>
      </c>
    </row>
    <row r="339" spans="1:11" x14ac:dyDescent="0.3">
      <c r="A339" s="30">
        <v>3</v>
      </c>
      <c r="B339">
        <v>1</v>
      </c>
      <c r="C339">
        <v>2</v>
      </c>
      <c r="D339">
        <v>2</v>
      </c>
      <c r="E339">
        <v>6.5</v>
      </c>
      <c r="G339">
        <f t="shared" si="123"/>
        <v>6.5650000000000004</v>
      </c>
      <c r="H339">
        <f t="shared" si="124"/>
        <v>6.63</v>
      </c>
      <c r="I339">
        <f t="shared" si="125"/>
        <v>6.6950000000000003</v>
      </c>
      <c r="J339">
        <f t="shared" si="126"/>
        <v>6.76</v>
      </c>
      <c r="K339" s="33">
        <f t="shared" si="120"/>
        <v>6.8250000000000002</v>
      </c>
    </row>
    <row r="340" spans="1:11" x14ac:dyDescent="0.3">
      <c r="A340" s="30">
        <v>3</v>
      </c>
      <c r="B340">
        <v>1</v>
      </c>
      <c r="C340">
        <v>2</v>
      </c>
      <c r="D340">
        <v>3</v>
      </c>
      <c r="E340">
        <v>6.6</v>
      </c>
      <c r="G340">
        <f t="shared" si="123"/>
        <v>6.6659999999999995</v>
      </c>
      <c r="H340">
        <f t="shared" si="124"/>
        <v>6.7319999999999993</v>
      </c>
      <c r="I340">
        <f t="shared" si="125"/>
        <v>6.798</v>
      </c>
      <c r="J340">
        <f t="shared" si="126"/>
        <v>6.8639999999999999</v>
      </c>
      <c r="K340" s="33">
        <f t="shared" si="120"/>
        <v>6.93</v>
      </c>
    </row>
    <row r="341" spans="1:11" x14ac:dyDescent="0.3">
      <c r="A341" s="30">
        <v>3</v>
      </c>
      <c r="B341">
        <v>1</v>
      </c>
      <c r="C341">
        <v>2</v>
      </c>
      <c r="D341">
        <v>4</v>
      </c>
      <c r="E341">
        <v>7.3</v>
      </c>
      <c r="G341">
        <f t="shared" si="123"/>
        <v>7.3730000000000002</v>
      </c>
      <c r="H341">
        <f t="shared" si="124"/>
        <v>7.4459999999999997</v>
      </c>
      <c r="I341">
        <f t="shared" si="125"/>
        <v>7.5190000000000001</v>
      </c>
      <c r="J341">
        <f t="shared" si="126"/>
        <v>7.5919999999999996</v>
      </c>
      <c r="K341" s="33">
        <f t="shared" si="120"/>
        <v>7.665</v>
      </c>
    </row>
    <row r="342" spans="1:11" x14ac:dyDescent="0.3">
      <c r="A342" s="30">
        <v>3</v>
      </c>
      <c r="B342">
        <v>1</v>
      </c>
      <c r="C342">
        <v>2</v>
      </c>
      <c r="D342">
        <v>5</v>
      </c>
      <c r="E342">
        <v>4.3</v>
      </c>
      <c r="G342">
        <f t="shared" si="123"/>
        <v>4.343</v>
      </c>
      <c r="H342">
        <f t="shared" si="124"/>
        <v>4.3860000000000001</v>
      </c>
      <c r="I342">
        <f t="shared" si="125"/>
        <v>4.4290000000000003</v>
      </c>
      <c r="J342">
        <f t="shared" si="126"/>
        <v>4.4719999999999995</v>
      </c>
      <c r="K342" s="33">
        <f t="shared" si="120"/>
        <v>4.5149999999999997</v>
      </c>
    </row>
    <row r="343" spans="1:11" x14ac:dyDescent="0.3">
      <c r="A343" s="30">
        <v>3</v>
      </c>
      <c r="B343">
        <v>1</v>
      </c>
      <c r="C343">
        <v>2</v>
      </c>
      <c r="D343">
        <v>6</v>
      </c>
      <c r="E343">
        <v>3.7</v>
      </c>
      <c r="G343">
        <f t="shared" si="123"/>
        <v>3.7370000000000001</v>
      </c>
      <c r="H343">
        <f t="shared" si="124"/>
        <v>3.774</v>
      </c>
      <c r="I343">
        <f t="shared" si="125"/>
        <v>3.8110000000000004</v>
      </c>
      <c r="J343">
        <f t="shared" si="126"/>
        <v>3.8480000000000003</v>
      </c>
      <c r="K343" s="33">
        <f t="shared" si="120"/>
        <v>3.8850000000000002</v>
      </c>
    </row>
    <row r="344" spans="1:11" x14ac:dyDescent="0.3">
      <c r="A344" s="30">
        <v>3</v>
      </c>
      <c r="B344">
        <v>1</v>
      </c>
      <c r="C344">
        <v>3</v>
      </c>
      <c r="D344">
        <v>1</v>
      </c>
      <c r="E344">
        <v>6.2</v>
      </c>
      <c r="G344">
        <f>E344+(E344*1%)</f>
        <v>6.2620000000000005</v>
      </c>
      <c r="H344">
        <f t="shared" si="124"/>
        <v>6.3239999999999998</v>
      </c>
      <c r="I344">
        <f t="shared" si="125"/>
        <v>6.3860000000000001</v>
      </c>
      <c r="J344">
        <f t="shared" si="126"/>
        <v>6.4480000000000004</v>
      </c>
      <c r="K344" s="33">
        <f>E344+(E344*5%)</f>
        <v>6.51</v>
      </c>
    </row>
    <row r="345" spans="1:11" x14ac:dyDescent="0.3">
      <c r="A345" s="30">
        <v>3</v>
      </c>
      <c r="B345">
        <v>1</v>
      </c>
      <c r="C345">
        <v>3</v>
      </c>
      <c r="D345">
        <v>2</v>
      </c>
      <c r="E345">
        <v>4.5</v>
      </c>
      <c r="G345">
        <f t="shared" si="123"/>
        <v>4.5449999999999999</v>
      </c>
      <c r="H345">
        <f t="shared" si="124"/>
        <v>4.59</v>
      </c>
      <c r="I345">
        <f t="shared" si="125"/>
        <v>4.6349999999999998</v>
      </c>
      <c r="J345">
        <f t="shared" si="126"/>
        <v>4.68</v>
      </c>
      <c r="K345" s="33">
        <f t="shared" si="120"/>
        <v>4.7249999999999996</v>
      </c>
    </row>
    <row r="346" spans="1:11" x14ac:dyDescent="0.3">
      <c r="A346" s="30">
        <v>3</v>
      </c>
      <c r="B346">
        <v>1</v>
      </c>
      <c r="C346">
        <v>3</v>
      </c>
      <c r="D346">
        <v>3</v>
      </c>
      <c r="E346">
        <v>6.6</v>
      </c>
      <c r="G346">
        <f t="shared" si="123"/>
        <v>6.6659999999999995</v>
      </c>
      <c r="H346">
        <f t="shared" si="124"/>
        <v>6.7319999999999993</v>
      </c>
      <c r="I346">
        <f t="shared" si="125"/>
        <v>6.798</v>
      </c>
      <c r="J346">
        <f t="shared" si="126"/>
        <v>6.8639999999999999</v>
      </c>
      <c r="K346" s="33">
        <f t="shared" si="120"/>
        <v>6.93</v>
      </c>
    </row>
    <row r="347" spans="1:11" x14ac:dyDescent="0.3">
      <c r="A347" s="30">
        <v>3</v>
      </c>
      <c r="B347">
        <v>1</v>
      </c>
      <c r="C347">
        <v>3</v>
      </c>
      <c r="D347">
        <v>4</v>
      </c>
      <c r="E347">
        <v>7.6</v>
      </c>
      <c r="G347">
        <f t="shared" si="123"/>
        <v>7.6759999999999993</v>
      </c>
      <c r="H347">
        <f t="shared" si="124"/>
        <v>7.7519999999999998</v>
      </c>
      <c r="I347">
        <f t="shared" si="125"/>
        <v>7.8279999999999994</v>
      </c>
      <c r="J347">
        <f t="shared" si="126"/>
        <v>7.9039999999999999</v>
      </c>
      <c r="K347" s="33">
        <f t="shared" si="120"/>
        <v>7.9799999999999995</v>
      </c>
    </row>
    <row r="348" spans="1:11" x14ac:dyDescent="0.3">
      <c r="A348" s="30">
        <v>3</v>
      </c>
      <c r="B348">
        <v>1</v>
      </c>
      <c r="C348">
        <v>3</v>
      </c>
      <c r="D348">
        <v>5</v>
      </c>
      <c r="E348">
        <v>5.2</v>
      </c>
      <c r="G348">
        <f t="shared" si="123"/>
        <v>5.2519999999999998</v>
      </c>
      <c r="H348">
        <f t="shared" si="124"/>
        <v>5.3040000000000003</v>
      </c>
      <c r="I348">
        <f t="shared" si="125"/>
        <v>5.3559999999999999</v>
      </c>
      <c r="J348">
        <f t="shared" si="126"/>
        <v>5.4080000000000004</v>
      </c>
      <c r="K348" s="33">
        <f t="shared" si="120"/>
        <v>5.46</v>
      </c>
    </row>
    <row r="349" spans="1:11" x14ac:dyDescent="0.3">
      <c r="A349" s="30">
        <v>3</v>
      </c>
      <c r="B349">
        <v>1</v>
      </c>
      <c r="C349">
        <v>3</v>
      </c>
      <c r="D349">
        <v>6</v>
      </c>
      <c r="E349">
        <v>3.2</v>
      </c>
      <c r="G349">
        <f t="shared" si="123"/>
        <v>3.2320000000000002</v>
      </c>
      <c r="H349">
        <f t="shared" si="124"/>
        <v>3.2640000000000002</v>
      </c>
      <c r="I349">
        <f t="shared" si="125"/>
        <v>3.2960000000000003</v>
      </c>
      <c r="J349">
        <f t="shared" si="126"/>
        <v>3.3280000000000003</v>
      </c>
      <c r="K349" s="33">
        <f t="shared" si="120"/>
        <v>3.3600000000000003</v>
      </c>
    </row>
    <row r="350" spans="1:11" x14ac:dyDescent="0.3">
      <c r="A350" s="30">
        <v>3</v>
      </c>
      <c r="B350">
        <v>2</v>
      </c>
      <c r="C350">
        <v>1</v>
      </c>
      <c r="D350">
        <v>1</v>
      </c>
      <c r="E350">
        <v>4.5</v>
      </c>
      <c r="G350">
        <f t="shared" si="123"/>
        <v>4.5449999999999999</v>
      </c>
      <c r="H350">
        <f>E350+(E350*2%)</f>
        <v>4.59</v>
      </c>
      <c r="I350">
        <f t="shared" si="125"/>
        <v>4.6349999999999998</v>
      </c>
      <c r="J350">
        <f t="shared" si="126"/>
        <v>4.68</v>
      </c>
      <c r="K350" s="33">
        <f>E350+(E350*5%)</f>
        <v>4.7249999999999996</v>
      </c>
    </row>
    <row r="351" spans="1:11" x14ac:dyDescent="0.3">
      <c r="A351" s="30">
        <v>3</v>
      </c>
      <c r="B351">
        <v>2</v>
      </c>
      <c r="C351">
        <v>1</v>
      </c>
      <c r="D351">
        <v>2</v>
      </c>
      <c r="E351">
        <v>5.5</v>
      </c>
      <c r="G351">
        <f t="shared" si="123"/>
        <v>5.5549999999999997</v>
      </c>
      <c r="H351">
        <f t="shared" si="124"/>
        <v>5.61</v>
      </c>
      <c r="I351">
        <f t="shared" si="125"/>
        <v>5.665</v>
      </c>
      <c r="J351">
        <f t="shared" si="126"/>
        <v>5.72</v>
      </c>
      <c r="K351" s="33">
        <f t="shared" si="120"/>
        <v>5.7750000000000004</v>
      </c>
    </row>
    <row r="352" spans="1:11" x14ac:dyDescent="0.3">
      <c r="A352" s="30">
        <v>3</v>
      </c>
      <c r="B352">
        <v>2</v>
      </c>
      <c r="C352">
        <v>1</v>
      </c>
      <c r="D352">
        <v>3</v>
      </c>
      <c r="E352">
        <v>2.2000000000000002</v>
      </c>
      <c r="G352">
        <f t="shared" si="123"/>
        <v>2.222</v>
      </c>
      <c r="H352">
        <f t="shared" si="124"/>
        <v>2.2440000000000002</v>
      </c>
      <c r="I352">
        <f t="shared" si="125"/>
        <v>2.266</v>
      </c>
      <c r="J352">
        <f t="shared" si="126"/>
        <v>2.2880000000000003</v>
      </c>
      <c r="K352" s="33">
        <f t="shared" si="120"/>
        <v>2.31</v>
      </c>
    </row>
    <row r="353" spans="1:11" x14ac:dyDescent="0.3">
      <c r="A353" s="30">
        <v>3</v>
      </c>
      <c r="B353">
        <v>2</v>
      </c>
      <c r="C353">
        <v>1</v>
      </c>
      <c r="D353">
        <v>4</v>
      </c>
      <c r="E353">
        <v>7.3</v>
      </c>
      <c r="G353">
        <f t="shared" si="123"/>
        <v>7.3730000000000002</v>
      </c>
      <c r="H353">
        <f t="shared" si="124"/>
        <v>7.4459999999999997</v>
      </c>
      <c r="I353">
        <f t="shared" si="125"/>
        <v>7.5190000000000001</v>
      </c>
      <c r="J353">
        <f t="shared" si="126"/>
        <v>7.5919999999999996</v>
      </c>
      <c r="K353" s="33">
        <f t="shared" ref="K353:K416" si="127">E353+(E353*5%)</f>
        <v>7.665</v>
      </c>
    </row>
    <row r="354" spans="1:11" x14ac:dyDescent="0.3">
      <c r="A354" s="30">
        <v>3</v>
      </c>
      <c r="B354">
        <v>2</v>
      </c>
      <c r="C354">
        <v>1</v>
      </c>
      <c r="D354">
        <v>5</v>
      </c>
      <c r="E354">
        <v>7.4</v>
      </c>
      <c r="G354">
        <f t="shared" si="123"/>
        <v>7.4740000000000002</v>
      </c>
      <c r="H354">
        <f t="shared" si="124"/>
        <v>7.548</v>
      </c>
      <c r="I354">
        <f t="shared" si="125"/>
        <v>7.6220000000000008</v>
      </c>
      <c r="J354">
        <f t="shared" si="126"/>
        <v>7.6960000000000006</v>
      </c>
      <c r="K354" s="33">
        <f t="shared" si="127"/>
        <v>7.7700000000000005</v>
      </c>
    </row>
    <row r="355" spans="1:11" x14ac:dyDescent="0.3">
      <c r="A355" s="30">
        <v>3</v>
      </c>
      <c r="B355">
        <v>2</v>
      </c>
      <c r="C355">
        <v>1</v>
      </c>
      <c r="D355">
        <v>6</v>
      </c>
      <c r="E355">
        <v>5.8</v>
      </c>
      <c r="G355">
        <f t="shared" si="123"/>
        <v>5.8579999999999997</v>
      </c>
      <c r="H355">
        <f t="shared" si="124"/>
        <v>5.9159999999999995</v>
      </c>
      <c r="I355">
        <f t="shared" si="125"/>
        <v>5.9740000000000002</v>
      </c>
      <c r="J355">
        <f t="shared" si="126"/>
        <v>6.032</v>
      </c>
      <c r="K355" s="33">
        <f t="shared" si="127"/>
        <v>6.09</v>
      </c>
    </row>
    <row r="356" spans="1:11" x14ac:dyDescent="0.3">
      <c r="A356" s="30">
        <v>3</v>
      </c>
      <c r="B356">
        <v>2</v>
      </c>
      <c r="C356">
        <v>2</v>
      </c>
      <c r="D356">
        <v>1</v>
      </c>
      <c r="E356">
        <v>7.9</v>
      </c>
      <c r="G356">
        <f t="shared" si="123"/>
        <v>7.9790000000000001</v>
      </c>
      <c r="H356">
        <f t="shared" si="124"/>
        <v>8.0579999999999998</v>
      </c>
      <c r="I356">
        <f>E356+(E356*3%)</f>
        <v>8.1370000000000005</v>
      </c>
      <c r="J356">
        <f t="shared" si="126"/>
        <v>8.2160000000000011</v>
      </c>
      <c r="K356" s="33">
        <f t="shared" si="127"/>
        <v>8.2949999999999999</v>
      </c>
    </row>
    <row r="357" spans="1:11" x14ac:dyDescent="0.3">
      <c r="A357" s="30">
        <v>3</v>
      </c>
      <c r="B357">
        <v>2</v>
      </c>
      <c r="C357">
        <v>2</v>
      </c>
      <c r="D357">
        <v>2</v>
      </c>
      <c r="E357">
        <v>5.5</v>
      </c>
      <c r="G357">
        <f t="shared" si="123"/>
        <v>5.5549999999999997</v>
      </c>
      <c r="H357">
        <f t="shared" si="124"/>
        <v>5.61</v>
      </c>
      <c r="I357">
        <f t="shared" si="125"/>
        <v>5.665</v>
      </c>
      <c r="J357">
        <f t="shared" si="126"/>
        <v>5.72</v>
      </c>
      <c r="K357" s="33">
        <f t="shared" si="127"/>
        <v>5.7750000000000004</v>
      </c>
    </row>
    <row r="358" spans="1:11" x14ac:dyDescent="0.3">
      <c r="A358" s="30">
        <v>3</v>
      </c>
      <c r="B358">
        <v>2</v>
      </c>
      <c r="C358">
        <v>2</v>
      </c>
      <c r="D358">
        <v>3</v>
      </c>
      <c r="E358">
        <v>6.2</v>
      </c>
      <c r="G358">
        <f t="shared" si="123"/>
        <v>6.2620000000000005</v>
      </c>
      <c r="H358">
        <f t="shared" si="124"/>
        <v>6.3239999999999998</v>
      </c>
      <c r="I358">
        <f t="shared" si="125"/>
        <v>6.3860000000000001</v>
      </c>
      <c r="J358">
        <f t="shared" si="126"/>
        <v>6.4480000000000004</v>
      </c>
      <c r="K358" s="33">
        <f t="shared" si="127"/>
        <v>6.51</v>
      </c>
    </row>
    <row r="359" spans="1:11" x14ac:dyDescent="0.3">
      <c r="A359" s="30">
        <v>3</v>
      </c>
      <c r="B359">
        <v>2</v>
      </c>
      <c r="C359">
        <v>2</v>
      </c>
      <c r="D359">
        <v>4</v>
      </c>
      <c r="E359">
        <v>3.9</v>
      </c>
      <c r="G359">
        <f t="shared" si="123"/>
        <v>3.9390000000000001</v>
      </c>
      <c r="H359">
        <f t="shared" si="124"/>
        <v>3.9779999999999998</v>
      </c>
      <c r="I359">
        <f t="shared" si="125"/>
        <v>4.0169999999999995</v>
      </c>
      <c r="J359">
        <f t="shared" si="126"/>
        <v>4.056</v>
      </c>
      <c r="K359" s="33">
        <f t="shared" si="127"/>
        <v>4.0949999999999998</v>
      </c>
    </row>
    <row r="360" spans="1:11" x14ac:dyDescent="0.3">
      <c r="A360" s="30">
        <v>3</v>
      </c>
      <c r="B360">
        <v>2</v>
      </c>
      <c r="C360">
        <v>2</v>
      </c>
      <c r="D360">
        <v>5</v>
      </c>
      <c r="E360">
        <v>7.6</v>
      </c>
      <c r="G360">
        <f t="shared" si="123"/>
        <v>7.6759999999999993</v>
      </c>
      <c r="H360">
        <f t="shared" si="124"/>
        <v>7.7519999999999998</v>
      </c>
      <c r="I360">
        <f t="shared" si="125"/>
        <v>7.8279999999999994</v>
      </c>
      <c r="J360">
        <f t="shared" si="126"/>
        <v>7.9039999999999999</v>
      </c>
      <c r="K360" s="33">
        <f t="shared" si="127"/>
        <v>7.9799999999999995</v>
      </c>
    </row>
    <row r="361" spans="1:11" x14ac:dyDescent="0.3">
      <c r="A361" s="30">
        <v>3</v>
      </c>
      <c r="B361">
        <v>2</v>
      </c>
      <c r="C361">
        <v>2</v>
      </c>
      <c r="D361">
        <v>6</v>
      </c>
      <c r="E361">
        <v>7.3</v>
      </c>
      <c r="G361">
        <f t="shared" si="123"/>
        <v>7.3730000000000002</v>
      </c>
      <c r="H361">
        <f t="shared" si="124"/>
        <v>7.4459999999999997</v>
      </c>
      <c r="I361">
        <f t="shared" si="125"/>
        <v>7.5190000000000001</v>
      </c>
      <c r="J361">
        <f t="shared" si="126"/>
        <v>7.5919999999999996</v>
      </c>
      <c r="K361" s="33">
        <f t="shared" si="127"/>
        <v>7.665</v>
      </c>
    </row>
    <row r="362" spans="1:11" x14ac:dyDescent="0.3">
      <c r="A362" s="30">
        <v>3</v>
      </c>
      <c r="B362">
        <v>2</v>
      </c>
      <c r="C362">
        <v>3</v>
      </c>
      <c r="D362">
        <v>1</v>
      </c>
      <c r="E362">
        <v>7.8</v>
      </c>
      <c r="G362">
        <f t="shared" si="123"/>
        <v>7.8780000000000001</v>
      </c>
      <c r="H362">
        <f t="shared" si="124"/>
        <v>7.9559999999999995</v>
      </c>
      <c r="I362">
        <f t="shared" si="125"/>
        <v>8.0339999999999989</v>
      </c>
      <c r="J362">
        <f t="shared" si="126"/>
        <v>8.1120000000000001</v>
      </c>
      <c r="K362" s="33">
        <f t="shared" si="127"/>
        <v>8.19</v>
      </c>
    </row>
    <row r="363" spans="1:11" x14ac:dyDescent="0.3">
      <c r="A363" s="30">
        <v>3</v>
      </c>
      <c r="B363">
        <v>2</v>
      </c>
      <c r="C363">
        <v>3</v>
      </c>
      <c r="D363">
        <v>2</v>
      </c>
      <c r="E363">
        <v>5.4</v>
      </c>
      <c r="G363">
        <f t="shared" si="123"/>
        <v>5.4540000000000006</v>
      </c>
      <c r="H363">
        <f t="shared" si="124"/>
        <v>5.508</v>
      </c>
      <c r="I363">
        <f t="shared" si="125"/>
        <v>5.5620000000000003</v>
      </c>
      <c r="J363">
        <f t="shared" si="126"/>
        <v>5.6160000000000005</v>
      </c>
      <c r="K363" s="33">
        <f t="shared" si="127"/>
        <v>5.67</v>
      </c>
    </row>
    <row r="364" spans="1:11" x14ac:dyDescent="0.3">
      <c r="A364" s="30">
        <v>3</v>
      </c>
      <c r="B364">
        <v>2</v>
      </c>
      <c r="C364">
        <v>3</v>
      </c>
      <c r="D364">
        <v>3</v>
      </c>
      <c r="E364">
        <v>5.6</v>
      </c>
      <c r="G364">
        <f t="shared" si="123"/>
        <v>5.6559999999999997</v>
      </c>
      <c r="H364">
        <f t="shared" si="124"/>
        <v>5.7119999999999997</v>
      </c>
      <c r="I364">
        <f t="shared" si="125"/>
        <v>5.7679999999999998</v>
      </c>
      <c r="J364">
        <f t="shared" si="126"/>
        <v>5.8239999999999998</v>
      </c>
      <c r="K364" s="33">
        <f t="shared" si="127"/>
        <v>5.88</v>
      </c>
    </row>
    <row r="365" spans="1:11" x14ac:dyDescent="0.3">
      <c r="A365" s="30">
        <v>3</v>
      </c>
      <c r="B365">
        <v>2</v>
      </c>
      <c r="C365">
        <v>3</v>
      </c>
      <c r="D365">
        <v>4</v>
      </c>
      <c r="E365">
        <v>4.5999999999999996</v>
      </c>
      <c r="G365">
        <f t="shared" ref="G365:G427" si="128">E365+(E365*1%)</f>
        <v>4.6459999999999999</v>
      </c>
      <c r="H365">
        <f t="shared" ref="H365:H428" si="129">E365+(E365*2%)</f>
        <v>4.6919999999999993</v>
      </c>
      <c r="I365">
        <f t="shared" ref="I365:I428" si="130">E365+(E365*3%)</f>
        <v>4.7379999999999995</v>
      </c>
      <c r="J365">
        <f t="shared" si="126"/>
        <v>4.7839999999999998</v>
      </c>
      <c r="K365" s="33">
        <f t="shared" si="127"/>
        <v>4.83</v>
      </c>
    </row>
    <row r="366" spans="1:11" x14ac:dyDescent="0.3">
      <c r="A366" s="30">
        <v>3</v>
      </c>
      <c r="B366">
        <v>2</v>
      </c>
      <c r="C366">
        <v>3</v>
      </c>
      <c r="D366">
        <v>5</v>
      </c>
      <c r="E366">
        <v>8.6</v>
      </c>
      <c r="G366">
        <f t="shared" si="128"/>
        <v>8.6859999999999999</v>
      </c>
      <c r="H366">
        <f t="shared" si="129"/>
        <v>8.7720000000000002</v>
      </c>
      <c r="I366">
        <f t="shared" si="130"/>
        <v>8.8580000000000005</v>
      </c>
      <c r="J366">
        <f t="shared" si="126"/>
        <v>8.9439999999999991</v>
      </c>
      <c r="K366" s="33">
        <f t="shared" si="127"/>
        <v>9.0299999999999994</v>
      </c>
    </row>
    <row r="367" spans="1:11" x14ac:dyDescent="0.3">
      <c r="A367" s="30">
        <v>3</v>
      </c>
      <c r="B367">
        <v>2</v>
      </c>
      <c r="C367">
        <v>3</v>
      </c>
      <c r="D367">
        <v>6</v>
      </c>
      <c r="E367">
        <v>6.1</v>
      </c>
      <c r="G367">
        <f t="shared" si="128"/>
        <v>6.1609999999999996</v>
      </c>
      <c r="H367">
        <f t="shared" si="129"/>
        <v>6.2219999999999995</v>
      </c>
      <c r="I367">
        <f t="shared" si="130"/>
        <v>6.2829999999999995</v>
      </c>
      <c r="J367">
        <f t="shared" si="126"/>
        <v>6.3439999999999994</v>
      </c>
      <c r="K367" s="33">
        <f t="shared" si="127"/>
        <v>6.4049999999999994</v>
      </c>
    </row>
    <row r="368" spans="1:11" x14ac:dyDescent="0.3">
      <c r="A368" s="30">
        <v>3</v>
      </c>
      <c r="B368">
        <v>3</v>
      </c>
      <c r="C368">
        <v>1</v>
      </c>
      <c r="D368">
        <v>1</v>
      </c>
      <c r="E368">
        <v>6.4</v>
      </c>
      <c r="G368">
        <f t="shared" si="128"/>
        <v>6.4640000000000004</v>
      </c>
      <c r="H368">
        <f t="shared" si="129"/>
        <v>6.5280000000000005</v>
      </c>
      <c r="I368">
        <f t="shared" si="130"/>
        <v>6.5920000000000005</v>
      </c>
      <c r="J368">
        <f t="shared" si="126"/>
        <v>6.6560000000000006</v>
      </c>
      <c r="K368" s="33">
        <f t="shared" si="127"/>
        <v>6.7200000000000006</v>
      </c>
    </row>
    <row r="369" spans="1:11" x14ac:dyDescent="0.3">
      <c r="A369" s="30">
        <v>3</v>
      </c>
      <c r="B369">
        <v>3</v>
      </c>
      <c r="C369">
        <v>1</v>
      </c>
      <c r="D369">
        <v>2</v>
      </c>
      <c r="E369">
        <v>4.5</v>
      </c>
      <c r="G369">
        <f t="shared" si="128"/>
        <v>4.5449999999999999</v>
      </c>
      <c r="H369">
        <f t="shared" si="129"/>
        <v>4.59</v>
      </c>
      <c r="I369">
        <f t="shared" si="130"/>
        <v>4.6349999999999998</v>
      </c>
      <c r="J369">
        <f t="shared" si="126"/>
        <v>4.68</v>
      </c>
      <c r="K369" s="33">
        <f t="shared" si="127"/>
        <v>4.7249999999999996</v>
      </c>
    </row>
    <row r="370" spans="1:11" x14ac:dyDescent="0.3">
      <c r="A370" s="30">
        <v>3</v>
      </c>
      <c r="B370">
        <v>3</v>
      </c>
      <c r="C370">
        <v>1</v>
      </c>
      <c r="D370">
        <v>3</v>
      </c>
      <c r="E370">
        <v>6.1</v>
      </c>
      <c r="G370">
        <f t="shared" si="128"/>
        <v>6.1609999999999996</v>
      </c>
      <c r="H370">
        <f t="shared" si="129"/>
        <v>6.2219999999999995</v>
      </c>
      <c r="I370">
        <f t="shared" si="130"/>
        <v>6.2829999999999995</v>
      </c>
      <c r="J370">
        <f t="shared" si="126"/>
        <v>6.3439999999999994</v>
      </c>
      <c r="K370" s="33">
        <f t="shared" si="127"/>
        <v>6.4049999999999994</v>
      </c>
    </row>
    <row r="371" spans="1:11" x14ac:dyDescent="0.3">
      <c r="A371" s="30">
        <v>3</v>
      </c>
      <c r="B371">
        <v>3</v>
      </c>
      <c r="C371">
        <v>1</v>
      </c>
      <c r="D371">
        <v>4</v>
      </c>
      <c r="E371">
        <v>4.3</v>
      </c>
      <c r="G371">
        <f t="shared" si="128"/>
        <v>4.343</v>
      </c>
      <c r="H371">
        <f t="shared" si="129"/>
        <v>4.3860000000000001</v>
      </c>
      <c r="I371">
        <f t="shared" si="130"/>
        <v>4.4290000000000003</v>
      </c>
      <c r="J371">
        <f t="shared" si="126"/>
        <v>4.4719999999999995</v>
      </c>
      <c r="K371" s="33">
        <f t="shared" si="127"/>
        <v>4.5149999999999997</v>
      </c>
    </row>
    <row r="372" spans="1:11" x14ac:dyDescent="0.3">
      <c r="A372" s="30">
        <v>3</v>
      </c>
      <c r="B372">
        <v>3</v>
      </c>
      <c r="C372">
        <v>1</v>
      </c>
      <c r="D372">
        <v>5</v>
      </c>
      <c r="E372">
        <v>7.3</v>
      </c>
      <c r="G372">
        <f t="shared" si="128"/>
        <v>7.3730000000000002</v>
      </c>
      <c r="H372">
        <f t="shared" si="129"/>
        <v>7.4459999999999997</v>
      </c>
      <c r="I372">
        <f t="shared" si="130"/>
        <v>7.5190000000000001</v>
      </c>
      <c r="J372">
        <f t="shared" si="126"/>
        <v>7.5919999999999996</v>
      </c>
      <c r="K372" s="33">
        <f t="shared" si="127"/>
        <v>7.665</v>
      </c>
    </row>
    <row r="373" spans="1:11" x14ac:dyDescent="0.3">
      <c r="A373" s="30">
        <v>3</v>
      </c>
      <c r="B373">
        <v>3</v>
      </c>
      <c r="C373">
        <v>1</v>
      </c>
      <c r="D373">
        <v>6</v>
      </c>
      <c r="E373">
        <v>2.9</v>
      </c>
      <c r="G373">
        <f t="shared" si="128"/>
        <v>2.9289999999999998</v>
      </c>
      <c r="H373">
        <f t="shared" si="129"/>
        <v>2.9579999999999997</v>
      </c>
      <c r="I373">
        <f t="shared" si="130"/>
        <v>2.9870000000000001</v>
      </c>
      <c r="J373">
        <f t="shared" si="126"/>
        <v>3.016</v>
      </c>
      <c r="K373" s="33">
        <f t="shared" si="127"/>
        <v>3.0449999999999999</v>
      </c>
    </row>
    <row r="374" spans="1:11" x14ac:dyDescent="0.3">
      <c r="A374" s="30">
        <v>3</v>
      </c>
      <c r="B374">
        <v>3</v>
      </c>
      <c r="C374">
        <v>2</v>
      </c>
      <c r="D374">
        <v>1</v>
      </c>
      <c r="E374">
        <v>7.3</v>
      </c>
      <c r="G374">
        <f t="shared" si="128"/>
        <v>7.3730000000000002</v>
      </c>
      <c r="H374">
        <f t="shared" si="129"/>
        <v>7.4459999999999997</v>
      </c>
      <c r="I374">
        <f t="shared" si="130"/>
        <v>7.5190000000000001</v>
      </c>
      <c r="J374">
        <f t="shared" ref="J374:J437" si="131">E374+(E374*4%)</f>
        <v>7.5919999999999996</v>
      </c>
      <c r="K374" s="33">
        <f>E374+(E374*5%)</f>
        <v>7.665</v>
      </c>
    </row>
    <row r="375" spans="1:11" x14ac:dyDescent="0.3">
      <c r="A375" s="30">
        <v>3</v>
      </c>
      <c r="B375">
        <v>3</v>
      </c>
      <c r="C375">
        <v>2</v>
      </c>
      <c r="D375">
        <v>2</v>
      </c>
      <c r="E375">
        <v>4.3</v>
      </c>
      <c r="G375">
        <f t="shared" si="128"/>
        <v>4.343</v>
      </c>
      <c r="H375">
        <f t="shared" si="129"/>
        <v>4.3860000000000001</v>
      </c>
      <c r="I375">
        <f t="shared" si="130"/>
        <v>4.4290000000000003</v>
      </c>
      <c r="J375">
        <f t="shared" si="131"/>
        <v>4.4719999999999995</v>
      </c>
      <c r="K375" s="33">
        <f t="shared" si="127"/>
        <v>4.5149999999999997</v>
      </c>
    </row>
    <row r="376" spans="1:11" x14ac:dyDescent="0.3">
      <c r="A376" s="30">
        <v>3</v>
      </c>
      <c r="B376">
        <v>3</v>
      </c>
      <c r="C376">
        <v>2</v>
      </c>
      <c r="D376">
        <v>3</v>
      </c>
      <c r="E376">
        <v>6.6</v>
      </c>
      <c r="G376">
        <f t="shared" si="128"/>
        <v>6.6659999999999995</v>
      </c>
      <c r="H376">
        <f t="shared" si="129"/>
        <v>6.7319999999999993</v>
      </c>
      <c r="I376">
        <f t="shared" si="130"/>
        <v>6.798</v>
      </c>
      <c r="J376">
        <f t="shared" si="131"/>
        <v>6.8639999999999999</v>
      </c>
      <c r="K376" s="33">
        <f t="shared" si="127"/>
        <v>6.93</v>
      </c>
    </row>
    <row r="377" spans="1:11" x14ac:dyDescent="0.3">
      <c r="A377" s="30">
        <v>3</v>
      </c>
      <c r="B377">
        <v>3</v>
      </c>
      <c r="C377">
        <v>2</v>
      </c>
      <c r="D377">
        <v>4</v>
      </c>
      <c r="E377">
        <v>5.0999999999999996</v>
      </c>
      <c r="G377">
        <f t="shared" si="128"/>
        <v>5.1509999999999998</v>
      </c>
      <c r="H377">
        <f t="shared" si="129"/>
        <v>5.202</v>
      </c>
      <c r="I377">
        <f t="shared" si="130"/>
        <v>5.2529999999999992</v>
      </c>
      <c r="J377">
        <f t="shared" si="131"/>
        <v>5.3039999999999994</v>
      </c>
      <c r="K377" s="33">
        <f t="shared" si="127"/>
        <v>5.3549999999999995</v>
      </c>
    </row>
    <row r="378" spans="1:11" x14ac:dyDescent="0.3">
      <c r="A378" s="30">
        <v>3</v>
      </c>
      <c r="B378">
        <v>3</v>
      </c>
      <c r="C378">
        <v>2</v>
      </c>
      <c r="D378">
        <v>5</v>
      </c>
      <c r="E378">
        <v>4.0999999999999996</v>
      </c>
      <c r="G378">
        <f t="shared" si="128"/>
        <v>4.141</v>
      </c>
      <c r="H378">
        <f t="shared" si="129"/>
        <v>4.1819999999999995</v>
      </c>
      <c r="I378">
        <f t="shared" si="130"/>
        <v>4.2229999999999999</v>
      </c>
      <c r="J378">
        <f t="shared" si="131"/>
        <v>4.2639999999999993</v>
      </c>
      <c r="K378" s="33">
        <f t="shared" si="127"/>
        <v>4.3049999999999997</v>
      </c>
    </row>
    <row r="379" spans="1:11" x14ac:dyDescent="0.3">
      <c r="A379" s="30">
        <v>3</v>
      </c>
      <c r="B379">
        <v>3</v>
      </c>
      <c r="C379">
        <v>2</v>
      </c>
      <c r="D379">
        <v>6</v>
      </c>
      <c r="E379">
        <v>4.5</v>
      </c>
      <c r="G379">
        <f t="shared" si="128"/>
        <v>4.5449999999999999</v>
      </c>
      <c r="H379">
        <f t="shared" si="129"/>
        <v>4.59</v>
      </c>
      <c r="I379">
        <f t="shared" si="130"/>
        <v>4.6349999999999998</v>
      </c>
      <c r="J379">
        <f t="shared" si="131"/>
        <v>4.68</v>
      </c>
      <c r="K379" s="33">
        <f t="shared" si="127"/>
        <v>4.7249999999999996</v>
      </c>
    </row>
    <row r="380" spans="1:11" x14ac:dyDescent="0.3">
      <c r="A380" s="30">
        <v>3</v>
      </c>
      <c r="B380">
        <v>3</v>
      </c>
      <c r="C380">
        <v>3</v>
      </c>
      <c r="D380">
        <v>1</v>
      </c>
      <c r="E380">
        <v>6.3</v>
      </c>
      <c r="G380">
        <f t="shared" si="128"/>
        <v>6.3629999999999995</v>
      </c>
      <c r="H380">
        <f t="shared" si="129"/>
        <v>6.4260000000000002</v>
      </c>
      <c r="I380">
        <f t="shared" si="130"/>
        <v>6.4889999999999999</v>
      </c>
      <c r="J380">
        <f t="shared" si="131"/>
        <v>6.5519999999999996</v>
      </c>
      <c r="K380" s="33">
        <f>E380+(E380*5%)</f>
        <v>6.6150000000000002</v>
      </c>
    </row>
    <row r="381" spans="1:11" x14ac:dyDescent="0.3">
      <c r="A381" s="30">
        <v>3</v>
      </c>
      <c r="B381">
        <v>3</v>
      </c>
      <c r="C381">
        <v>3</v>
      </c>
      <c r="D381">
        <v>2</v>
      </c>
      <c r="E381">
        <v>4.5</v>
      </c>
      <c r="G381">
        <f t="shared" si="128"/>
        <v>4.5449999999999999</v>
      </c>
      <c r="H381">
        <f t="shared" si="129"/>
        <v>4.59</v>
      </c>
      <c r="I381">
        <f t="shared" si="130"/>
        <v>4.6349999999999998</v>
      </c>
      <c r="J381">
        <f t="shared" si="131"/>
        <v>4.68</v>
      </c>
      <c r="K381" s="33">
        <f t="shared" si="127"/>
        <v>4.7249999999999996</v>
      </c>
    </row>
    <row r="382" spans="1:11" x14ac:dyDescent="0.3">
      <c r="A382" s="30">
        <v>3</v>
      </c>
      <c r="B382">
        <v>3</v>
      </c>
      <c r="C382">
        <v>3</v>
      </c>
      <c r="D382">
        <v>3</v>
      </c>
      <c r="E382">
        <v>6.1</v>
      </c>
      <c r="G382">
        <f t="shared" si="128"/>
        <v>6.1609999999999996</v>
      </c>
      <c r="H382">
        <f t="shared" si="129"/>
        <v>6.2219999999999995</v>
      </c>
      <c r="I382">
        <f t="shared" si="130"/>
        <v>6.2829999999999995</v>
      </c>
      <c r="J382">
        <f t="shared" si="131"/>
        <v>6.3439999999999994</v>
      </c>
      <c r="K382" s="33">
        <f t="shared" si="127"/>
        <v>6.4049999999999994</v>
      </c>
    </row>
    <row r="383" spans="1:11" x14ac:dyDescent="0.3">
      <c r="A383" s="30">
        <v>3</v>
      </c>
      <c r="B383">
        <v>3</v>
      </c>
      <c r="C383">
        <v>3</v>
      </c>
      <c r="D383">
        <v>4</v>
      </c>
      <c r="E383">
        <v>7.2</v>
      </c>
      <c r="G383">
        <f t="shared" si="128"/>
        <v>7.2720000000000002</v>
      </c>
      <c r="H383">
        <f t="shared" si="129"/>
        <v>7.3440000000000003</v>
      </c>
      <c r="I383">
        <f t="shared" si="130"/>
        <v>7.4160000000000004</v>
      </c>
      <c r="J383">
        <f t="shared" si="131"/>
        <v>7.4880000000000004</v>
      </c>
      <c r="K383" s="33">
        <f t="shared" si="127"/>
        <v>7.5600000000000005</v>
      </c>
    </row>
    <row r="384" spans="1:11" x14ac:dyDescent="0.3">
      <c r="A384" s="30">
        <v>3</v>
      </c>
      <c r="B384">
        <v>3</v>
      </c>
      <c r="C384">
        <v>3</v>
      </c>
      <c r="D384">
        <v>5</v>
      </c>
      <c r="E384">
        <v>6.5</v>
      </c>
      <c r="G384">
        <f t="shared" si="128"/>
        <v>6.5650000000000004</v>
      </c>
      <c r="H384">
        <f t="shared" si="129"/>
        <v>6.63</v>
      </c>
      <c r="I384">
        <f t="shared" si="130"/>
        <v>6.6950000000000003</v>
      </c>
      <c r="J384">
        <f t="shared" si="131"/>
        <v>6.76</v>
      </c>
      <c r="K384" s="33">
        <f t="shared" si="127"/>
        <v>6.8250000000000002</v>
      </c>
    </row>
    <row r="385" spans="1:11" x14ac:dyDescent="0.3">
      <c r="A385" s="30">
        <v>3</v>
      </c>
      <c r="B385">
        <v>3</v>
      </c>
      <c r="C385">
        <v>3</v>
      </c>
      <c r="D385">
        <v>6</v>
      </c>
      <c r="E385">
        <v>7.1</v>
      </c>
      <c r="G385">
        <f t="shared" si="128"/>
        <v>7.1709999999999994</v>
      </c>
      <c r="H385">
        <f t="shared" si="129"/>
        <v>7.242</v>
      </c>
      <c r="I385">
        <f t="shared" si="130"/>
        <v>7.3129999999999997</v>
      </c>
      <c r="J385">
        <f t="shared" si="131"/>
        <v>7.3839999999999995</v>
      </c>
      <c r="K385" s="33">
        <f t="shared" si="127"/>
        <v>7.4550000000000001</v>
      </c>
    </row>
    <row r="386" spans="1:11" x14ac:dyDescent="0.3">
      <c r="A386" s="30">
        <v>4</v>
      </c>
      <c r="B386">
        <v>1</v>
      </c>
      <c r="C386">
        <v>1</v>
      </c>
      <c r="D386">
        <v>1</v>
      </c>
      <c r="E386">
        <v>2.4</v>
      </c>
      <c r="G386">
        <f t="shared" si="128"/>
        <v>2.4239999999999999</v>
      </c>
      <c r="H386">
        <f t="shared" si="129"/>
        <v>2.448</v>
      </c>
      <c r="I386">
        <f t="shared" si="130"/>
        <v>2.472</v>
      </c>
      <c r="J386">
        <f t="shared" si="131"/>
        <v>2.496</v>
      </c>
      <c r="K386" s="33">
        <f t="shared" si="127"/>
        <v>2.52</v>
      </c>
    </row>
    <row r="387" spans="1:11" x14ac:dyDescent="0.3">
      <c r="A387" s="30">
        <v>4</v>
      </c>
      <c r="B387">
        <v>1</v>
      </c>
      <c r="C387">
        <v>1</v>
      </c>
      <c r="D387">
        <v>2</v>
      </c>
      <c r="E387">
        <v>7.3</v>
      </c>
      <c r="G387">
        <f t="shared" si="128"/>
        <v>7.3730000000000002</v>
      </c>
      <c r="H387">
        <f t="shared" si="129"/>
        <v>7.4459999999999997</v>
      </c>
      <c r="I387">
        <f t="shared" si="130"/>
        <v>7.5190000000000001</v>
      </c>
      <c r="J387">
        <f t="shared" si="131"/>
        <v>7.5919999999999996</v>
      </c>
      <c r="K387" s="33">
        <f t="shared" si="127"/>
        <v>7.665</v>
      </c>
    </row>
    <row r="388" spans="1:11" x14ac:dyDescent="0.3">
      <c r="A388" s="30">
        <v>4</v>
      </c>
      <c r="B388">
        <v>1</v>
      </c>
      <c r="C388">
        <v>1</v>
      </c>
      <c r="D388">
        <v>3</v>
      </c>
      <c r="E388">
        <v>5.6</v>
      </c>
      <c r="G388">
        <f t="shared" si="128"/>
        <v>5.6559999999999997</v>
      </c>
      <c r="H388">
        <f t="shared" si="129"/>
        <v>5.7119999999999997</v>
      </c>
      <c r="I388">
        <f t="shared" si="130"/>
        <v>5.7679999999999998</v>
      </c>
      <c r="J388">
        <f t="shared" si="131"/>
        <v>5.8239999999999998</v>
      </c>
      <c r="K388" s="33">
        <f t="shared" si="127"/>
        <v>5.88</v>
      </c>
    </row>
    <row r="389" spans="1:11" x14ac:dyDescent="0.3">
      <c r="A389" s="30">
        <v>4</v>
      </c>
      <c r="B389">
        <v>1</v>
      </c>
      <c r="C389">
        <v>1</v>
      </c>
      <c r="D389">
        <v>4</v>
      </c>
      <c r="E389">
        <v>3.8</v>
      </c>
      <c r="G389">
        <f t="shared" si="128"/>
        <v>3.8379999999999996</v>
      </c>
      <c r="H389">
        <f t="shared" si="129"/>
        <v>3.8759999999999999</v>
      </c>
      <c r="I389">
        <f t="shared" si="130"/>
        <v>3.9139999999999997</v>
      </c>
      <c r="J389">
        <f t="shared" si="131"/>
        <v>3.952</v>
      </c>
      <c r="K389" s="33">
        <f t="shared" si="127"/>
        <v>3.9899999999999998</v>
      </c>
    </row>
    <row r="390" spans="1:11" x14ac:dyDescent="0.3">
      <c r="A390" s="30">
        <v>4</v>
      </c>
      <c r="B390">
        <v>1</v>
      </c>
      <c r="C390">
        <v>1</v>
      </c>
      <c r="D390">
        <v>5</v>
      </c>
      <c r="E390">
        <v>2.4</v>
      </c>
      <c r="G390">
        <f t="shared" si="128"/>
        <v>2.4239999999999999</v>
      </c>
      <c r="H390">
        <f t="shared" si="129"/>
        <v>2.448</v>
      </c>
      <c r="I390">
        <f t="shared" si="130"/>
        <v>2.472</v>
      </c>
      <c r="J390">
        <f t="shared" si="131"/>
        <v>2.496</v>
      </c>
      <c r="K390" s="33">
        <f t="shared" si="127"/>
        <v>2.52</v>
      </c>
    </row>
    <row r="391" spans="1:11" x14ac:dyDescent="0.3">
      <c r="A391" s="30">
        <v>4</v>
      </c>
      <c r="B391">
        <v>1</v>
      </c>
      <c r="C391">
        <v>1</v>
      </c>
      <c r="D391">
        <v>6</v>
      </c>
      <c r="E391">
        <v>6.4</v>
      </c>
      <c r="G391">
        <f t="shared" si="128"/>
        <v>6.4640000000000004</v>
      </c>
      <c r="H391">
        <f t="shared" si="129"/>
        <v>6.5280000000000005</v>
      </c>
      <c r="I391">
        <f t="shared" si="130"/>
        <v>6.5920000000000005</v>
      </c>
      <c r="J391">
        <f t="shared" si="131"/>
        <v>6.6560000000000006</v>
      </c>
      <c r="K391" s="33">
        <f t="shared" si="127"/>
        <v>6.7200000000000006</v>
      </c>
    </row>
    <row r="392" spans="1:11" x14ac:dyDescent="0.3">
      <c r="A392" s="30">
        <v>4</v>
      </c>
      <c r="B392">
        <v>1</v>
      </c>
      <c r="C392">
        <v>2</v>
      </c>
      <c r="D392">
        <v>1</v>
      </c>
      <c r="E392">
        <v>5.6</v>
      </c>
      <c r="G392">
        <f t="shared" si="128"/>
        <v>5.6559999999999997</v>
      </c>
      <c r="H392">
        <f t="shared" si="129"/>
        <v>5.7119999999999997</v>
      </c>
      <c r="I392">
        <f t="shared" si="130"/>
        <v>5.7679999999999998</v>
      </c>
      <c r="J392">
        <f t="shared" si="131"/>
        <v>5.8239999999999998</v>
      </c>
      <c r="K392" s="33">
        <f t="shared" si="127"/>
        <v>5.88</v>
      </c>
    </row>
    <row r="393" spans="1:11" x14ac:dyDescent="0.3">
      <c r="A393" s="30">
        <v>4</v>
      </c>
      <c r="B393">
        <v>1</v>
      </c>
      <c r="C393">
        <v>2</v>
      </c>
      <c r="D393">
        <v>2</v>
      </c>
      <c r="E393">
        <v>2.8</v>
      </c>
      <c r="G393">
        <f t="shared" si="128"/>
        <v>2.8279999999999998</v>
      </c>
      <c r="H393">
        <f t="shared" si="129"/>
        <v>2.8559999999999999</v>
      </c>
      <c r="I393">
        <f t="shared" si="130"/>
        <v>2.8839999999999999</v>
      </c>
      <c r="J393">
        <f t="shared" si="131"/>
        <v>2.9119999999999999</v>
      </c>
      <c r="K393" s="33">
        <f t="shared" si="127"/>
        <v>2.94</v>
      </c>
    </row>
    <row r="394" spans="1:11" x14ac:dyDescent="0.3">
      <c r="A394" s="30">
        <v>4</v>
      </c>
      <c r="B394">
        <v>1</v>
      </c>
      <c r="C394">
        <v>2</v>
      </c>
      <c r="D394">
        <v>3</v>
      </c>
      <c r="E394">
        <v>4.5999999999999996</v>
      </c>
      <c r="G394">
        <f t="shared" si="128"/>
        <v>4.6459999999999999</v>
      </c>
      <c r="H394">
        <f t="shared" si="129"/>
        <v>4.6919999999999993</v>
      </c>
      <c r="I394">
        <f t="shared" si="130"/>
        <v>4.7379999999999995</v>
      </c>
      <c r="J394">
        <f t="shared" si="131"/>
        <v>4.7839999999999998</v>
      </c>
      <c r="K394" s="33">
        <f t="shared" si="127"/>
        <v>4.83</v>
      </c>
    </row>
    <row r="395" spans="1:11" x14ac:dyDescent="0.3">
      <c r="A395" s="30">
        <v>4</v>
      </c>
      <c r="B395">
        <v>1</v>
      </c>
      <c r="C395">
        <v>2</v>
      </c>
      <c r="D395">
        <v>4</v>
      </c>
      <c r="E395">
        <v>3.7</v>
      </c>
      <c r="G395">
        <f t="shared" si="128"/>
        <v>3.7370000000000001</v>
      </c>
      <c r="H395">
        <f t="shared" si="129"/>
        <v>3.774</v>
      </c>
      <c r="I395">
        <f t="shared" si="130"/>
        <v>3.8110000000000004</v>
      </c>
      <c r="J395">
        <f t="shared" si="131"/>
        <v>3.8480000000000003</v>
      </c>
      <c r="K395" s="33">
        <f t="shared" si="127"/>
        <v>3.8850000000000002</v>
      </c>
    </row>
    <row r="396" spans="1:11" x14ac:dyDescent="0.3">
      <c r="A396" s="30">
        <v>4</v>
      </c>
      <c r="B396">
        <v>1</v>
      </c>
      <c r="C396">
        <v>2</v>
      </c>
      <c r="D396">
        <v>5</v>
      </c>
      <c r="E396">
        <v>3.8</v>
      </c>
      <c r="G396">
        <f t="shared" si="128"/>
        <v>3.8379999999999996</v>
      </c>
      <c r="H396">
        <f t="shared" si="129"/>
        <v>3.8759999999999999</v>
      </c>
      <c r="I396">
        <f t="shared" si="130"/>
        <v>3.9139999999999997</v>
      </c>
      <c r="J396">
        <f t="shared" si="131"/>
        <v>3.952</v>
      </c>
      <c r="K396" s="33">
        <f t="shared" si="127"/>
        <v>3.9899999999999998</v>
      </c>
    </row>
    <row r="397" spans="1:11" x14ac:dyDescent="0.3">
      <c r="A397" s="30">
        <v>4</v>
      </c>
      <c r="B397">
        <v>1</v>
      </c>
      <c r="C397">
        <v>2</v>
      </c>
      <c r="D397">
        <v>6</v>
      </c>
      <c r="E397">
        <v>7.3</v>
      </c>
      <c r="G397">
        <f t="shared" si="128"/>
        <v>7.3730000000000002</v>
      </c>
      <c r="H397">
        <f t="shared" si="129"/>
        <v>7.4459999999999997</v>
      </c>
      <c r="I397">
        <f t="shared" si="130"/>
        <v>7.5190000000000001</v>
      </c>
      <c r="J397">
        <f t="shared" si="131"/>
        <v>7.5919999999999996</v>
      </c>
      <c r="K397" s="33">
        <f t="shared" si="127"/>
        <v>7.665</v>
      </c>
    </row>
    <row r="398" spans="1:11" x14ac:dyDescent="0.3">
      <c r="A398" s="30">
        <v>4</v>
      </c>
      <c r="B398">
        <v>1</v>
      </c>
      <c r="C398">
        <v>3</v>
      </c>
      <c r="D398">
        <v>1</v>
      </c>
      <c r="E398">
        <v>6.2</v>
      </c>
      <c r="G398">
        <f>E398+(E398*1%)</f>
        <v>6.2620000000000005</v>
      </c>
      <c r="H398">
        <f t="shared" si="129"/>
        <v>6.3239999999999998</v>
      </c>
      <c r="I398">
        <f t="shared" si="130"/>
        <v>6.3860000000000001</v>
      </c>
      <c r="J398">
        <f t="shared" si="131"/>
        <v>6.4480000000000004</v>
      </c>
      <c r="K398" s="33">
        <f t="shared" si="127"/>
        <v>6.51</v>
      </c>
    </row>
    <row r="399" spans="1:11" x14ac:dyDescent="0.3">
      <c r="A399" s="30">
        <v>4</v>
      </c>
      <c r="B399">
        <v>1</v>
      </c>
      <c r="C399">
        <v>3</v>
      </c>
      <c r="D399">
        <v>2</v>
      </c>
      <c r="E399">
        <v>8.5</v>
      </c>
      <c r="G399">
        <f t="shared" si="128"/>
        <v>8.5850000000000009</v>
      </c>
      <c r="H399">
        <f t="shared" si="129"/>
        <v>8.67</v>
      </c>
      <c r="I399">
        <f t="shared" si="130"/>
        <v>8.7550000000000008</v>
      </c>
      <c r="J399">
        <f t="shared" si="131"/>
        <v>8.84</v>
      </c>
      <c r="K399" s="33">
        <f t="shared" si="127"/>
        <v>8.9250000000000007</v>
      </c>
    </row>
    <row r="400" spans="1:11" x14ac:dyDescent="0.3">
      <c r="A400" s="30">
        <v>4</v>
      </c>
      <c r="B400">
        <v>1</v>
      </c>
      <c r="C400">
        <v>3</v>
      </c>
      <c r="D400">
        <v>3</v>
      </c>
      <c r="E400">
        <v>8.1999999999999993</v>
      </c>
      <c r="G400">
        <f t="shared" si="128"/>
        <v>8.282</v>
      </c>
      <c r="H400">
        <f t="shared" si="129"/>
        <v>8.363999999999999</v>
      </c>
      <c r="I400">
        <f t="shared" si="130"/>
        <v>8.4459999999999997</v>
      </c>
      <c r="J400">
        <f t="shared" si="131"/>
        <v>8.5279999999999987</v>
      </c>
      <c r="K400" s="33">
        <f t="shared" si="127"/>
        <v>8.61</v>
      </c>
    </row>
    <row r="401" spans="1:11" x14ac:dyDescent="0.3">
      <c r="A401" s="30">
        <v>4</v>
      </c>
      <c r="B401">
        <v>1</v>
      </c>
      <c r="C401">
        <v>3</v>
      </c>
      <c r="D401">
        <v>4</v>
      </c>
      <c r="E401">
        <v>7.9</v>
      </c>
      <c r="G401">
        <f t="shared" si="128"/>
        <v>7.9790000000000001</v>
      </c>
      <c r="H401">
        <f t="shared" si="129"/>
        <v>8.0579999999999998</v>
      </c>
      <c r="I401">
        <f t="shared" si="130"/>
        <v>8.1370000000000005</v>
      </c>
      <c r="J401">
        <f t="shared" si="131"/>
        <v>8.2160000000000011</v>
      </c>
      <c r="K401" s="33">
        <f t="shared" si="127"/>
        <v>8.2949999999999999</v>
      </c>
    </row>
    <row r="402" spans="1:11" x14ac:dyDescent="0.3">
      <c r="A402" s="30">
        <v>4</v>
      </c>
      <c r="B402">
        <v>1</v>
      </c>
      <c r="C402">
        <v>3</v>
      </c>
      <c r="D402">
        <v>5</v>
      </c>
      <c r="E402">
        <v>2.9</v>
      </c>
      <c r="G402">
        <f t="shared" si="128"/>
        <v>2.9289999999999998</v>
      </c>
      <c r="H402">
        <f t="shared" si="129"/>
        <v>2.9579999999999997</v>
      </c>
      <c r="I402">
        <f t="shared" si="130"/>
        <v>2.9870000000000001</v>
      </c>
      <c r="J402">
        <f t="shared" si="131"/>
        <v>3.016</v>
      </c>
      <c r="K402" s="33">
        <f t="shared" si="127"/>
        <v>3.0449999999999999</v>
      </c>
    </row>
    <row r="403" spans="1:11" x14ac:dyDescent="0.3">
      <c r="A403" s="30">
        <v>4</v>
      </c>
      <c r="B403">
        <v>1</v>
      </c>
      <c r="C403">
        <v>3</v>
      </c>
      <c r="D403">
        <v>6</v>
      </c>
      <c r="E403">
        <v>5.8</v>
      </c>
      <c r="G403">
        <f t="shared" si="128"/>
        <v>5.8579999999999997</v>
      </c>
      <c r="H403">
        <f t="shared" si="129"/>
        <v>5.9159999999999995</v>
      </c>
      <c r="I403">
        <f t="shared" si="130"/>
        <v>5.9740000000000002</v>
      </c>
      <c r="J403">
        <f t="shared" si="131"/>
        <v>6.032</v>
      </c>
      <c r="K403" s="33">
        <f t="shared" si="127"/>
        <v>6.09</v>
      </c>
    </row>
    <row r="404" spans="1:11" x14ac:dyDescent="0.3">
      <c r="A404" s="30">
        <v>4</v>
      </c>
      <c r="B404">
        <v>2</v>
      </c>
      <c r="C404">
        <v>1</v>
      </c>
      <c r="D404">
        <v>1</v>
      </c>
      <c r="E404">
        <v>4.5999999999999996</v>
      </c>
      <c r="G404">
        <f t="shared" si="128"/>
        <v>4.6459999999999999</v>
      </c>
      <c r="H404">
        <f t="shared" si="129"/>
        <v>4.6919999999999993</v>
      </c>
      <c r="I404">
        <f t="shared" si="130"/>
        <v>4.7379999999999995</v>
      </c>
      <c r="J404">
        <f t="shared" si="131"/>
        <v>4.7839999999999998</v>
      </c>
      <c r="K404" s="33">
        <f t="shared" si="127"/>
        <v>4.83</v>
      </c>
    </row>
    <row r="405" spans="1:11" x14ac:dyDescent="0.3">
      <c r="A405" s="30">
        <v>4</v>
      </c>
      <c r="B405">
        <v>2</v>
      </c>
      <c r="C405">
        <v>1</v>
      </c>
      <c r="D405">
        <v>2</v>
      </c>
      <c r="E405">
        <v>7.5</v>
      </c>
      <c r="G405">
        <f t="shared" si="128"/>
        <v>7.5750000000000002</v>
      </c>
      <c r="H405">
        <f t="shared" si="129"/>
        <v>7.65</v>
      </c>
      <c r="I405">
        <f t="shared" si="130"/>
        <v>7.7249999999999996</v>
      </c>
      <c r="J405">
        <f t="shared" si="131"/>
        <v>7.8</v>
      </c>
      <c r="K405" s="33">
        <f t="shared" si="127"/>
        <v>7.875</v>
      </c>
    </row>
    <row r="406" spans="1:11" x14ac:dyDescent="0.3">
      <c r="A406" s="30">
        <v>4</v>
      </c>
      <c r="B406">
        <v>2</v>
      </c>
      <c r="C406">
        <v>1</v>
      </c>
      <c r="D406">
        <v>3</v>
      </c>
      <c r="E406">
        <v>7.8</v>
      </c>
      <c r="G406">
        <f t="shared" si="128"/>
        <v>7.8780000000000001</v>
      </c>
      <c r="H406">
        <f t="shared" si="129"/>
        <v>7.9559999999999995</v>
      </c>
      <c r="I406">
        <f t="shared" si="130"/>
        <v>8.0339999999999989</v>
      </c>
      <c r="J406">
        <f t="shared" si="131"/>
        <v>8.1120000000000001</v>
      </c>
      <c r="K406" s="33">
        <f t="shared" si="127"/>
        <v>8.19</v>
      </c>
    </row>
    <row r="407" spans="1:11" x14ac:dyDescent="0.3">
      <c r="A407" s="30">
        <v>4</v>
      </c>
      <c r="B407">
        <v>2</v>
      </c>
      <c r="C407">
        <v>1</v>
      </c>
      <c r="D407">
        <v>4</v>
      </c>
      <c r="E407">
        <v>5.7</v>
      </c>
      <c r="G407">
        <f t="shared" si="128"/>
        <v>5.7570000000000006</v>
      </c>
      <c r="H407">
        <f t="shared" si="129"/>
        <v>5.8140000000000001</v>
      </c>
      <c r="I407">
        <f t="shared" si="130"/>
        <v>5.8710000000000004</v>
      </c>
      <c r="J407">
        <f t="shared" si="131"/>
        <v>5.9279999999999999</v>
      </c>
      <c r="K407" s="33">
        <f t="shared" si="127"/>
        <v>5.9850000000000003</v>
      </c>
    </row>
    <row r="408" spans="1:11" x14ac:dyDescent="0.3">
      <c r="A408" s="30">
        <v>4</v>
      </c>
      <c r="B408">
        <v>2</v>
      </c>
      <c r="C408">
        <v>1</v>
      </c>
      <c r="D408">
        <v>5</v>
      </c>
      <c r="E408">
        <v>8.5</v>
      </c>
      <c r="G408">
        <f t="shared" si="128"/>
        <v>8.5850000000000009</v>
      </c>
      <c r="H408">
        <f t="shared" si="129"/>
        <v>8.67</v>
      </c>
      <c r="I408">
        <f t="shared" si="130"/>
        <v>8.7550000000000008</v>
      </c>
      <c r="J408">
        <f t="shared" si="131"/>
        <v>8.84</v>
      </c>
      <c r="K408" s="33">
        <f t="shared" si="127"/>
        <v>8.9250000000000007</v>
      </c>
    </row>
    <row r="409" spans="1:11" x14ac:dyDescent="0.3">
      <c r="A409" s="30">
        <v>4</v>
      </c>
      <c r="B409">
        <v>2</v>
      </c>
      <c r="C409">
        <v>1</v>
      </c>
      <c r="D409">
        <v>6</v>
      </c>
      <c r="E409">
        <v>7.8</v>
      </c>
      <c r="G409">
        <f t="shared" si="128"/>
        <v>7.8780000000000001</v>
      </c>
      <c r="H409">
        <f t="shared" si="129"/>
        <v>7.9559999999999995</v>
      </c>
      <c r="I409">
        <f t="shared" si="130"/>
        <v>8.0339999999999989</v>
      </c>
      <c r="J409">
        <f t="shared" si="131"/>
        <v>8.1120000000000001</v>
      </c>
      <c r="K409" s="33">
        <f t="shared" si="127"/>
        <v>8.19</v>
      </c>
    </row>
    <row r="410" spans="1:11" x14ac:dyDescent="0.3">
      <c r="A410" s="30">
        <v>4</v>
      </c>
      <c r="B410">
        <v>2</v>
      </c>
      <c r="C410">
        <v>2</v>
      </c>
      <c r="D410">
        <v>1</v>
      </c>
      <c r="E410">
        <v>2.9</v>
      </c>
      <c r="G410">
        <f t="shared" si="128"/>
        <v>2.9289999999999998</v>
      </c>
      <c r="H410">
        <f t="shared" si="129"/>
        <v>2.9579999999999997</v>
      </c>
      <c r="I410">
        <f t="shared" si="130"/>
        <v>2.9870000000000001</v>
      </c>
      <c r="J410">
        <f t="shared" si="131"/>
        <v>3.016</v>
      </c>
      <c r="K410" s="33">
        <f t="shared" si="127"/>
        <v>3.0449999999999999</v>
      </c>
    </row>
    <row r="411" spans="1:11" x14ac:dyDescent="0.3">
      <c r="A411" s="30">
        <v>4</v>
      </c>
      <c r="B411">
        <v>2</v>
      </c>
      <c r="C411">
        <v>2</v>
      </c>
      <c r="D411">
        <v>2</v>
      </c>
      <c r="E411">
        <v>6.3</v>
      </c>
      <c r="G411">
        <f t="shared" si="128"/>
        <v>6.3629999999999995</v>
      </c>
      <c r="H411">
        <f t="shared" si="129"/>
        <v>6.4260000000000002</v>
      </c>
      <c r="I411">
        <f t="shared" si="130"/>
        <v>6.4889999999999999</v>
      </c>
      <c r="J411">
        <f t="shared" si="131"/>
        <v>6.5519999999999996</v>
      </c>
      <c r="K411" s="33">
        <f t="shared" si="127"/>
        <v>6.6150000000000002</v>
      </c>
    </row>
    <row r="412" spans="1:11" x14ac:dyDescent="0.3">
      <c r="A412" s="30">
        <v>4</v>
      </c>
      <c r="B412">
        <v>2</v>
      </c>
      <c r="C412">
        <v>2</v>
      </c>
      <c r="D412">
        <v>3</v>
      </c>
      <c r="E412">
        <v>6.8</v>
      </c>
      <c r="G412">
        <f t="shared" si="128"/>
        <v>6.8679999999999994</v>
      </c>
      <c r="H412">
        <f t="shared" si="129"/>
        <v>6.9359999999999999</v>
      </c>
      <c r="I412">
        <f t="shared" si="130"/>
        <v>7.0039999999999996</v>
      </c>
      <c r="J412">
        <f t="shared" si="131"/>
        <v>7.0720000000000001</v>
      </c>
      <c r="K412" s="33">
        <f t="shared" si="127"/>
        <v>7.14</v>
      </c>
    </row>
    <row r="413" spans="1:11" x14ac:dyDescent="0.3">
      <c r="A413" s="30">
        <v>4</v>
      </c>
      <c r="B413">
        <v>2</v>
      </c>
      <c r="C413">
        <v>2</v>
      </c>
      <c r="D413">
        <v>4</v>
      </c>
      <c r="E413">
        <v>3.6</v>
      </c>
      <c r="G413">
        <f t="shared" si="128"/>
        <v>3.6360000000000001</v>
      </c>
      <c r="H413">
        <f t="shared" si="129"/>
        <v>3.6720000000000002</v>
      </c>
      <c r="I413">
        <f t="shared" si="130"/>
        <v>3.7080000000000002</v>
      </c>
      <c r="J413">
        <f t="shared" si="131"/>
        <v>3.7440000000000002</v>
      </c>
      <c r="K413" s="33">
        <f t="shared" si="127"/>
        <v>3.7800000000000002</v>
      </c>
    </row>
    <row r="414" spans="1:11" x14ac:dyDescent="0.3">
      <c r="A414" s="30">
        <v>4</v>
      </c>
      <c r="B414">
        <v>2</v>
      </c>
      <c r="C414">
        <v>2</v>
      </c>
      <c r="D414">
        <v>5</v>
      </c>
      <c r="E414">
        <v>4.5999999999999996</v>
      </c>
      <c r="G414">
        <f t="shared" si="128"/>
        <v>4.6459999999999999</v>
      </c>
      <c r="H414">
        <f t="shared" si="129"/>
        <v>4.6919999999999993</v>
      </c>
      <c r="I414">
        <f t="shared" si="130"/>
        <v>4.7379999999999995</v>
      </c>
      <c r="J414">
        <f t="shared" si="131"/>
        <v>4.7839999999999998</v>
      </c>
      <c r="K414" s="33">
        <f t="shared" si="127"/>
        <v>4.83</v>
      </c>
    </row>
    <row r="415" spans="1:11" x14ac:dyDescent="0.3">
      <c r="A415" s="30">
        <v>4</v>
      </c>
      <c r="B415">
        <v>2</v>
      </c>
      <c r="C415">
        <v>2</v>
      </c>
      <c r="D415">
        <v>6</v>
      </c>
      <c r="E415">
        <v>4.8</v>
      </c>
      <c r="G415">
        <f t="shared" si="128"/>
        <v>4.8479999999999999</v>
      </c>
      <c r="H415">
        <f t="shared" si="129"/>
        <v>4.8959999999999999</v>
      </c>
      <c r="I415">
        <f t="shared" si="130"/>
        <v>4.944</v>
      </c>
      <c r="J415">
        <f t="shared" si="131"/>
        <v>4.992</v>
      </c>
      <c r="K415" s="33">
        <f t="shared" si="127"/>
        <v>5.04</v>
      </c>
    </row>
    <row r="416" spans="1:11" x14ac:dyDescent="0.3">
      <c r="A416" s="30">
        <v>4</v>
      </c>
      <c r="B416">
        <v>2</v>
      </c>
      <c r="C416">
        <v>3</v>
      </c>
      <c r="D416">
        <v>1</v>
      </c>
      <c r="E416">
        <v>7.4</v>
      </c>
      <c r="G416">
        <f>E416+(E416*1%)</f>
        <v>7.4740000000000002</v>
      </c>
      <c r="H416">
        <f t="shared" si="129"/>
        <v>7.548</v>
      </c>
      <c r="I416">
        <f t="shared" si="130"/>
        <v>7.6220000000000008</v>
      </c>
      <c r="J416">
        <f t="shared" si="131"/>
        <v>7.6960000000000006</v>
      </c>
      <c r="K416" s="33">
        <f t="shared" si="127"/>
        <v>7.7700000000000005</v>
      </c>
    </row>
    <row r="417" spans="1:11" x14ac:dyDescent="0.3">
      <c r="A417" s="30">
        <v>4</v>
      </c>
      <c r="B417">
        <v>2</v>
      </c>
      <c r="C417">
        <v>3</v>
      </c>
      <c r="D417">
        <v>2</v>
      </c>
      <c r="E417">
        <v>6.7</v>
      </c>
      <c r="G417">
        <f t="shared" si="128"/>
        <v>6.7670000000000003</v>
      </c>
      <c r="H417">
        <f t="shared" si="129"/>
        <v>6.8340000000000005</v>
      </c>
      <c r="I417">
        <f t="shared" si="130"/>
        <v>6.9009999999999998</v>
      </c>
      <c r="J417">
        <f t="shared" si="131"/>
        <v>6.968</v>
      </c>
      <c r="K417" s="33">
        <f t="shared" ref="K417:K439" si="132">E417+(E417*5%)</f>
        <v>7.0350000000000001</v>
      </c>
    </row>
    <row r="418" spans="1:11" x14ac:dyDescent="0.3">
      <c r="A418" s="30">
        <v>4</v>
      </c>
      <c r="B418">
        <v>2</v>
      </c>
      <c r="C418">
        <v>3</v>
      </c>
      <c r="D418">
        <v>3</v>
      </c>
      <c r="E418">
        <v>4.5999999999999996</v>
      </c>
      <c r="G418">
        <f t="shared" si="128"/>
        <v>4.6459999999999999</v>
      </c>
      <c r="H418">
        <f t="shared" si="129"/>
        <v>4.6919999999999993</v>
      </c>
      <c r="I418">
        <f t="shared" si="130"/>
        <v>4.7379999999999995</v>
      </c>
      <c r="J418">
        <f t="shared" si="131"/>
        <v>4.7839999999999998</v>
      </c>
      <c r="K418" s="33">
        <f t="shared" si="132"/>
        <v>4.83</v>
      </c>
    </row>
    <row r="419" spans="1:11" x14ac:dyDescent="0.3">
      <c r="A419" s="30">
        <v>4</v>
      </c>
      <c r="B419">
        <v>2</v>
      </c>
      <c r="C419">
        <v>3</v>
      </c>
      <c r="D419">
        <v>4</v>
      </c>
      <c r="E419">
        <v>6.7</v>
      </c>
      <c r="G419">
        <f t="shared" si="128"/>
        <v>6.7670000000000003</v>
      </c>
      <c r="H419">
        <f t="shared" si="129"/>
        <v>6.8340000000000005</v>
      </c>
      <c r="I419">
        <f t="shared" si="130"/>
        <v>6.9009999999999998</v>
      </c>
      <c r="J419">
        <f t="shared" si="131"/>
        <v>6.968</v>
      </c>
      <c r="K419" s="33">
        <f t="shared" si="132"/>
        <v>7.0350000000000001</v>
      </c>
    </row>
    <row r="420" spans="1:11" x14ac:dyDescent="0.3">
      <c r="A420" s="30">
        <v>4</v>
      </c>
      <c r="B420">
        <v>2</v>
      </c>
      <c r="C420">
        <v>3</v>
      </c>
      <c r="D420">
        <v>5</v>
      </c>
      <c r="E420">
        <v>8.9</v>
      </c>
      <c r="G420">
        <f t="shared" si="128"/>
        <v>8.9890000000000008</v>
      </c>
      <c r="H420">
        <f t="shared" si="129"/>
        <v>9.0780000000000012</v>
      </c>
      <c r="I420">
        <f t="shared" si="130"/>
        <v>9.1669999999999998</v>
      </c>
      <c r="J420">
        <f t="shared" si="131"/>
        <v>9.2560000000000002</v>
      </c>
      <c r="K420" s="33">
        <f t="shared" si="132"/>
        <v>9.3450000000000006</v>
      </c>
    </row>
    <row r="421" spans="1:11" x14ac:dyDescent="0.3">
      <c r="A421" s="30">
        <v>4</v>
      </c>
      <c r="B421">
        <v>2</v>
      </c>
      <c r="C421">
        <v>3</v>
      </c>
      <c r="D421">
        <v>6</v>
      </c>
      <c r="E421">
        <v>5.8</v>
      </c>
      <c r="G421">
        <f t="shared" si="128"/>
        <v>5.8579999999999997</v>
      </c>
      <c r="H421">
        <f t="shared" si="129"/>
        <v>5.9159999999999995</v>
      </c>
      <c r="I421">
        <f t="shared" si="130"/>
        <v>5.9740000000000002</v>
      </c>
      <c r="J421">
        <f t="shared" si="131"/>
        <v>6.032</v>
      </c>
      <c r="K421" s="33">
        <f t="shared" si="132"/>
        <v>6.09</v>
      </c>
    </row>
    <row r="422" spans="1:11" x14ac:dyDescent="0.3">
      <c r="A422" s="30">
        <v>4</v>
      </c>
      <c r="B422">
        <v>3</v>
      </c>
      <c r="C422">
        <v>1</v>
      </c>
      <c r="D422">
        <v>1</v>
      </c>
      <c r="E422">
        <v>5.7</v>
      </c>
      <c r="G422">
        <f t="shared" si="128"/>
        <v>5.7570000000000006</v>
      </c>
      <c r="H422">
        <f t="shared" si="129"/>
        <v>5.8140000000000001</v>
      </c>
      <c r="I422">
        <f t="shared" si="130"/>
        <v>5.8710000000000004</v>
      </c>
      <c r="J422">
        <f t="shared" si="131"/>
        <v>5.9279999999999999</v>
      </c>
      <c r="K422" s="33">
        <f t="shared" si="132"/>
        <v>5.9850000000000003</v>
      </c>
    </row>
    <row r="423" spans="1:11" x14ac:dyDescent="0.3">
      <c r="A423" s="30">
        <v>4</v>
      </c>
      <c r="B423">
        <v>3</v>
      </c>
      <c r="C423">
        <v>1</v>
      </c>
      <c r="D423">
        <v>2</v>
      </c>
      <c r="E423">
        <v>8.6</v>
      </c>
      <c r="G423">
        <f t="shared" si="128"/>
        <v>8.6859999999999999</v>
      </c>
      <c r="H423">
        <f t="shared" si="129"/>
        <v>8.7720000000000002</v>
      </c>
      <c r="I423">
        <f t="shared" si="130"/>
        <v>8.8580000000000005</v>
      </c>
      <c r="J423">
        <f t="shared" si="131"/>
        <v>8.9439999999999991</v>
      </c>
      <c r="K423" s="33">
        <f t="shared" si="132"/>
        <v>9.0299999999999994</v>
      </c>
    </row>
    <row r="424" spans="1:11" x14ac:dyDescent="0.3">
      <c r="A424" s="30">
        <v>4</v>
      </c>
      <c r="B424">
        <v>3</v>
      </c>
      <c r="C424">
        <v>1</v>
      </c>
      <c r="D424">
        <v>3</v>
      </c>
      <c r="E424">
        <v>8.6</v>
      </c>
      <c r="G424">
        <f t="shared" si="128"/>
        <v>8.6859999999999999</v>
      </c>
      <c r="H424">
        <f t="shared" si="129"/>
        <v>8.7720000000000002</v>
      </c>
      <c r="I424">
        <f t="shared" si="130"/>
        <v>8.8580000000000005</v>
      </c>
      <c r="J424">
        <f t="shared" si="131"/>
        <v>8.9439999999999991</v>
      </c>
      <c r="K424" s="33">
        <f t="shared" si="132"/>
        <v>9.0299999999999994</v>
      </c>
    </row>
    <row r="425" spans="1:11" x14ac:dyDescent="0.3">
      <c r="A425" s="30">
        <v>4</v>
      </c>
      <c r="B425">
        <v>3</v>
      </c>
      <c r="C425">
        <v>1</v>
      </c>
      <c r="D425">
        <v>4</v>
      </c>
      <c r="E425">
        <v>8.4</v>
      </c>
      <c r="G425">
        <f t="shared" si="128"/>
        <v>8.484</v>
      </c>
      <c r="H425">
        <f t="shared" si="129"/>
        <v>8.5679999999999996</v>
      </c>
      <c r="I425">
        <f t="shared" si="130"/>
        <v>8.652000000000001</v>
      </c>
      <c r="J425">
        <f t="shared" si="131"/>
        <v>8.7360000000000007</v>
      </c>
      <c r="K425" s="33">
        <f t="shared" si="132"/>
        <v>8.82</v>
      </c>
    </row>
    <row r="426" spans="1:11" x14ac:dyDescent="0.3">
      <c r="A426" s="30">
        <v>4</v>
      </c>
      <c r="B426">
        <v>3</v>
      </c>
      <c r="C426">
        <v>1</v>
      </c>
      <c r="D426">
        <v>5</v>
      </c>
      <c r="E426">
        <v>7.2</v>
      </c>
      <c r="G426">
        <f t="shared" si="128"/>
        <v>7.2720000000000002</v>
      </c>
      <c r="H426">
        <f t="shared" si="129"/>
        <v>7.3440000000000003</v>
      </c>
      <c r="I426">
        <f t="shared" si="130"/>
        <v>7.4160000000000004</v>
      </c>
      <c r="J426">
        <f t="shared" si="131"/>
        <v>7.4880000000000004</v>
      </c>
      <c r="K426" s="33">
        <f t="shared" si="132"/>
        <v>7.5600000000000005</v>
      </c>
    </row>
    <row r="427" spans="1:11" x14ac:dyDescent="0.3">
      <c r="A427" s="30">
        <v>4</v>
      </c>
      <c r="B427">
        <v>3</v>
      </c>
      <c r="C427">
        <v>1</v>
      </c>
      <c r="D427">
        <v>6</v>
      </c>
      <c r="E427">
        <v>7.5</v>
      </c>
      <c r="G427">
        <f t="shared" si="128"/>
        <v>7.5750000000000002</v>
      </c>
      <c r="H427">
        <f t="shared" si="129"/>
        <v>7.65</v>
      </c>
      <c r="I427">
        <f t="shared" si="130"/>
        <v>7.7249999999999996</v>
      </c>
      <c r="J427">
        <f t="shared" si="131"/>
        <v>7.8</v>
      </c>
      <c r="K427" s="33">
        <f t="shared" si="132"/>
        <v>7.875</v>
      </c>
    </row>
    <row r="428" spans="1:11" x14ac:dyDescent="0.3">
      <c r="A428" s="30">
        <v>4</v>
      </c>
      <c r="B428">
        <v>3</v>
      </c>
      <c r="C428">
        <v>2</v>
      </c>
      <c r="D428">
        <v>1</v>
      </c>
      <c r="E428">
        <v>4.7</v>
      </c>
      <c r="G428">
        <f>E428+(E428*1%)</f>
        <v>4.7469999999999999</v>
      </c>
      <c r="H428">
        <f t="shared" si="129"/>
        <v>4.7940000000000005</v>
      </c>
      <c r="I428">
        <f t="shared" si="130"/>
        <v>4.8410000000000002</v>
      </c>
      <c r="J428">
        <f t="shared" si="131"/>
        <v>4.8879999999999999</v>
      </c>
      <c r="K428" s="33">
        <f>E428+(E428*5%)</f>
        <v>4.9350000000000005</v>
      </c>
    </row>
    <row r="429" spans="1:11" x14ac:dyDescent="0.3">
      <c r="A429" s="30">
        <v>4</v>
      </c>
      <c r="B429">
        <v>3</v>
      </c>
      <c r="C429">
        <v>2</v>
      </c>
      <c r="D429">
        <v>2</v>
      </c>
      <c r="E429">
        <v>8.5</v>
      </c>
      <c r="G429">
        <f t="shared" ref="G429:G439" si="133">E429+(E429*1%)</f>
        <v>8.5850000000000009</v>
      </c>
      <c r="H429">
        <f t="shared" ref="H429:H439" si="134">E429+(E429*2%)</f>
        <v>8.67</v>
      </c>
      <c r="I429">
        <f t="shared" ref="I429:I439" si="135">E429+(E429*3%)</f>
        <v>8.7550000000000008</v>
      </c>
      <c r="J429">
        <f t="shared" si="131"/>
        <v>8.84</v>
      </c>
      <c r="K429" s="33">
        <f t="shared" si="132"/>
        <v>8.9250000000000007</v>
      </c>
    </row>
    <row r="430" spans="1:11" x14ac:dyDescent="0.3">
      <c r="A430" s="30">
        <v>4</v>
      </c>
      <c r="B430">
        <v>3</v>
      </c>
      <c r="C430">
        <v>2</v>
      </c>
      <c r="D430">
        <v>3</v>
      </c>
      <c r="E430">
        <v>8.5</v>
      </c>
      <c r="G430">
        <f t="shared" si="133"/>
        <v>8.5850000000000009</v>
      </c>
      <c r="H430">
        <f t="shared" si="134"/>
        <v>8.67</v>
      </c>
      <c r="I430">
        <f t="shared" si="135"/>
        <v>8.7550000000000008</v>
      </c>
      <c r="J430">
        <f t="shared" si="131"/>
        <v>8.84</v>
      </c>
      <c r="K430" s="33">
        <f t="shared" si="132"/>
        <v>8.9250000000000007</v>
      </c>
    </row>
    <row r="431" spans="1:11" x14ac:dyDescent="0.3">
      <c r="A431" s="30">
        <v>4</v>
      </c>
      <c r="B431">
        <v>3</v>
      </c>
      <c r="C431">
        <v>2</v>
      </c>
      <c r="D431">
        <v>4</v>
      </c>
      <c r="E431">
        <v>7.9</v>
      </c>
      <c r="G431">
        <f t="shared" si="133"/>
        <v>7.9790000000000001</v>
      </c>
      <c r="H431">
        <f t="shared" si="134"/>
        <v>8.0579999999999998</v>
      </c>
      <c r="I431">
        <f t="shared" si="135"/>
        <v>8.1370000000000005</v>
      </c>
      <c r="J431">
        <f t="shared" si="131"/>
        <v>8.2160000000000011</v>
      </c>
      <c r="K431" s="33">
        <f t="shared" si="132"/>
        <v>8.2949999999999999</v>
      </c>
    </row>
    <row r="432" spans="1:11" x14ac:dyDescent="0.3">
      <c r="A432" s="30">
        <v>4</v>
      </c>
      <c r="B432">
        <v>3</v>
      </c>
      <c r="C432">
        <v>2</v>
      </c>
      <c r="D432">
        <v>5</v>
      </c>
      <c r="E432">
        <v>4.5999999999999996</v>
      </c>
      <c r="G432">
        <f t="shared" si="133"/>
        <v>4.6459999999999999</v>
      </c>
      <c r="H432">
        <f t="shared" si="134"/>
        <v>4.6919999999999993</v>
      </c>
      <c r="I432">
        <f>E432+(E432*3%)</f>
        <v>4.7379999999999995</v>
      </c>
      <c r="J432">
        <f t="shared" si="131"/>
        <v>4.7839999999999998</v>
      </c>
      <c r="K432" s="33">
        <f t="shared" si="132"/>
        <v>4.83</v>
      </c>
    </row>
    <row r="433" spans="1:13" x14ac:dyDescent="0.3">
      <c r="A433" s="30">
        <v>4</v>
      </c>
      <c r="B433">
        <v>3</v>
      </c>
      <c r="C433">
        <v>2</v>
      </c>
      <c r="D433">
        <v>6</v>
      </c>
      <c r="E433">
        <v>6.8</v>
      </c>
      <c r="G433">
        <f t="shared" si="133"/>
        <v>6.8679999999999994</v>
      </c>
      <c r="H433">
        <f t="shared" si="134"/>
        <v>6.9359999999999999</v>
      </c>
      <c r="I433">
        <f t="shared" si="135"/>
        <v>7.0039999999999996</v>
      </c>
      <c r="J433">
        <f t="shared" si="131"/>
        <v>7.0720000000000001</v>
      </c>
      <c r="K433" s="33">
        <f t="shared" si="132"/>
        <v>7.14</v>
      </c>
    </row>
    <row r="434" spans="1:13" x14ac:dyDescent="0.3">
      <c r="A434" s="30">
        <v>4</v>
      </c>
      <c r="B434">
        <v>3</v>
      </c>
      <c r="C434">
        <v>3</v>
      </c>
      <c r="D434">
        <v>1</v>
      </c>
      <c r="E434">
        <v>5.7</v>
      </c>
      <c r="G434">
        <f t="shared" si="133"/>
        <v>5.7570000000000006</v>
      </c>
      <c r="H434">
        <f t="shared" si="134"/>
        <v>5.8140000000000001</v>
      </c>
      <c r="I434">
        <f t="shared" si="135"/>
        <v>5.8710000000000004</v>
      </c>
      <c r="J434">
        <f t="shared" si="131"/>
        <v>5.9279999999999999</v>
      </c>
      <c r="K434" s="33">
        <f t="shared" si="132"/>
        <v>5.9850000000000003</v>
      </c>
    </row>
    <row r="435" spans="1:13" x14ac:dyDescent="0.3">
      <c r="A435" s="30">
        <v>4</v>
      </c>
      <c r="B435">
        <v>3</v>
      </c>
      <c r="C435">
        <v>3</v>
      </c>
      <c r="D435">
        <v>2</v>
      </c>
      <c r="E435">
        <v>7.8</v>
      </c>
      <c r="G435">
        <f t="shared" si="133"/>
        <v>7.8780000000000001</v>
      </c>
      <c r="H435">
        <f t="shared" si="134"/>
        <v>7.9559999999999995</v>
      </c>
      <c r="I435">
        <f t="shared" si="135"/>
        <v>8.0339999999999989</v>
      </c>
      <c r="J435">
        <f t="shared" si="131"/>
        <v>8.1120000000000001</v>
      </c>
      <c r="K435" s="33">
        <f t="shared" si="132"/>
        <v>8.19</v>
      </c>
    </row>
    <row r="436" spans="1:13" x14ac:dyDescent="0.3">
      <c r="A436" s="30">
        <v>4</v>
      </c>
      <c r="B436">
        <v>3</v>
      </c>
      <c r="C436">
        <v>3</v>
      </c>
      <c r="D436">
        <v>3</v>
      </c>
      <c r="E436">
        <v>4.5999999999999996</v>
      </c>
      <c r="G436">
        <f t="shared" si="133"/>
        <v>4.6459999999999999</v>
      </c>
      <c r="H436">
        <f t="shared" si="134"/>
        <v>4.6919999999999993</v>
      </c>
      <c r="I436">
        <f t="shared" si="135"/>
        <v>4.7379999999999995</v>
      </c>
      <c r="J436">
        <f t="shared" si="131"/>
        <v>4.7839999999999998</v>
      </c>
      <c r="K436" s="33">
        <f t="shared" si="132"/>
        <v>4.83</v>
      </c>
    </row>
    <row r="437" spans="1:13" x14ac:dyDescent="0.3">
      <c r="A437" s="30">
        <v>4</v>
      </c>
      <c r="B437">
        <v>3</v>
      </c>
      <c r="C437">
        <v>3</v>
      </c>
      <c r="D437">
        <v>4</v>
      </c>
      <c r="E437">
        <v>4.7</v>
      </c>
      <c r="G437">
        <f t="shared" si="133"/>
        <v>4.7469999999999999</v>
      </c>
      <c r="H437">
        <f t="shared" si="134"/>
        <v>4.7940000000000005</v>
      </c>
      <c r="I437">
        <f t="shared" si="135"/>
        <v>4.8410000000000002</v>
      </c>
      <c r="J437">
        <f t="shared" si="131"/>
        <v>4.8879999999999999</v>
      </c>
      <c r="K437" s="33">
        <f t="shared" si="132"/>
        <v>4.9350000000000005</v>
      </c>
    </row>
    <row r="438" spans="1:13" x14ac:dyDescent="0.3">
      <c r="A438" s="30">
        <v>4</v>
      </c>
      <c r="B438">
        <v>3</v>
      </c>
      <c r="C438">
        <v>3</v>
      </c>
      <c r="D438">
        <v>5</v>
      </c>
      <c r="E438">
        <v>3.7</v>
      </c>
      <c r="G438">
        <f t="shared" si="133"/>
        <v>3.7370000000000001</v>
      </c>
      <c r="H438">
        <f t="shared" si="134"/>
        <v>3.774</v>
      </c>
      <c r="I438">
        <f t="shared" si="135"/>
        <v>3.8110000000000004</v>
      </c>
      <c r="J438">
        <f t="shared" ref="J438:J439" si="136">E438+(E438*4%)</f>
        <v>3.8480000000000003</v>
      </c>
      <c r="K438" s="33">
        <f t="shared" si="132"/>
        <v>3.8850000000000002</v>
      </c>
    </row>
    <row r="439" spans="1:13" x14ac:dyDescent="0.3">
      <c r="A439" s="30">
        <v>4</v>
      </c>
      <c r="B439">
        <v>3</v>
      </c>
      <c r="C439">
        <v>3</v>
      </c>
      <c r="D439">
        <v>6</v>
      </c>
      <c r="E439">
        <v>8.5</v>
      </c>
      <c r="G439">
        <f t="shared" si="133"/>
        <v>8.5850000000000009</v>
      </c>
      <c r="H439">
        <f t="shared" si="134"/>
        <v>8.67</v>
      </c>
      <c r="I439">
        <f t="shared" si="135"/>
        <v>8.7550000000000008</v>
      </c>
      <c r="J439">
        <f t="shared" si="136"/>
        <v>8.84</v>
      </c>
      <c r="K439" s="33">
        <f t="shared" si="132"/>
        <v>8.9250000000000007</v>
      </c>
    </row>
    <row r="440" spans="1:13" x14ac:dyDescent="0.3">
      <c r="A440" s="30"/>
      <c r="K440" s="33"/>
    </row>
    <row r="441" spans="1:13" x14ac:dyDescent="0.3">
      <c r="A441" s="30" t="s">
        <v>221</v>
      </c>
      <c r="B441" t="s">
        <v>160</v>
      </c>
      <c r="G441" s="16">
        <f>(G442-B442)/B442*100</f>
        <v>3.0889734848375157E-3</v>
      </c>
      <c r="H441" s="16">
        <f>(H442-B442)/B442*100</f>
        <v>6.1779469696750314E-3</v>
      </c>
      <c r="I441" s="16">
        <f>(I442-B442)/B442*100</f>
        <v>9.2669204545125471E-3</v>
      </c>
      <c r="J441" s="16">
        <f>(J442-B442)/B442*100</f>
        <v>1.2355893939350063E-2</v>
      </c>
      <c r="K441" s="32">
        <f>(K442-B442)/B442*100</f>
        <v>1.5444867424173303E-2</v>
      </c>
    </row>
    <row r="442" spans="1:13" x14ac:dyDescent="0.3">
      <c r="A442" s="30" t="s">
        <v>158</v>
      </c>
      <c r="B442" s="21">
        <v>815497.45</v>
      </c>
      <c r="C442" s="21"/>
      <c r="D442" s="21"/>
      <c r="E442" s="21"/>
      <c r="G442" s="21">
        <v>815522.64049999998</v>
      </c>
      <c r="H442" s="21">
        <v>815547.83100000001</v>
      </c>
      <c r="I442" s="21">
        <v>815573.02150000003</v>
      </c>
      <c r="J442" s="21">
        <v>815598.21200000006</v>
      </c>
      <c r="K442" s="31">
        <v>815623.40249999997</v>
      </c>
      <c r="L442" s="21"/>
      <c r="M442" s="21"/>
    </row>
    <row r="443" spans="1:13" x14ac:dyDescent="0.3">
      <c r="A443" s="30"/>
      <c r="B443" s="21"/>
      <c r="C443" s="21"/>
      <c r="D443" s="21"/>
      <c r="E443" s="21"/>
      <c r="G443" s="15">
        <f>(G444-B444)/B444*100</f>
        <v>0</v>
      </c>
      <c r="H443" s="15">
        <f>(H444-B444)/B444*100</f>
        <v>0</v>
      </c>
      <c r="I443" s="15">
        <f>(I444-B444)/B444*100</f>
        <v>0</v>
      </c>
      <c r="J443" s="15">
        <f>(J444-B444)/B444*100</f>
        <v>0</v>
      </c>
      <c r="K443" s="56">
        <f>(K444-B444)/B444*100</f>
        <v>0</v>
      </c>
      <c r="M443" s="21"/>
    </row>
    <row r="444" spans="1:13" x14ac:dyDescent="0.3">
      <c r="A444" s="30" t="s">
        <v>159</v>
      </c>
      <c r="B444" s="21">
        <v>4840.7044030870002</v>
      </c>
      <c r="C444" s="21"/>
      <c r="D444" s="21"/>
      <c r="E444" s="21"/>
      <c r="G444" s="21">
        <v>4840.7044030870002</v>
      </c>
      <c r="H444" s="21">
        <v>4840.7044030870002</v>
      </c>
      <c r="I444" s="21">
        <v>4840.7044030870002</v>
      </c>
      <c r="J444" s="21">
        <v>4840.7044030870002</v>
      </c>
      <c r="K444" s="31">
        <v>4840.7044030870002</v>
      </c>
      <c r="L444" s="21"/>
      <c r="M444" s="21"/>
    </row>
    <row r="445" spans="1:13" x14ac:dyDescent="0.3">
      <c r="A445" s="30"/>
      <c r="K445" s="33"/>
    </row>
    <row r="446" spans="1:13" x14ac:dyDescent="0.3">
      <c r="A446" s="30"/>
      <c r="K446" s="33"/>
    </row>
    <row r="447" spans="1:13" x14ac:dyDescent="0.3">
      <c r="A447" s="30"/>
      <c r="B447" t="s">
        <v>161</v>
      </c>
      <c r="G447" s="16">
        <f>(G448-B448)/B448*100</f>
        <v>3.7022705614571248E-3</v>
      </c>
      <c r="H447" s="16">
        <f>(H448-B448)/B448*100</f>
        <v>7.1846840739617857E-3</v>
      </c>
      <c r="I447" s="16">
        <f>(I448-B448)/B448*100</f>
        <v>1.0667097586480668E-2</v>
      </c>
      <c r="J447" s="16">
        <f>(J448-B448)/B448*100</f>
        <v>1.4149511098985329E-2</v>
      </c>
      <c r="K447" s="32">
        <f>(K448-B448)/B448*100</f>
        <v>1.7401074710108391E-2</v>
      </c>
    </row>
    <row r="448" spans="1:13" x14ac:dyDescent="0.3">
      <c r="A448" s="30" t="s">
        <v>158</v>
      </c>
      <c r="B448" s="21">
        <v>818713.8</v>
      </c>
      <c r="C448" s="21"/>
      <c r="D448" s="21"/>
      <c r="E448" s="21"/>
      <c r="G448" s="21">
        <v>818744.11100000003</v>
      </c>
      <c r="H448" s="21">
        <v>818772.62199999997</v>
      </c>
      <c r="I448" s="21">
        <v>818801.13300000003</v>
      </c>
      <c r="J448" s="21">
        <v>818829.64399999997</v>
      </c>
      <c r="K448" s="31">
        <v>818856.26500000001</v>
      </c>
      <c r="L448" s="21"/>
      <c r="M448" s="21"/>
    </row>
    <row r="449" spans="1:13" x14ac:dyDescent="0.3">
      <c r="A449" s="30"/>
      <c r="B449" s="21"/>
      <c r="C449" s="21"/>
      <c r="D449" s="21"/>
      <c r="E449" s="21"/>
      <c r="G449" s="15">
        <f>(G450-B450)/B450*100</f>
        <v>0</v>
      </c>
      <c r="H449" s="15">
        <f>(H450-B450)/B450*100</f>
        <v>0</v>
      </c>
      <c r="I449" s="15">
        <f>(I450-B450)/B450*100</f>
        <v>0</v>
      </c>
      <c r="J449" s="15">
        <f>(J450-B450)/B450*100</f>
        <v>0</v>
      </c>
      <c r="K449" s="56">
        <f>(K450-B450)/B450*100</f>
        <v>0</v>
      </c>
      <c r="M449" s="21"/>
    </row>
    <row r="450" spans="1:13" x14ac:dyDescent="0.3">
      <c r="A450" s="30" t="s">
        <v>159</v>
      </c>
      <c r="B450" s="21">
        <v>4757.7240947110004</v>
      </c>
      <c r="C450" s="21"/>
      <c r="D450" s="21"/>
      <c r="E450" s="21"/>
      <c r="F450" t="s">
        <v>238</v>
      </c>
      <c r="G450" s="21">
        <v>4757.7240947110004</v>
      </c>
      <c r="H450" s="21">
        <v>4757.7240947110004</v>
      </c>
      <c r="I450" s="21">
        <v>4757.7240947110004</v>
      </c>
      <c r="J450" s="21">
        <v>4757.7240947110004</v>
      </c>
      <c r="K450" s="31">
        <v>4757.7240947110004</v>
      </c>
      <c r="L450" s="21"/>
      <c r="M450" s="21"/>
    </row>
    <row r="451" spans="1:13" x14ac:dyDescent="0.3">
      <c r="A451" s="34"/>
      <c r="B451" s="22"/>
      <c r="C451" s="22"/>
      <c r="D451" s="22"/>
      <c r="E451" s="22"/>
      <c r="F451" s="22"/>
      <c r="G451" s="22"/>
      <c r="H451" s="22"/>
      <c r="I451" s="22"/>
      <c r="J451" s="22"/>
      <c r="K451" s="40"/>
    </row>
    <row r="453" spans="1:13" x14ac:dyDescent="0.3">
      <c r="A453" s="64" t="s">
        <v>57</v>
      </c>
      <c r="B453" s="65"/>
      <c r="C453" s="65"/>
      <c r="D453" s="65"/>
      <c r="E453" s="65"/>
      <c r="F453" s="65"/>
      <c r="G453" s="65"/>
      <c r="H453" s="65"/>
      <c r="I453" s="65"/>
      <c r="J453" s="65"/>
      <c r="K453" s="66"/>
    </row>
    <row r="454" spans="1:13" x14ac:dyDescent="0.3">
      <c r="A454" s="57" t="s">
        <v>58</v>
      </c>
      <c r="K454" s="33"/>
    </row>
    <row r="455" spans="1:13" x14ac:dyDescent="0.3">
      <c r="A455" s="58" t="s">
        <v>59</v>
      </c>
      <c r="K455" s="33"/>
    </row>
    <row r="456" spans="1:13" x14ac:dyDescent="0.3">
      <c r="A456" s="58" t="s">
        <v>60</v>
      </c>
      <c r="K456" s="33"/>
    </row>
    <row r="457" spans="1:13" x14ac:dyDescent="0.3">
      <c r="A457" s="58" t="s">
        <v>61</v>
      </c>
      <c r="K457" s="33"/>
    </row>
    <row r="458" spans="1:13" x14ac:dyDescent="0.3">
      <c r="A458" s="58" t="s">
        <v>62</v>
      </c>
      <c r="K458" s="33"/>
    </row>
    <row r="459" spans="1:13" x14ac:dyDescent="0.3">
      <c r="A459" s="58" t="s">
        <v>63</v>
      </c>
      <c r="K459" s="33"/>
    </row>
    <row r="460" spans="1:13" x14ac:dyDescent="0.3">
      <c r="A460" s="58" t="s">
        <v>64</v>
      </c>
      <c r="K460" s="33"/>
    </row>
    <row r="461" spans="1:13" x14ac:dyDescent="0.3">
      <c r="A461" s="58" t="s">
        <v>65</v>
      </c>
      <c r="K461" s="33"/>
    </row>
    <row r="462" spans="1:13" x14ac:dyDescent="0.3">
      <c r="A462" s="30"/>
      <c r="K462" s="33"/>
    </row>
    <row r="463" spans="1:13" x14ac:dyDescent="0.3">
      <c r="A463" s="58" t="s">
        <v>2</v>
      </c>
      <c r="B463" t="s">
        <v>66</v>
      </c>
      <c r="C463" t="s">
        <v>67</v>
      </c>
      <c r="D463" t="s">
        <v>10</v>
      </c>
      <c r="E463" t="s">
        <v>68</v>
      </c>
      <c r="G463" s="20">
        <v>0.01</v>
      </c>
      <c r="H463" s="20">
        <v>0.02</v>
      </c>
      <c r="I463" s="20">
        <v>0.03</v>
      </c>
      <c r="J463" s="20">
        <v>0.04</v>
      </c>
      <c r="K463" s="55">
        <v>0.05</v>
      </c>
    </row>
    <row r="464" spans="1:13" x14ac:dyDescent="0.3">
      <c r="A464" s="30">
        <v>1</v>
      </c>
      <c r="B464">
        <v>1</v>
      </c>
      <c r="C464">
        <v>1</v>
      </c>
      <c r="D464">
        <v>1</v>
      </c>
      <c r="E464">
        <v>2.4</v>
      </c>
      <c r="G464">
        <f>E464+(E464*1%)</f>
        <v>2.4239999999999999</v>
      </c>
      <c r="H464">
        <f>E464+(E464*2%)</f>
        <v>2.448</v>
      </c>
      <c r="I464">
        <f>E464+(E464*3%)</f>
        <v>2.472</v>
      </c>
      <c r="J464">
        <f>E464+(E464*4%)</f>
        <v>2.496</v>
      </c>
      <c r="K464" s="33">
        <f>E464+(E464*5%)</f>
        <v>2.52</v>
      </c>
    </row>
    <row r="465" spans="1:11" x14ac:dyDescent="0.3">
      <c r="A465" s="30">
        <v>1</v>
      </c>
      <c r="B465">
        <v>1</v>
      </c>
      <c r="C465">
        <v>1</v>
      </c>
      <c r="D465">
        <v>2</v>
      </c>
      <c r="E465">
        <v>3.4</v>
      </c>
      <c r="G465">
        <f t="shared" ref="G465:G469" si="137">E465+(E465*1%)</f>
        <v>3.4339999999999997</v>
      </c>
      <c r="H465">
        <f t="shared" ref="H465:H528" si="138">E465+(E465*2%)</f>
        <v>3.468</v>
      </c>
      <c r="I465">
        <f t="shared" ref="I465:I528" si="139">E465+(E465*3%)</f>
        <v>3.5019999999999998</v>
      </c>
      <c r="J465">
        <f t="shared" ref="J465:J528" si="140">E465+(E465*4%)</f>
        <v>3.536</v>
      </c>
      <c r="K465" s="33">
        <f t="shared" ref="K465:K528" si="141">E465+(E465*5%)</f>
        <v>3.57</v>
      </c>
    </row>
    <row r="466" spans="1:11" x14ac:dyDescent="0.3">
      <c r="A466" s="30">
        <v>1</v>
      </c>
      <c r="B466">
        <v>1</v>
      </c>
      <c r="C466">
        <v>1</v>
      </c>
      <c r="D466">
        <v>3</v>
      </c>
      <c r="E466">
        <v>2.5</v>
      </c>
      <c r="G466">
        <f t="shared" si="137"/>
        <v>2.5249999999999999</v>
      </c>
      <c r="H466">
        <f t="shared" si="138"/>
        <v>2.5499999999999998</v>
      </c>
      <c r="I466">
        <f t="shared" si="139"/>
        <v>2.5750000000000002</v>
      </c>
      <c r="J466">
        <f t="shared" si="140"/>
        <v>2.6</v>
      </c>
      <c r="K466" s="33">
        <f t="shared" si="141"/>
        <v>2.625</v>
      </c>
    </row>
    <row r="467" spans="1:11" x14ac:dyDescent="0.3">
      <c r="A467" s="30">
        <v>1</v>
      </c>
      <c r="B467">
        <v>1</v>
      </c>
      <c r="C467">
        <v>1</v>
      </c>
      <c r="D467">
        <v>4</v>
      </c>
      <c r="E467">
        <v>5.2</v>
      </c>
      <c r="G467">
        <f t="shared" si="137"/>
        <v>5.2519999999999998</v>
      </c>
      <c r="H467">
        <f t="shared" si="138"/>
        <v>5.3040000000000003</v>
      </c>
      <c r="I467">
        <f t="shared" si="139"/>
        <v>5.3559999999999999</v>
      </c>
      <c r="J467">
        <f t="shared" si="140"/>
        <v>5.4080000000000004</v>
      </c>
      <c r="K467" s="33">
        <f t="shared" si="141"/>
        <v>5.46</v>
      </c>
    </row>
    <row r="468" spans="1:11" x14ac:dyDescent="0.3">
      <c r="A468" s="30">
        <v>1</v>
      </c>
      <c r="B468">
        <v>1</v>
      </c>
      <c r="C468">
        <v>1</v>
      </c>
      <c r="D468">
        <v>5</v>
      </c>
      <c r="E468">
        <v>3.5</v>
      </c>
      <c r="G468">
        <f t="shared" si="137"/>
        <v>3.5350000000000001</v>
      </c>
      <c r="H468">
        <f t="shared" si="138"/>
        <v>3.57</v>
      </c>
      <c r="I468">
        <f t="shared" si="139"/>
        <v>3.605</v>
      </c>
      <c r="J468">
        <f t="shared" si="140"/>
        <v>3.64</v>
      </c>
      <c r="K468" s="33">
        <f t="shared" si="141"/>
        <v>3.6749999999999998</v>
      </c>
    </row>
    <row r="469" spans="1:11" x14ac:dyDescent="0.3">
      <c r="A469" s="30">
        <v>1</v>
      </c>
      <c r="B469">
        <v>1</v>
      </c>
      <c r="C469">
        <v>1</v>
      </c>
      <c r="D469">
        <v>6</v>
      </c>
      <c r="E469">
        <v>5.6</v>
      </c>
      <c r="G469">
        <f t="shared" si="137"/>
        <v>5.6559999999999997</v>
      </c>
      <c r="H469">
        <f t="shared" si="138"/>
        <v>5.7119999999999997</v>
      </c>
      <c r="I469">
        <f t="shared" si="139"/>
        <v>5.7679999999999998</v>
      </c>
      <c r="J469">
        <f t="shared" si="140"/>
        <v>5.8239999999999998</v>
      </c>
      <c r="K469" s="33">
        <f t="shared" si="141"/>
        <v>5.88</v>
      </c>
    </row>
    <row r="470" spans="1:11" x14ac:dyDescent="0.3">
      <c r="A470" s="30">
        <v>1</v>
      </c>
      <c r="B470">
        <v>1</v>
      </c>
      <c r="C470">
        <v>2</v>
      </c>
      <c r="D470">
        <v>1</v>
      </c>
      <c r="E470">
        <v>4.5</v>
      </c>
      <c r="G470">
        <f>E470+(E470*1%)</f>
        <v>4.5449999999999999</v>
      </c>
      <c r="H470">
        <f>E470+(E470*2%)</f>
        <v>4.59</v>
      </c>
      <c r="I470">
        <f t="shared" si="139"/>
        <v>4.6349999999999998</v>
      </c>
      <c r="J470">
        <f t="shared" si="140"/>
        <v>4.68</v>
      </c>
      <c r="K470" s="33">
        <f t="shared" si="141"/>
        <v>4.7249999999999996</v>
      </c>
    </row>
    <row r="471" spans="1:11" x14ac:dyDescent="0.3">
      <c r="A471" s="30">
        <v>1</v>
      </c>
      <c r="B471">
        <v>1</v>
      </c>
      <c r="C471">
        <v>2</v>
      </c>
      <c r="D471">
        <v>2</v>
      </c>
      <c r="E471">
        <v>3.5</v>
      </c>
      <c r="G471">
        <f>E471+(E471*1%)</f>
        <v>3.5350000000000001</v>
      </c>
      <c r="H471">
        <f t="shared" si="138"/>
        <v>3.57</v>
      </c>
      <c r="I471">
        <f t="shared" si="139"/>
        <v>3.605</v>
      </c>
      <c r="J471">
        <f t="shared" si="140"/>
        <v>3.64</v>
      </c>
      <c r="K471" s="33">
        <f t="shared" si="141"/>
        <v>3.6749999999999998</v>
      </c>
    </row>
    <row r="472" spans="1:11" x14ac:dyDescent="0.3">
      <c r="A472" s="30">
        <v>1</v>
      </c>
      <c r="B472">
        <v>1</v>
      </c>
      <c r="C472">
        <v>2</v>
      </c>
      <c r="D472">
        <v>3</v>
      </c>
      <c r="E472">
        <v>6.3</v>
      </c>
      <c r="G472">
        <f t="shared" ref="G472:G535" si="142">E472+(E472*1%)</f>
        <v>6.3629999999999995</v>
      </c>
      <c r="H472">
        <f t="shared" si="138"/>
        <v>6.4260000000000002</v>
      </c>
      <c r="I472">
        <f t="shared" si="139"/>
        <v>6.4889999999999999</v>
      </c>
      <c r="J472">
        <f t="shared" si="140"/>
        <v>6.5519999999999996</v>
      </c>
      <c r="K472" s="33">
        <f t="shared" si="141"/>
        <v>6.6150000000000002</v>
      </c>
    </row>
    <row r="473" spans="1:11" x14ac:dyDescent="0.3">
      <c r="A473" s="30">
        <v>1</v>
      </c>
      <c r="B473">
        <v>1</v>
      </c>
      <c r="C473">
        <v>2</v>
      </c>
      <c r="D473">
        <v>4</v>
      </c>
      <c r="E473">
        <v>4.4000000000000004</v>
      </c>
      <c r="G473">
        <f t="shared" si="142"/>
        <v>4.444</v>
      </c>
      <c r="H473">
        <f t="shared" si="138"/>
        <v>4.4880000000000004</v>
      </c>
      <c r="I473">
        <f t="shared" si="139"/>
        <v>4.532</v>
      </c>
      <c r="J473">
        <f t="shared" si="140"/>
        <v>4.5760000000000005</v>
      </c>
      <c r="K473" s="33">
        <f t="shared" si="141"/>
        <v>4.62</v>
      </c>
    </row>
    <row r="474" spans="1:11" x14ac:dyDescent="0.3">
      <c r="A474" s="30">
        <v>1</v>
      </c>
      <c r="B474">
        <v>1</v>
      </c>
      <c r="C474">
        <v>2</v>
      </c>
      <c r="D474">
        <v>5</v>
      </c>
      <c r="E474">
        <v>2.2999999999999998</v>
      </c>
      <c r="G474">
        <f t="shared" si="142"/>
        <v>2.323</v>
      </c>
      <c r="H474">
        <f t="shared" si="138"/>
        <v>2.3459999999999996</v>
      </c>
      <c r="I474">
        <f t="shared" si="139"/>
        <v>2.3689999999999998</v>
      </c>
      <c r="J474">
        <f t="shared" si="140"/>
        <v>2.3919999999999999</v>
      </c>
      <c r="K474" s="33">
        <f t="shared" si="141"/>
        <v>2.415</v>
      </c>
    </row>
    <row r="475" spans="1:11" x14ac:dyDescent="0.3">
      <c r="A475" s="30">
        <v>1</v>
      </c>
      <c r="B475">
        <v>1</v>
      </c>
      <c r="C475">
        <v>2</v>
      </c>
      <c r="D475">
        <v>6</v>
      </c>
      <c r="E475">
        <v>4.3</v>
      </c>
      <c r="G475">
        <f t="shared" si="142"/>
        <v>4.343</v>
      </c>
      <c r="H475">
        <f t="shared" si="138"/>
        <v>4.3860000000000001</v>
      </c>
      <c r="I475">
        <f t="shared" si="139"/>
        <v>4.4290000000000003</v>
      </c>
      <c r="J475">
        <f t="shared" si="140"/>
        <v>4.4719999999999995</v>
      </c>
      <c r="K475" s="33">
        <f t="shared" si="141"/>
        <v>4.5149999999999997</v>
      </c>
    </row>
    <row r="476" spans="1:11" x14ac:dyDescent="0.3">
      <c r="A476" s="30">
        <v>1</v>
      </c>
      <c r="B476">
        <v>1</v>
      </c>
      <c r="C476">
        <v>3</v>
      </c>
      <c r="D476">
        <v>1</v>
      </c>
      <c r="E476">
        <v>3.4</v>
      </c>
      <c r="G476">
        <f t="shared" si="142"/>
        <v>3.4339999999999997</v>
      </c>
      <c r="H476">
        <f t="shared" si="138"/>
        <v>3.468</v>
      </c>
      <c r="I476">
        <f t="shared" si="139"/>
        <v>3.5019999999999998</v>
      </c>
      <c r="J476">
        <f>E476+(E476*4%)</f>
        <v>3.536</v>
      </c>
      <c r="K476" s="33">
        <f>E476+(E476*5%)</f>
        <v>3.57</v>
      </c>
    </row>
    <row r="477" spans="1:11" x14ac:dyDescent="0.3">
      <c r="A477" s="30">
        <v>1</v>
      </c>
      <c r="B477">
        <v>1</v>
      </c>
      <c r="C477">
        <v>3</v>
      </c>
      <c r="D477">
        <v>2</v>
      </c>
      <c r="E477">
        <v>2.2999999999999998</v>
      </c>
      <c r="G477">
        <f t="shared" si="142"/>
        <v>2.323</v>
      </c>
      <c r="H477">
        <f t="shared" si="138"/>
        <v>2.3459999999999996</v>
      </c>
      <c r="I477">
        <f t="shared" si="139"/>
        <v>2.3689999999999998</v>
      </c>
      <c r="J477">
        <f t="shared" si="140"/>
        <v>2.3919999999999999</v>
      </c>
      <c r="K477" s="33">
        <f t="shared" si="141"/>
        <v>2.415</v>
      </c>
    </row>
    <row r="478" spans="1:11" x14ac:dyDescent="0.3">
      <c r="A478" s="30">
        <v>1</v>
      </c>
      <c r="B478">
        <v>1</v>
      </c>
      <c r="C478">
        <v>3</v>
      </c>
      <c r="D478">
        <v>3</v>
      </c>
      <c r="E478">
        <v>4.5</v>
      </c>
      <c r="G478">
        <f t="shared" si="142"/>
        <v>4.5449999999999999</v>
      </c>
      <c r="H478">
        <f t="shared" si="138"/>
        <v>4.59</v>
      </c>
      <c r="I478">
        <f t="shared" si="139"/>
        <v>4.6349999999999998</v>
      </c>
      <c r="J478">
        <f t="shared" si="140"/>
        <v>4.68</v>
      </c>
      <c r="K478" s="33">
        <f t="shared" si="141"/>
        <v>4.7249999999999996</v>
      </c>
    </row>
    <row r="479" spans="1:11" x14ac:dyDescent="0.3">
      <c r="A479" s="30">
        <v>1</v>
      </c>
      <c r="B479">
        <v>1</v>
      </c>
      <c r="C479">
        <v>3</v>
      </c>
      <c r="D479">
        <v>4</v>
      </c>
      <c r="E479">
        <v>5.6</v>
      </c>
      <c r="G479">
        <f t="shared" si="142"/>
        <v>5.6559999999999997</v>
      </c>
      <c r="H479">
        <f t="shared" si="138"/>
        <v>5.7119999999999997</v>
      </c>
      <c r="I479">
        <f t="shared" si="139"/>
        <v>5.7679999999999998</v>
      </c>
      <c r="J479">
        <f t="shared" si="140"/>
        <v>5.8239999999999998</v>
      </c>
      <c r="K479" s="33">
        <f t="shared" si="141"/>
        <v>5.88</v>
      </c>
    </row>
    <row r="480" spans="1:11" x14ac:dyDescent="0.3">
      <c r="A480" s="30">
        <v>1</v>
      </c>
      <c r="B480">
        <v>1</v>
      </c>
      <c r="C480">
        <v>3</v>
      </c>
      <c r="D480">
        <v>5</v>
      </c>
      <c r="E480">
        <v>3.5</v>
      </c>
      <c r="G480">
        <f t="shared" si="142"/>
        <v>3.5350000000000001</v>
      </c>
      <c r="H480">
        <f t="shared" si="138"/>
        <v>3.57</v>
      </c>
      <c r="I480">
        <f t="shared" si="139"/>
        <v>3.605</v>
      </c>
      <c r="J480">
        <f t="shared" si="140"/>
        <v>3.64</v>
      </c>
      <c r="K480" s="33">
        <f t="shared" si="141"/>
        <v>3.6749999999999998</v>
      </c>
    </row>
    <row r="481" spans="1:11" x14ac:dyDescent="0.3">
      <c r="A481" s="30">
        <v>1</v>
      </c>
      <c r="B481">
        <v>1</v>
      </c>
      <c r="C481">
        <v>3</v>
      </c>
      <c r="D481">
        <v>6</v>
      </c>
      <c r="E481">
        <v>2.4</v>
      </c>
      <c r="G481">
        <f t="shared" si="142"/>
        <v>2.4239999999999999</v>
      </c>
      <c r="H481">
        <f t="shared" si="138"/>
        <v>2.448</v>
      </c>
      <c r="I481">
        <f t="shared" si="139"/>
        <v>2.472</v>
      </c>
      <c r="J481">
        <f t="shared" si="140"/>
        <v>2.496</v>
      </c>
      <c r="K481" s="33">
        <f t="shared" si="141"/>
        <v>2.52</v>
      </c>
    </row>
    <row r="482" spans="1:11" x14ac:dyDescent="0.3">
      <c r="A482" s="30">
        <v>1</v>
      </c>
      <c r="B482">
        <v>2</v>
      </c>
      <c r="C482">
        <v>1</v>
      </c>
      <c r="D482">
        <v>1</v>
      </c>
      <c r="E482">
        <v>3.5</v>
      </c>
      <c r="G482">
        <f t="shared" si="142"/>
        <v>3.5350000000000001</v>
      </c>
      <c r="H482">
        <f t="shared" si="138"/>
        <v>3.57</v>
      </c>
      <c r="I482">
        <f t="shared" si="139"/>
        <v>3.605</v>
      </c>
      <c r="J482">
        <f t="shared" si="140"/>
        <v>3.64</v>
      </c>
      <c r="K482" s="33">
        <f t="shared" si="141"/>
        <v>3.6749999999999998</v>
      </c>
    </row>
    <row r="483" spans="1:11" x14ac:dyDescent="0.3">
      <c r="A483" s="30">
        <v>1</v>
      </c>
      <c r="B483">
        <v>2</v>
      </c>
      <c r="C483">
        <v>1</v>
      </c>
      <c r="D483">
        <v>2</v>
      </c>
      <c r="E483">
        <v>3.4</v>
      </c>
      <c r="G483">
        <f t="shared" si="142"/>
        <v>3.4339999999999997</v>
      </c>
      <c r="H483">
        <f t="shared" si="138"/>
        <v>3.468</v>
      </c>
      <c r="I483">
        <f t="shared" si="139"/>
        <v>3.5019999999999998</v>
      </c>
      <c r="J483">
        <f t="shared" si="140"/>
        <v>3.536</v>
      </c>
      <c r="K483" s="33">
        <f t="shared" si="141"/>
        <v>3.57</v>
      </c>
    </row>
    <row r="484" spans="1:11" x14ac:dyDescent="0.3">
      <c r="A484" s="30">
        <v>1</v>
      </c>
      <c r="B484">
        <v>2</v>
      </c>
      <c r="C484">
        <v>1</v>
      </c>
      <c r="D484">
        <v>3</v>
      </c>
      <c r="E484">
        <v>4.5</v>
      </c>
      <c r="G484">
        <f t="shared" si="142"/>
        <v>4.5449999999999999</v>
      </c>
      <c r="H484">
        <f t="shared" si="138"/>
        <v>4.59</v>
      </c>
      <c r="I484">
        <f t="shared" si="139"/>
        <v>4.6349999999999998</v>
      </c>
      <c r="J484">
        <f t="shared" si="140"/>
        <v>4.68</v>
      </c>
      <c r="K484" s="33">
        <f t="shared" si="141"/>
        <v>4.7249999999999996</v>
      </c>
    </row>
    <row r="485" spans="1:11" x14ac:dyDescent="0.3">
      <c r="A485" s="30">
        <v>1</v>
      </c>
      <c r="B485">
        <v>2</v>
      </c>
      <c r="C485">
        <v>1</v>
      </c>
      <c r="D485">
        <v>4</v>
      </c>
      <c r="E485">
        <v>3.5</v>
      </c>
      <c r="G485">
        <f t="shared" si="142"/>
        <v>3.5350000000000001</v>
      </c>
      <c r="H485">
        <f t="shared" si="138"/>
        <v>3.57</v>
      </c>
      <c r="I485">
        <f t="shared" si="139"/>
        <v>3.605</v>
      </c>
      <c r="J485">
        <f t="shared" si="140"/>
        <v>3.64</v>
      </c>
      <c r="K485" s="33">
        <f t="shared" si="141"/>
        <v>3.6749999999999998</v>
      </c>
    </row>
    <row r="486" spans="1:11" x14ac:dyDescent="0.3">
      <c r="A486" s="30">
        <v>1</v>
      </c>
      <c r="B486">
        <v>2</v>
      </c>
      <c r="C486">
        <v>1</v>
      </c>
      <c r="D486">
        <v>5</v>
      </c>
      <c r="E486">
        <v>2.4</v>
      </c>
      <c r="G486">
        <f t="shared" si="142"/>
        <v>2.4239999999999999</v>
      </c>
      <c r="H486">
        <f t="shared" si="138"/>
        <v>2.448</v>
      </c>
      <c r="I486">
        <f t="shared" si="139"/>
        <v>2.472</v>
      </c>
      <c r="J486">
        <f t="shared" si="140"/>
        <v>2.496</v>
      </c>
      <c r="K486" s="33">
        <f t="shared" si="141"/>
        <v>2.52</v>
      </c>
    </row>
    <row r="487" spans="1:11" x14ac:dyDescent="0.3">
      <c r="A487" s="30">
        <v>1</v>
      </c>
      <c r="B487">
        <v>2</v>
      </c>
      <c r="C487">
        <v>1</v>
      </c>
      <c r="D487">
        <v>6</v>
      </c>
      <c r="E487">
        <v>5.5</v>
      </c>
      <c r="G487">
        <f t="shared" si="142"/>
        <v>5.5549999999999997</v>
      </c>
      <c r="H487">
        <f t="shared" si="138"/>
        <v>5.61</v>
      </c>
      <c r="I487">
        <f t="shared" si="139"/>
        <v>5.665</v>
      </c>
      <c r="J487">
        <f t="shared" si="140"/>
        <v>5.72</v>
      </c>
      <c r="K487" s="33">
        <f t="shared" si="141"/>
        <v>5.7750000000000004</v>
      </c>
    </row>
    <row r="488" spans="1:11" x14ac:dyDescent="0.3">
      <c r="A488" s="30">
        <v>1</v>
      </c>
      <c r="B488">
        <v>2</v>
      </c>
      <c r="C488">
        <v>2</v>
      </c>
      <c r="D488">
        <v>1</v>
      </c>
      <c r="E488">
        <v>1.5</v>
      </c>
      <c r="G488">
        <f t="shared" si="142"/>
        <v>1.5149999999999999</v>
      </c>
      <c r="H488">
        <f t="shared" si="138"/>
        <v>1.53</v>
      </c>
      <c r="I488">
        <f t="shared" si="139"/>
        <v>1.5449999999999999</v>
      </c>
      <c r="J488">
        <f t="shared" si="140"/>
        <v>1.56</v>
      </c>
      <c r="K488" s="33">
        <f t="shared" si="141"/>
        <v>1.575</v>
      </c>
    </row>
    <row r="489" spans="1:11" x14ac:dyDescent="0.3">
      <c r="A489" s="30">
        <v>1</v>
      </c>
      <c r="B489">
        <v>2</v>
      </c>
      <c r="C489">
        <v>2</v>
      </c>
      <c r="D489">
        <v>2</v>
      </c>
      <c r="E489">
        <v>3.8</v>
      </c>
      <c r="G489">
        <f t="shared" si="142"/>
        <v>3.8379999999999996</v>
      </c>
      <c r="H489">
        <f t="shared" si="138"/>
        <v>3.8759999999999999</v>
      </c>
      <c r="I489">
        <f t="shared" si="139"/>
        <v>3.9139999999999997</v>
      </c>
      <c r="J489">
        <f t="shared" si="140"/>
        <v>3.952</v>
      </c>
      <c r="K489" s="33">
        <f t="shared" si="141"/>
        <v>3.9899999999999998</v>
      </c>
    </row>
    <row r="490" spans="1:11" x14ac:dyDescent="0.3">
      <c r="A490" s="30">
        <v>1</v>
      </c>
      <c r="B490">
        <v>2</v>
      </c>
      <c r="C490">
        <v>2</v>
      </c>
      <c r="D490">
        <v>3</v>
      </c>
      <c r="E490">
        <v>3.8</v>
      </c>
      <c r="G490">
        <f t="shared" si="142"/>
        <v>3.8379999999999996</v>
      </c>
      <c r="H490">
        <f t="shared" si="138"/>
        <v>3.8759999999999999</v>
      </c>
      <c r="I490">
        <f t="shared" si="139"/>
        <v>3.9139999999999997</v>
      </c>
      <c r="J490">
        <f t="shared" si="140"/>
        <v>3.952</v>
      </c>
      <c r="K490" s="33">
        <f t="shared" si="141"/>
        <v>3.9899999999999998</v>
      </c>
    </row>
    <row r="491" spans="1:11" x14ac:dyDescent="0.3">
      <c r="A491" s="30">
        <v>1</v>
      </c>
      <c r="B491">
        <v>2</v>
      </c>
      <c r="C491">
        <v>2</v>
      </c>
      <c r="D491">
        <v>4</v>
      </c>
      <c r="E491">
        <v>3.6</v>
      </c>
      <c r="G491">
        <f t="shared" si="142"/>
        <v>3.6360000000000001</v>
      </c>
      <c r="H491">
        <f t="shared" si="138"/>
        <v>3.6720000000000002</v>
      </c>
      <c r="I491">
        <f t="shared" si="139"/>
        <v>3.7080000000000002</v>
      </c>
      <c r="J491">
        <f t="shared" si="140"/>
        <v>3.7440000000000002</v>
      </c>
      <c r="K491" s="33">
        <f t="shared" si="141"/>
        <v>3.7800000000000002</v>
      </c>
    </row>
    <row r="492" spans="1:11" x14ac:dyDescent="0.3">
      <c r="A492" s="30">
        <v>1</v>
      </c>
      <c r="B492">
        <v>2</v>
      </c>
      <c r="C492">
        <v>2</v>
      </c>
      <c r="D492">
        <v>5</v>
      </c>
      <c r="E492">
        <v>2.5</v>
      </c>
      <c r="G492">
        <f t="shared" si="142"/>
        <v>2.5249999999999999</v>
      </c>
      <c r="H492">
        <f t="shared" si="138"/>
        <v>2.5499999999999998</v>
      </c>
      <c r="I492">
        <f t="shared" si="139"/>
        <v>2.5750000000000002</v>
      </c>
      <c r="J492">
        <f t="shared" si="140"/>
        <v>2.6</v>
      </c>
      <c r="K492" s="33">
        <f t="shared" si="141"/>
        <v>2.625</v>
      </c>
    </row>
    <row r="493" spans="1:11" x14ac:dyDescent="0.3">
      <c r="A493" s="30">
        <v>1</v>
      </c>
      <c r="B493">
        <v>2</v>
      </c>
      <c r="C493">
        <v>2</v>
      </c>
      <c r="D493">
        <v>6</v>
      </c>
      <c r="E493">
        <v>1.5</v>
      </c>
      <c r="G493">
        <f t="shared" si="142"/>
        <v>1.5149999999999999</v>
      </c>
      <c r="H493">
        <f t="shared" si="138"/>
        <v>1.53</v>
      </c>
      <c r="I493">
        <f t="shared" si="139"/>
        <v>1.5449999999999999</v>
      </c>
      <c r="J493">
        <f t="shared" si="140"/>
        <v>1.56</v>
      </c>
      <c r="K493" s="33">
        <f t="shared" si="141"/>
        <v>1.575</v>
      </c>
    </row>
    <row r="494" spans="1:11" x14ac:dyDescent="0.3">
      <c r="A494" s="30">
        <v>1</v>
      </c>
      <c r="B494">
        <v>2</v>
      </c>
      <c r="C494">
        <v>3</v>
      </c>
      <c r="D494">
        <v>1</v>
      </c>
      <c r="E494">
        <v>2.5</v>
      </c>
      <c r="G494">
        <f t="shared" si="142"/>
        <v>2.5249999999999999</v>
      </c>
      <c r="H494">
        <f>E494+(E494*2%)</f>
        <v>2.5499999999999998</v>
      </c>
      <c r="I494">
        <f t="shared" si="139"/>
        <v>2.5750000000000002</v>
      </c>
      <c r="J494">
        <f t="shared" si="140"/>
        <v>2.6</v>
      </c>
      <c r="K494" s="33">
        <f t="shared" si="141"/>
        <v>2.625</v>
      </c>
    </row>
    <row r="495" spans="1:11" x14ac:dyDescent="0.3">
      <c r="A495" s="30">
        <v>1</v>
      </c>
      <c r="B495">
        <v>2</v>
      </c>
      <c r="C495">
        <v>3</v>
      </c>
      <c r="D495">
        <v>2</v>
      </c>
      <c r="E495">
        <v>5.3</v>
      </c>
      <c r="G495">
        <f t="shared" si="142"/>
        <v>5.3529999999999998</v>
      </c>
      <c r="H495">
        <f t="shared" si="138"/>
        <v>5.4059999999999997</v>
      </c>
      <c r="I495">
        <f t="shared" si="139"/>
        <v>5.4589999999999996</v>
      </c>
      <c r="J495">
        <f t="shared" si="140"/>
        <v>5.5119999999999996</v>
      </c>
      <c r="K495" s="33">
        <f t="shared" si="141"/>
        <v>5.5649999999999995</v>
      </c>
    </row>
    <row r="496" spans="1:11" x14ac:dyDescent="0.3">
      <c r="A496" s="30">
        <v>1</v>
      </c>
      <c r="B496">
        <v>2</v>
      </c>
      <c r="C496">
        <v>3</v>
      </c>
      <c r="D496">
        <v>3</v>
      </c>
      <c r="E496">
        <v>2.5</v>
      </c>
      <c r="G496">
        <f t="shared" si="142"/>
        <v>2.5249999999999999</v>
      </c>
      <c r="H496">
        <f t="shared" si="138"/>
        <v>2.5499999999999998</v>
      </c>
      <c r="I496">
        <f t="shared" si="139"/>
        <v>2.5750000000000002</v>
      </c>
      <c r="J496">
        <f t="shared" si="140"/>
        <v>2.6</v>
      </c>
      <c r="K496" s="33">
        <f t="shared" si="141"/>
        <v>2.625</v>
      </c>
    </row>
    <row r="497" spans="1:11" x14ac:dyDescent="0.3">
      <c r="A497" s="30">
        <v>1</v>
      </c>
      <c r="B497">
        <v>2</v>
      </c>
      <c r="C497">
        <v>3</v>
      </c>
      <c r="D497">
        <v>4</v>
      </c>
      <c r="E497">
        <v>1.7</v>
      </c>
      <c r="G497">
        <f t="shared" si="142"/>
        <v>1.7169999999999999</v>
      </c>
      <c r="H497">
        <f t="shared" si="138"/>
        <v>1.734</v>
      </c>
      <c r="I497">
        <f t="shared" si="139"/>
        <v>1.7509999999999999</v>
      </c>
      <c r="J497">
        <f t="shared" si="140"/>
        <v>1.768</v>
      </c>
      <c r="K497" s="33">
        <f t="shared" si="141"/>
        <v>1.7849999999999999</v>
      </c>
    </row>
    <row r="498" spans="1:11" x14ac:dyDescent="0.3">
      <c r="A498" s="30">
        <v>1</v>
      </c>
      <c r="B498">
        <v>2</v>
      </c>
      <c r="C498">
        <v>3</v>
      </c>
      <c r="D498">
        <v>5</v>
      </c>
      <c r="E498">
        <v>3.6</v>
      </c>
      <c r="G498">
        <f t="shared" si="142"/>
        <v>3.6360000000000001</v>
      </c>
      <c r="H498">
        <f t="shared" si="138"/>
        <v>3.6720000000000002</v>
      </c>
      <c r="I498">
        <f t="shared" si="139"/>
        <v>3.7080000000000002</v>
      </c>
      <c r="J498">
        <f t="shared" si="140"/>
        <v>3.7440000000000002</v>
      </c>
      <c r="K498" s="33">
        <f t="shared" si="141"/>
        <v>3.7800000000000002</v>
      </c>
    </row>
    <row r="499" spans="1:11" x14ac:dyDescent="0.3">
      <c r="A499" s="30">
        <v>1</v>
      </c>
      <c r="B499">
        <v>2</v>
      </c>
      <c r="C499">
        <v>3</v>
      </c>
      <c r="D499">
        <v>6</v>
      </c>
      <c r="E499">
        <v>2.6</v>
      </c>
      <c r="G499">
        <f t="shared" si="142"/>
        <v>2.6259999999999999</v>
      </c>
      <c r="H499">
        <f t="shared" si="138"/>
        <v>2.6520000000000001</v>
      </c>
      <c r="I499">
        <f t="shared" si="139"/>
        <v>2.6779999999999999</v>
      </c>
      <c r="J499">
        <f t="shared" si="140"/>
        <v>2.7040000000000002</v>
      </c>
      <c r="K499" s="33">
        <f t="shared" si="141"/>
        <v>2.73</v>
      </c>
    </row>
    <row r="500" spans="1:11" x14ac:dyDescent="0.3">
      <c r="A500" s="30">
        <v>2</v>
      </c>
      <c r="B500">
        <v>1</v>
      </c>
      <c r="C500">
        <v>1</v>
      </c>
      <c r="D500">
        <v>1</v>
      </c>
      <c r="E500">
        <v>5.6</v>
      </c>
      <c r="G500">
        <f t="shared" si="142"/>
        <v>5.6559999999999997</v>
      </c>
      <c r="H500">
        <f>E500+(E500*2%)</f>
        <v>5.7119999999999997</v>
      </c>
      <c r="I500">
        <f t="shared" si="139"/>
        <v>5.7679999999999998</v>
      </c>
      <c r="J500">
        <f t="shared" si="140"/>
        <v>5.8239999999999998</v>
      </c>
      <c r="K500" s="33">
        <f t="shared" si="141"/>
        <v>5.88</v>
      </c>
    </row>
    <row r="501" spans="1:11" x14ac:dyDescent="0.3">
      <c r="A501" s="30">
        <v>2</v>
      </c>
      <c r="B501">
        <v>1</v>
      </c>
      <c r="C501">
        <v>1</v>
      </c>
      <c r="D501">
        <v>2</v>
      </c>
      <c r="E501">
        <v>2.6</v>
      </c>
      <c r="G501">
        <f t="shared" si="142"/>
        <v>2.6259999999999999</v>
      </c>
      <c r="H501">
        <f t="shared" si="138"/>
        <v>2.6520000000000001</v>
      </c>
      <c r="I501">
        <f t="shared" si="139"/>
        <v>2.6779999999999999</v>
      </c>
      <c r="J501">
        <f t="shared" si="140"/>
        <v>2.7040000000000002</v>
      </c>
      <c r="K501" s="33">
        <f t="shared" si="141"/>
        <v>2.73</v>
      </c>
    </row>
    <row r="502" spans="1:11" x14ac:dyDescent="0.3">
      <c r="A502" s="30">
        <v>2</v>
      </c>
      <c r="B502">
        <v>1</v>
      </c>
      <c r="C502">
        <v>1</v>
      </c>
      <c r="D502">
        <v>3</v>
      </c>
      <c r="E502">
        <v>5.7</v>
      </c>
      <c r="G502">
        <f t="shared" si="142"/>
        <v>5.7570000000000006</v>
      </c>
      <c r="H502">
        <f t="shared" si="138"/>
        <v>5.8140000000000001</v>
      </c>
      <c r="I502">
        <f t="shared" si="139"/>
        <v>5.8710000000000004</v>
      </c>
      <c r="J502">
        <f t="shared" si="140"/>
        <v>5.9279999999999999</v>
      </c>
      <c r="K502" s="33">
        <f t="shared" si="141"/>
        <v>5.9850000000000003</v>
      </c>
    </row>
    <row r="503" spans="1:11" x14ac:dyDescent="0.3">
      <c r="A503" s="30">
        <v>2</v>
      </c>
      <c r="B503">
        <v>1</v>
      </c>
      <c r="C503">
        <v>1</v>
      </c>
      <c r="D503">
        <v>4</v>
      </c>
      <c r="E503">
        <v>2.4</v>
      </c>
      <c r="G503">
        <f t="shared" si="142"/>
        <v>2.4239999999999999</v>
      </c>
      <c r="H503">
        <f t="shared" si="138"/>
        <v>2.448</v>
      </c>
      <c r="I503">
        <f t="shared" si="139"/>
        <v>2.472</v>
      </c>
      <c r="J503">
        <f t="shared" si="140"/>
        <v>2.496</v>
      </c>
      <c r="K503" s="33">
        <f t="shared" si="141"/>
        <v>2.52</v>
      </c>
    </row>
    <row r="504" spans="1:11" x14ac:dyDescent="0.3">
      <c r="A504" s="30">
        <v>2</v>
      </c>
      <c r="B504">
        <v>1</v>
      </c>
      <c r="C504">
        <v>1</v>
      </c>
      <c r="D504">
        <v>5</v>
      </c>
      <c r="E504">
        <v>5.2</v>
      </c>
      <c r="G504">
        <f t="shared" si="142"/>
        <v>5.2519999999999998</v>
      </c>
      <c r="H504">
        <f t="shared" si="138"/>
        <v>5.3040000000000003</v>
      </c>
      <c r="I504">
        <f t="shared" si="139"/>
        <v>5.3559999999999999</v>
      </c>
      <c r="J504">
        <f t="shared" si="140"/>
        <v>5.4080000000000004</v>
      </c>
      <c r="K504" s="33">
        <f t="shared" si="141"/>
        <v>5.46</v>
      </c>
    </row>
    <row r="505" spans="1:11" x14ac:dyDescent="0.3">
      <c r="A505" s="30">
        <v>2</v>
      </c>
      <c r="B505">
        <v>1</v>
      </c>
      <c r="C505">
        <v>1</v>
      </c>
      <c r="D505">
        <v>6</v>
      </c>
      <c r="E505">
        <v>4.5999999999999996</v>
      </c>
      <c r="G505">
        <f t="shared" si="142"/>
        <v>4.6459999999999999</v>
      </c>
      <c r="H505">
        <f t="shared" si="138"/>
        <v>4.6919999999999993</v>
      </c>
      <c r="I505">
        <f t="shared" si="139"/>
        <v>4.7379999999999995</v>
      </c>
      <c r="J505">
        <f t="shared" si="140"/>
        <v>4.7839999999999998</v>
      </c>
      <c r="K505" s="33">
        <f t="shared" si="141"/>
        <v>4.83</v>
      </c>
    </row>
    <row r="506" spans="1:11" x14ac:dyDescent="0.3">
      <c r="A506" s="30">
        <v>2</v>
      </c>
      <c r="B506">
        <v>1</v>
      </c>
      <c r="C506">
        <v>2</v>
      </c>
      <c r="D506">
        <v>1</v>
      </c>
      <c r="E506">
        <v>4.0999999999999996</v>
      </c>
      <c r="G506">
        <f>E506+(E506*1%)</f>
        <v>4.141</v>
      </c>
      <c r="H506">
        <f t="shared" si="138"/>
        <v>4.1819999999999995</v>
      </c>
      <c r="I506">
        <f t="shared" si="139"/>
        <v>4.2229999999999999</v>
      </c>
      <c r="J506">
        <f t="shared" si="140"/>
        <v>4.2639999999999993</v>
      </c>
      <c r="K506" s="33">
        <f t="shared" si="141"/>
        <v>4.3049999999999997</v>
      </c>
    </row>
    <row r="507" spans="1:11" x14ac:dyDescent="0.3">
      <c r="A507" s="30">
        <v>2</v>
      </c>
      <c r="B507">
        <v>1</v>
      </c>
      <c r="C507">
        <v>2</v>
      </c>
      <c r="D507">
        <v>2</v>
      </c>
      <c r="E507">
        <v>3.3</v>
      </c>
      <c r="G507">
        <f t="shared" si="142"/>
        <v>3.3329999999999997</v>
      </c>
      <c r="H507">
        <f t="shared" si="138"/>
        <v>3.3659999999999997</v>
      </c>
      <c r="I507">
        <f t="shared" si="139"/>
        <v>3.399</v>
      </c>
      <c r="J507">
        <f t="shared" si="140"/>
        <v>3.4319999999999999</v>
      </c>
      <c r="K507" s="33">
        <f t="shared" si="141"/>
        <v>3.4649999999999999</v>
      </c>
    </row>
    <row r="508" spans="1:11" x14ac:dyDescent="0.3">
      <c r="A508" s="30">
        <v>2</v>
      </c>
      <c r="B508">
        <v>1</v>
      </c>
      <c r="C508">
        <v>2</v>
      </c>
      <c r="D508">
        <v>3</v>
      </c>
      <c r="E508">
        <v>2.6</v>
      </c>
      <c r="G508">
        <f t="shared" si="142"/>
        <v>2.6259999999999999</v>
      </c>
      <c r="H508">
        <f t="shared" si="138"/>
        <v>2.6520000000000001</v>
      </c>
      <c r="I508">
        <f t="shared" si="139"/>
        <v>2.6779999999999999</v>
      </c>
      <c r="J508">
        <f t="shared" si="140"/>
        <v>2.7040000000000002</v>
      </c>
      <c r="K508" s="33">
        <f t="shared" si="141"/>
        <v>2.73</v>
      </c>
    </row>
    <row r="509" spans="1:11" x14ac:dyDescent="0.3">
      <c r="A509" s="30">
        <v>2</v>
      </c>
      <c r="B509">
        <v>1</v>
      </c>
      <c r="C509">
        <v>2</v>
      </c>
      <c r="D509">
        <v>4</v>
      </c>
      <c r="E509">
        <v>2.1</v>
      </c>
      <c r="G509">
        <f t="shared" si="142"/>
        <v>2.121</v>
      </c>
      <c r="H509">
        <f t="shared" si="138"/>
        <v>2.1419999999999999</v>
      </c>
      <c r="I509">
        <f t="shared" si="139"/>
        <v>2.1630000000000003</v>
      </c>
      <c r="J509">
        <f t="shared" si="140"/>
        <v>2.1840000000000002</v>
      </c>
      <c r="K509" s="33">
        <f t="shared" si="141"/>
        <v>2.2050000000000001</v>
      </c>
    </row>
    <row r="510" spans="1:11" x14ac:dyDescent="0.3">
      <c r="A510" s="30">
        <v>2</v>
      </c>
      <c r="B510">
        <v>1</v>
      </c>
      <c r="C510">
        <v>2</v>
      </c>
      <c r="D510">
        <v>5</v>
      </c>
      <c r="E510">
        <v>2.7</v>
      </c>
      <c r="G510">
        <f t="shared" si="142"/>
        <v>2.7270000000000003</v>
      </c>
      <c r="H510">
        <f t="shared" si="138"/>
        <v>2.754</v>
      </c>
      <c r="I510">
        <f t="shared" si="139"/>
        <v>2.7810000000000001</v>
      </c>
      <c r="J510">
        <f t="shared" si="140"/>
        <v>2.8080000000000003</v>
      </c>
      <c r="K510" s="33">
        <f t="shared" si="141"/>
        <v>2.835</v>
      </c>
    </row>
    <row r="511" spans="1:11" x14ac:dyDescent="0.3">
      <c r="A511" s="30">
        <v>2</v>
      </c>
      <c r="B511">
        <v>1</v>
      </c>
      <c r="C511">
        <v>2</v>
      </c>
      <c r="D511">
        <v>6</v>
      </c>
      <c r="E511">
        <v>1.9</v>
      </c>
      <c r="G511">
        <f t="shared" si="142"/>
        <v>1.9189999999999998</v>
      </c>
      <c r="H511">
        <f t="shared" si="138"/>
        <v>1.9379999999999999</v>
      </c>
      <c r="I511">
        <f t="shared" si="139"/>
        <v>1.9569999999999999</v>
      </c>
      <c r="J511">
        <f t="shared" si="140"/>
        <v>1.976</v>
      </c>
      <c r="K511" s="33">
        <f t="shared" si="141"/>
        <v>1.9949999999999999</v>
      </c>
    </row>
    <row r="512" spans="1:11" x14ac:dyDescent="0.3">
      <c r="A512" s="30">
        <v>2</v>
      </c>
      <c r="B512">
        <v>1</v>
      </c>
      <c r="C512">
        <v>3</v>
      </c>
      <c r="D512">
        <v>1</v>
      </c>
      <c r="E512">
        <v>5.6</v>
      </c>
      <c r="G512">
        <f t="shared" si="142"/>
        <v>5.6559999999999997</v>
      </c>
      <c r="H512">
        <f t="shared" si="138"/>
        <v>5.7119999999999997</v>
      </c>
      <c r="I512">
        <f>E512+(E512*3%)</f>
        <v>5.7679999999999998</v>
      </c>
      <c r="J512">
        <f t="shared" si="140"/>
        <v>5.8239999999999998</v>
      </c>
      <c r="K512" s="33">
        <f t="shared" si="141"/>
        <v>5.88</v>
      </c>
    </row>
    <row r="513" spans="1:11" x14ac:dyDescent="0.3">
      <c r="A513" s="30">
        <v>2</v>
      </c>
      <c r="B513">
        <v>1</v>
      </c>
      <c r="C513">
        <v>3</v>
      </c>
      <c r="D513">
        <v>2</v>
      </c>
      <c r="E513">
        <v>2.5</v>
      </c>
      <c r="G513">
        <f t="shared" si="142"/>
        <v>2.5249999999999999</v>
      </c>
      <c r="H513">
        <f t="shared" si="138"/>
        <v>2.5499999999999998</v>
      </c>
      <c r="I513">
        <f t="shared" si="139"/>
        <v>2.5750000000000002</v>
      </c>
      <c r="J513">
        <f t="shared" si="140"/>
        <v>2.6</v>
      </c>
      <c r="K513" s="33">
        <f t="shared" si="141"/>
        <v>2.625</v>
      </c>
    </row>
    <row r="514" spans="1:11" x14ac:dyDescent="0.3">
      <c r="A514" s="30">
        <v>2</v>
      </c>
      <c r="B514">
        <v>1</v>
      </c>
      <c r="C514">
        <v>3</v>
      </c>
      <c r="D514">
        <v>3</v>
      </c>
      <c r="E514">
        <v>1.6</v>
      </c>
      <c r="G514">
        <f t="shared" si="142"/>
        <v>1.6160000000000001</v>
      </c>
      <c r="H514">
        <f t="shared" si="138"/>
        <v>1.6320000000000001</v>
      </c>
      <c r="I514">
        <f t="shared" si="139"/>
        <v>1.6480000000000001</v>
      </c>
      <c r="J514">
        <f t="shared" si="140"/>
        <v>1.6640000000000001</v>
      </c>
      <c r="K514" s="33">
        <f t="shared" si="141"/>
        <v>1.6800000000000002</v>
      </c>
    </row>
    <row r="515" spans="1:11" x14ac:dyDescent="0.3">
      <c r="A515" s="30">
        <v>2</v>
      </c>
      <c r="B515">
        <v>1</v>
      </c>
      <c r="C515">
        <v>3</v>
      </c>
      <c r="D515">
        <v>4</v>
      </c>
      <c r="E515">
        <v>3.7</v>
      </c>
      <c r="G515">
        <f t="shared" si="142"/>
        <v>3.7370000000000001</v>
      </c>
      <c r="H515">
        <f t="shared" si="138"/>
        <v>3.774</v>
      </c>
      <c r="I515">
        <f t="shared" si="139"/>
        <v>3.8110000000000004</v>
      </c>
      <c r="J515">
        <f t="shared" si="140"/>
        <v>3.8480000000000003</v>
      </c>
      <c r="K515" s="33">
        <f t="shared" si="141"/>
        <v>3.8850000000000002</v>
      </c>
    </row>
    <row r="516" spans="1:11" x14ac:dyDescent="0.3">
      <c r="A516" s="30">
        <v>2</v>
      </c>
      <c r="B516">
        <v>1</v>
      </c>
      <c r="C516">
        <v>3</v>
      </c>
      <c r="D516">
        <v>5</v>
      </c>
      <c r="E516">
        <v>3.8</v>
      </c>
      <c r="G516">
        <f t="shared" si="142"/>
        <v>3.8379999999999996</v>
      </c>
      <c r="H516">
        <f t="shared" si="138"/>
        <v>3.8759999999999999</v>
      </c>
      <c r="I516">
        <f t="shared" si="139"/>
        <v>3.9139999999999997</v>
      </c>
      <c r="J516">
        <f t="shared" si="140"/>
        <v>3.952</v>
      </c>
      <c r="K516" s="33">
        <f t="shared" si="141"/>
        <v>3.9899999999999998</v>
      </c>
    </row>
    <row r="517" spans="1:11" x14ac:dyDescent="0.3">
      <c r="A517" s="30">
        <v>2</v>
      </c>
      <c r="B517">
        <v>1</v>
      </c>
      <c r="C517">
        <v>3</v>
      </c>
      <c r="D517">
        <v>6</v>
      </c>
      <c r="E517">
        <v>4.5999999999999996</v>
      </c>
      <c r="G517">
        <f t="shared" si="142"/>
        <v>4.6459999999999999</v>
      </c>
      <c r="H517">
        <f t="shared" si="138"/>
        <v>4.6919999999999993</v>
      </c>
      <c r="I517">
        <f t="shared" si="139"/>
        <v>4.7379999999999995</v>
      </c>
      <c r="J517">
        <f t="shared" si="140"/>
        <v>4.7839999999999998</v>
      </c>
      <c r="K517" s="33">
        <f t="shared" si="141"/>
        <v>4.83</v>
      </c>
    </row>
    <row r="518" spans="1:11" x14ac:dyDescent="0.3">
      <c r="A518" s="30">
        <v>2</v>
      </c>
      <c r="B518">
        <v>2</v>
      </c>
      <c r="C518">
        <v>1</v>
      </c>
      <c r="D518">
        <v>1</v>
      </c>
      <c r="E518">
        <v>4.2</v>
      </c>
      <c r="G518">
        <f>E518+(E518*1%)</f>
        <v>4.242</v>
      </c>
      <c r="H518">
        <f t="shared" si="138"/>
        <v>4.2839999999999998</v>
      </c>
      <c r="I518">
        <f t="shared" si="139"/>
        <v>4.3260000000000005</v>
      </c>
      <c r="J518">
        <f t="shared" si="140"/>
        <v>4.3680000000000003</v>
      </c>
      <c r="K518" s="33">
        <f t="shared" si="141"/>
        <v>4.41</v>
      </c>
    </row>
    <row r="519" spans="1:11" x14ac:dyDescent="0.3">
      <c r="A519" s="30">
        <v>2</v>
      </c>
      <c r="B519">
        <v>2</v>
      </c>
      <c r="C519">
        <v>1</v>
      </c>
      <c r="D519">
        <v>2</v>
      </c>
      <c r="E519">
        <v>4.5</v>
      </c>
      <c r="G519">
        <f t="shared" si="142"/>
        <v>4.5449999999999999</v>
      </c>
      <c r="H519">
        <f t="shared" si="138"/>
        <v>4.59</v>
      </c>
      <c r="I519">
        <f t="shared" si="139"/>
        <v>4.6349999999999998</v>
      </c>
      <c r="J519">
        <f t="shared" si="140"/>
        <v>4.68</v>
      </c>
      <c r="K519" s="33">
        <f t="shared" si="141"/>
        <v>4.7249999999999996</v>
      </c>
    </row>
    <row r="520" spans="1:11" x14ac:dyDescent="0.3">
      <c r="A520" s="30">
        <v>2</v>
      </c>
      <c r="B520">
        <v>2</v>
      </c>
      <c r="C520">
        <v>1</v>
      </c>
      <c r="D520">
        <v>3</v>
      </c>
      <c r="E520">
        <v>2.5</v>
      </c>
      <c r="G520">
        <f t="shared" si="142"/>
        <v>2.5249999999999999</v>
      </c>
      <c r="H520">
        <f t="shared" si="138"/>
        <v>2.5499999999999998</v>
      </c>
      <c r="I520">
        <f t="shared" si="139"/>
        <v>2.5750000000000002</v>
      </c>
      <c r="J520">
        <f t="shared" si="140"/>
        <v>2.6</v>
      </c>
      <c r="K520" s="33">
        <f t="shared" si="141"/>
        <v>2.625</v>
      </c>
    </row>
    <row r="521" spans="1:11" x14ac:dyDescent="0.3">
      <c r="A521" s="30">
        <v>2</v>
      </c>
      <c r="B521">
        <v>2</v>
      </c>
      <c r="C521">
        <v>1</v>
      </c>
      <c r="D521">
        <v>4</v>
      </c>
      <c r="E521">
        <v>2.8</v>
      </c>
      <c r="G521">
        <f t="shared" si="142"/>
        <v>2.8279999999999998</v>
      </c>
      <c r="H521">
        <f t="shared" si="138"/>
        <v>2.8559999999999999</v>
      </c>
      <c r="I521">
        <f t="shared" si="139"/>
        <v>2.8839999999999999</v>
      </c>
      <c r="J521">
        <f t="shared" si="140"/>
        <v>2.9119999999999999</v>
      </c>
      <c r="K521" s="33">
        <f t="shared" si="141"/>
        <v>2.94</v>
      </c>
    </row>
    <row r="522" spans="1:11" x14ac:dyDescent="0.3">
      <c r="A522" s="30">
        <v>2</v>
      </c>
      <c r="B522">
        <v>2</v>
      </c>
      <c r="C522">
        <v>1</v>
      </c>
      <c r="D522">
        <v>5</v>
      </c>
      <c r="E522">
        <v>1.7</v>
      </c>
      <c r="G522">
        <f t="shared" si="142"/>
        <v>1.7169999999999999</v>
      </c>
      <c r="H522">
        <f t="shared" si="138"/>
        <v>1.734</v>
      </c>
      <c r="I522">
        <f t="shared" si="139"/>
        <v>1.7509999999999999</v>
      </c>
      <c r="J522">
        <f t="shared" si="140"/>
        <v>1.768</v>
      </c>
      <c r="K522" s="33">
        <f t="shared" si="141"/>
        <v>1.7849999999999999</v>
      </c>
    </row>
    <row r="523" spans="1:11" x14ac:dyDescent="0.3">
      <c r="A523" s="30">
        <v>2</v>
      </c>
      <c r="B523">
        <v>2</v>
      </c>
      <c r="C523">
        <v>1</v>
      </c>
      <c r="D523">
        <v>6</v>
      </c>
      <c r="E523">
        <v>3.8</v>
      </c>
      <c r="G523">
        <f t="shared" si="142"/>
        <v>3.8379999999999996</v>
      </c>
      <c r="H523">
        <f t="shared" si="138"/>
        <v>3.8759999999999999</v>
      </c>
      <c r="I523">
        <f t="shared" si="139"/>
        <v>3.9139999999999997</v>
      </c>
      <c r="J523">
        <f t="shared" si="140"/>
        <v>3.952</v>
      </c>
      <c r="K523" s="33">
        <f t="shared" si="141"/>
        <v>3.9899999999999998</v>
      </c>
    </row>
    <row r="524" spans="1:11" x14ac:dyDescent="0.3">
      <c r="A524" s="30">
        <v>2</v>
      </c>
      <c r="B524">
        <v>2</v>
      </c>
      <c r="C524">
        <v>2</v>
      </c>
      <c r="D524">
        <v>1</v>
      </c>
      <c r="E524">
        <v>3.6</v>
      </c>
      <c r="G524">
        <f t="shared" si="142"/>
        <v>3.6360000000000001</v>
      </c>
      <c r="H524">
        <f t="shared" si="138"/>
        <v>3.6720000000000002</v>
      </c>
      <c r="I524">
        <f t="shared" si="139"/>
        <v>3.7080000000000002</v>
      </c>
      <c r="J524">
        <f t="shared" si="140"/>
        <v>3.7440000000000002</v>
      </c>
      <c r="K524" s="33">
        <f>E524+(E524*5%)</f>
        <v>3.7800000000000002</v>
      </c>
    </row>
    <row r="525" spans="1:11" x14ac:dyDescent="0.3">
      <c r="A525" s="30">
        <v>2</v>
      </c>
      <c r="B525">
        <v>2</v>
      </c>
      <c r="C525">
        <v>2</v>
      </c>
      <c r="D525">
        <v>2</v>
      </c>
      <c r="E525">
        <v>4.0999999999999996</v>
      </c>
      <c r="G525">
        <f t="shared" si="142"/>
        <v>4.141</v>
      </c>
      <c r="H525">
        <f t="shared" si="138"/>
        <v>4.1819999999999995</v>
      </c>
      <c r="I525">
        <f t="shared" si="139"/>
        <v>4.2229999999999999</v>
      </c>
      <c r="J525">
        <f t="shared" si="140"/>
        <v>4.2639999999999993</v>
      </c>
      <c r="K525" s="33">
        <f t="shared" si="141"/>
        <v>4.3049999999999997</v>
      </c>
    </row>
    <row r="526" spans="1:11" x14ac:dyDescent="0.3">
      <c r="A526" s="30">
        <v>2</v>
      </c>
      <c r="B526">
        <v>2</v>
      </c>
      <c r="C526">
        <v>2</v>
      </c>
      <c r="D526">
        <v>3</v>
      </c>
      <c r="E526">
        <v>2.8</v>
      </c>
      <c r="G526">
        <f t="shared" si="142"/>
        <v>2.8279999999999998</v>
      </c>
      <c r="H526">
        <f t="shared" si="138"/>
        <v>2.8559999999999999</v>
      </c>
      <c r="I526">
        <f t="shared" si="139"/>
        <v>2.8839999999999999</v>
      </c>
      <c r="J526">
        <f t="shared" si="140"/>
        <v>2.9119999999999999</v>
      </c>
      <c r="K526" s="33">
        <f t="shared" si="141"/>
        <v>2.94</v>
      </c>
    </row>
    <row r="527" spans="1:11" x14ac:dyDescent="0.3">
      <c r="A527" s="30">
        <v>2</v>
      </c>
      <c r="B527">
        <v>2</v>
      </c>
      <c r="C527">
        <v>2</v>
      </c>
      <c r="D527">
        <v>4</v>
      </c>
      <c r="E527">
        <v>2.5</v>
      </c>
      <c r="G527">
        <f t="shared" si="142"/>
        <v>2.5249999999999999</v>
      </c>
      <c r="H527">
        <f t="shared" si="138"/>
        <v>2.5499999999999998</v>
      </c>
      <c r="I527">
        <f t="shared" si="139"/>
        <v>2.5750000000000002</v>
      </c>
      <c r="J527">
        <f t="shared" si="140"/>
        <v>2.6</v>
      </c>
      <c r="K527" s="33">
        <f t="shared" si="141"/>
        <v>2.625</v>
      </c>
    </row>
    <row r="528" spans="1:11" x14ac:dyDescent="0.3">
      <c r="A528" s="30">
        <v>2</v>
      </c>
      <c r="B528">
        <v>2</v>
      </c>
      <c r="C528">
        <v>2</v>
      </c>
      <c r="D528">
        <v>5</v>
      </c>
      <c r="E528">
        <v>1.9</v>
      </c>
      <c r="G528">
        <f t="shared" si="142"/>
        <v>1.9189999999999998</v>
      </c>
      <c r="H528">
        <f t="shared" si="138"/>
        <v>1.9379999999999999</v>
      </c>
      <c r="I528">
        <f t="shared" si="139"/>
        <v>1.9569999999999999</v>
      </c>
      <c r="J528">
        <f t="shared" si="140"/>
        <v>1.976</v>
      </c>
      <c r="K528" s="33">
        <f t="shared" si="141"/>
        <v>1.9949999999999999</v>
      </c>
    </row>
    <row r="529" spans="1:11" x14ac:dyDescent="0.3">
      <c r="A529" s="30">
        <v>2</v>
      </c>
      <c r="B529">
        <v>2</v>
      </c>
      <c r="C529">
        <v>2</v>
      </c>
      <c r="D529">
        <v>6</v>
      </c>
      <c r="E529">
        <v>4.2</v>
      </c>
      <c r="G529">
        <f t="shared" si="142"/>
        <v>4.242</v>
      </c>
      <c r="H529">
        <f t="shared" ref="H529:H592" si="143">E529+(E529*2%)</f>
        <v>4.2839999999999998</v>
      </c>
      <c r="I529">
        <f t="shared" ref="I529:I592" si="144">E529+(E529*3%)</f>
        <v>4.3260000000000005</v>
      </c>
      <c r="J529">
        <f t="shared" ref="J529:J592" si="145">E529+(E529*4%)</f>
        <v>4.3680000000000003</v>
      </c>
      <c r="K529" s="33">
        <f t="shared" ref="K529:K592" si="146">E529+(E529*5%)</f>
        <v>4.41</v>
      </c>
    </row>
    <row r="530" spans="1:11" x14ac:dyDescent="0.3">
      <c r="A530" s="30">
        <v>2</v>
      </c>
      <c r="B530">
        <v>2</v>
      </c>
      <c r="C530">
        <v>3</v>
      </c>
      <c r="D530">
        <v>1</v>
      </c>
      <c r="E530">
        <v>4.5999999999999996</v>
      </c>
      <c r="G530">
        <f t="shared" si="142"/>
        <v>4.6459999999999999</v>
      </c>
      <c r="H530">
        <f t="shared" si="143"/>
        <v>4.6919999999999993</v>
      </c>
      <c r="I530">
        <f t="shared" si="144"/>
        <v>4.7379999999999995</v>
      </c>
      <c r="J530">
        <f t="shared" si="145"/>
        <v>4.7839999999999998</v>
      </c>
      <c r="K530" s="33">
        <f t="shared" si="146"/>
        <v>4.83</v>
      </c>
    </row>
    <row r="531" spans="1:11" x14ac:dyDescent="0.3">
      <c r="A531" s="30">
        <v>2</v>
      </c>
      <c r="B531">
        <v>2</v>
      </c>
      <c r="C531">
        <v>3</v>
      </c>
      <c r="D531">
        <v>2</v>
      </c>
      <c r="E531">
        <v>5.0999999999999996</v>
      </c>
      <c r="G531">
        <f t="shared" si="142"/>
        <v>5.1509999999999998</v>
      </c>
      <c r="H531">
        <f t="shared" si="143"/>
        <v>5.202</v>
      </c>
      <c r="I531">
        <f t="shared" si="144"/>
        <v>5.2529999999999992</v>
      </c>
      <c r="J531">
        <f t="shared" si="145"/>
        <v>5.3039999999999994</v>
      </c>
      <c r="K531" s="33">
        <f t="shared" si="146"/>
        <v>5.3549999999999995</v>
      </c>
    </row>
    <row r="532" spans="1:11" x14ac:dyDescent="0.3">
      <c r="A532" s="30">
        <v>2</v>
      </c>
      <c r="B532">
        <v>2</v>
      </c>
      <c r="C532">
        <v>3</v>
      </c>
      <c r="D532">
        <v>3</v>
      </c>
      <c r="E532">
        <v>3.7</v>
      </c>
      <c r="G532">
        <f t="shared" si="142"/>
        <v>3.7370000000000001</v>
      </c>
      <c r="H532">
        <f t="shared" si="143"/>
        <v>3.774</v>
      </c>
      <c r="I532">
        <f t="shared" si="144"/>
        <v>3.8110000000000004</v>
      </c>
      <c r="J532">
        <f t="shared" si="145"/>
        <v>3.8480000000000003</v>
      </c>
      <c r="K532" s="33">
        <f t="shared" si="146"/>
        <v>3.8850000000000002</v>
      </c>
    </row>
    <row r="533" spans="1:11" x14ac:dyDescent="0.3">
      <c r="A533" s="30">
        <v>2</v>
      </c>
      <c r="B533">
        <v>2</v>
      </c>
      <c r="C533">
        <v>3</v>
      </c>
      <c r="D533">
        <v>4</v>
      </c>
      <c r="E533">
        <v>1.6</v>
      </c>
      <c r="G533">
        <f t="shared" si="142"/>
        <v>1.6160000000000001</v>
      </c>
      <c r="H533">
        <f t="shared" si="143"/>
        <v>1.6320000000000001</v>
      </c>
      <c r="I533">
        <f t="shared" si="144"/>
        <v>1.6480000000000001</v>
      </c>
      <c r="J533">
        <f t="shared" si="145"/>
        <v>1.6640000000000001</v>
      </c>
      <c r="K533" s="33">
        <f t="shared" si="146"/>
        <v>1.6800000000000002</v>
      </c>
    </row>
    <row r="534" spans="1:11" x14ac:dyDescent="0.3">
      <c r="A534" s="30">
        <v>2</v>
      </c>
      <c r="B534">
        <v>2</v>
      </c>
      <c r="C534">
        <v>3</v>
      </c>
      <c r="D534">
        <v>5</v>
      </c>
      <c r="E534">
        <v>2.5</v>
      </c>
      <c r="G534">
        <f t="shared" si="142"/>
        <v>2.5249999999999999</v>
      </c>
      <c r="H534">
        <f t="shared" si="143"/>
        <v>2.5499999999999998</v>
      </c>
      <c r="I534">
        <f t="shared" si="144"/>
        <v>2.5750000000000002</v>
      </c>
      <c r="J534">
        <f t="shared" si="145"/>
        <v>2.6</v>
      </c>
      <c r="K534" s="33">
        <f t="shared" si="146"/>
        <v>2.625</v>
      </c>
    </row>
    <row r="535" spans="1:11" x14ac:dyDescent="0.3">
      <c r="A535" s="30">
        <v>2</v>
      </c>
      <c r="B535">
        <v>2</v>
      </c>
      <c r="C535">
        <v>3</v>
      </c>
      <c r="D535">
        <v>6</v>
      </c>
      <c r="E535">
        <v>2.6</v>
      </c>
      <c r="G535">
        <f t="shared" si="142"/>
        <v>2.6259999999999999</v>
      </c>
      <c r="H535">
        <f t="shared" si="143"/>
        <v>2.6520000000000001</v>
      </c>
      <c r="I535">
        <f t="shared" si="144"/>
        <v>2.6779999999999999</v>
      </c>
      <c r="J535">
        <f t="shared" si="145"/>
        <v>2.7040000000000002</v>
      </c>
      <c r="K535" s="33">
        <f t="shared" si="146"/>
        <v>2.73</v>
      </c>
    </row>
    <row r="536" spans="1:11" x14ac:dyDescent="0.3">
      <c r="A536" s="30">
        <v>3</v>
      </c>
      <c r="B536">
        <v>1</v>
      </c>
      <c r="C536">
        <v>1</v>
      </c>
      <c r="D536">
        <v>1</v>
      </c>
      <c r="E536">
        <v>5.2</v>
      </c>
      <c r="G536">
        <f t="shared" ref="G536:G599" si="147">E536+(E536*1%)</f>
        <v>5.2519999999999998</v>
      </c>
      <c r="H536">
        <f t="shared" si="143"/>
        <v>5.3040000000000003</v>
      </c>
      <c r="I536">
        <f t="shared" si="144"/>
        <v>5.3559999999999999</v>
      </c>
      <c r="J536">
        <f t="shared" si="145"/>
        <v>5.4080000000000004</v>
      </c>
      <c r="K536" s="33">
        <f t="shared" si="146"/>
        <v>5.46</v>
      </c>
    </row>
    <row r="537" spans="1:11" x14ac:dyDescent="0.3">
      <c r="A537" s="30">
        <v>3</v>
      </c>
      <c r="B537">
        <v>1</v>
      </c>
      <c r="C537">
        <v>1</v>
      </c>
      <c r="D537">
        <v>2</v>
      </c>
      <c r="E537">
        <v>4.5999999999999996</v>
      </c>
      <c r="G537">
        <f t="shared" si="147"/>
        <v>4.6459999999999999</v>
      </c>
      <c r="H537">
        <f t="shared" si="143"/>
        <v>4.6919999999999993</v>
      </c>
      <c r="I537">
        <f t="shared" si="144"/>
        <v>4.7379999999999995</v>
      </c>
      <c r="J537">
        <f t="shared" si="145"/>
        <v>4.7839999999999998</v>
      </c>
      <c r="K537" s="33">
        <f t="shared" si="146"/>
        <v>4.83</v>
      </c>
    </row>
    <row r="538" spans="1:11" x14ac:dyDescent="0.3">
      <c r="A538" s="30">
        <v>3</v>
      </c>
      <c r="B538">
        <v>1</v>
      </c>
      <c r="C538">
        <v>1</v>
      </c>
      <c r="D538">
        <v>3</v>
      </c>
      <c r="E538">
        <v>2.6</v>
      </c>
      <c r="G538">
        <f t="shared" si="147"/>
        <v>2.6259999999999999</v>
      </c>
      <c r="H538">
        <f t="shared" si="143"/>
        <v>2.6520000000000001</v>
      </c>
      <c r="I538">
        <f t="shared" si="144"/>
        <v>2.6779999999999999</v>
      </c>
      <c r="J538">
        <f t="shared" si="145"/>
        <v>2.7040000000000002</v>
      </c>
      <c r="K538" s="33">
        <f t="shared" si="146"/>
        <v>2.73</v>
      </c>
    </row>
    <row r="539" spans="1:11" x14ac:dyDescent="0.3">
      <c r="A539" s="30">
        <v>3</v>
      </c>
      <c r="B539">
        <v>1</v>
      </c>
      <c r="C539">
        <v>1</v>
      </c>
      <c r="D539">
        <v>4</v>
      </c>
      <c r="E539">
        <v>2.9</v>
      </c>
      <c r="G539">
        <f t="shared" si="147"/>
        <v>2.9289999999999998</v>
      </c>
      <c r="H539">
        <f t="shared" si="143"/>
        <v>2.9579999999999997</v>
      </c>
      <c r="I539">
        <f t="shared" si="144"/>
        <v>2.9870000000000001</v>
      </c>
      <c r="J539">
        <f t="shared" si="145"/>
        <v>3.016</v>
      </c>
      <c r="K539" s="33">
        <f t="shared" si="146"/>
        <v>3.0449999999999999</v>
      </c>
    </row>
    <row r="540" spans="1:11" x14ac:dyDescent="0.3">
      <c r="A540" s="30">
        <v>3</v>
      </c>
      <c r="B540">
        <v>1</v>
      </c>
      <c r="C540">
        <v>1</v>
      </c>
      <c r="D540">
        <v>5</v>
      </c>
      <c r="E540">
        <v>1.4</v>
      </c>
      <c r="G540">
        <f t="shared" si="147"/>
        <v>1.4139999999999999</v>
      </c>
      <c r="H540">
        <f t="shared" si="143"/>
        <v>1.4279999999999999</v>
      </c>
      <c r="I540">
        <f t="shared" si="144"/>
        <v>1.4419999999999999</v>
      </c>
      <c r="J540">
        <f t="shared" si="145"/>
        <v>1.456</v>
      </c>
      <c r="K540" s="33">
        <f t="shared" si="146"/>
        <v>1.47</v>
      </c>
    </row>
    <row r="541" spans="1:11" x14ac:dyDescent="0.3">
      <c r="A541" s="30">
        <v>3</v>
      </c>
      <c r="B541">
        <v>1</v>
      </c>
      <c r="C541">
        <v>1</v>
      </c>
      <c r="D541">
        <v>6</v>
      </c>
      <c r="E541">
        <v>3.6</v>
      </c>
      <c r="G541">
        <f t="shared" si="147"/>
        <v>3.6360000000000001</v>
      </c>
      <c r="H541">
        <f t="shared" si="143"/>
        <v>3.6720000000000002</v>
      </c>
      <c r="I541">
        <f t="shared" si="144"/>
        <v>3.7080000000000002</v>
      </c>
      <c r="J541">
        <f t="shared" si="145"/>
        <v>3.7440000000000002</v>
      </c>
      <c r="K541" s="33">
        <f t="shared" si="146"/>
        <v>3.7800000000000002</v>
      </c>
    </row>
    <row r="542" spans="1:11" x14ac:dyDescent="0.3">
      <c r="A542" s="30">
        <v>3</v>
      </c>
      <c r="B542">
        <v>1</v>
      </c>
      <c r="C542">
        <v>2</v>
      </c>
      <c r="D542">
        <v>1</v>
      </c>
      <c r="E542">
        <v>2.6</v>
      </c>
      <c r="G542">
        <f t="shared" si="147"/>
        <v>2.6259999999999999</v>
      </c>
      <c r="H542">
        <f t="shared" si="143"/>
        <v>2.6520000000000001</v>
      </c>
      <c r="I542">
        <f t="shared" si="144"/>
        <v>2.6779999999999999</v>
      </c>
      <c r="J542">
        <f t="shared" si="145"/>
        <v>2.7040000000000002</v>
      </c>
      <c r="K542" s="33">
        <f t="shared" si="146"/>
        <v>2.73</v>
      </c>
    </row>
    <row r="543" spans="1:11" x14ac:dyDescent="0.3">
      <c r="A543" s="30">
        <v>3</v>
      </c>
      <c r="B543">
        <v>1</v>
      </c>
      <c r="C543">
        <v>2</v>
      </c>
      <c r="D543">
        <v>2</v>
      </c>
      <c r="E543">
        <v>4.5999999999999996</v>
      </c>
      <c r="G543">
        <f t="shared" si="147"/>
        <v>4.6459999999999999</v>
      </c>
      <c r="H543">
        <f t="shared" si="143"/>
        <v>4.6919999999999993</v>
      </c>
      <c r="I543">
        <f t="shared" si="144"/>
        <v>4.7379999999999995</v>
      </c>
      <c r="J543">
        <f t="shared" si="145"/>
        <v>4.7839999999999998</v>
      </c>
      <c r="K543" s="33">
        <f t="shared" si="146"/>
        <v>4.83</v>
      </c>
    </row>
    <row r="544" spans="1:11" x14ac:dyDescent="0.3">
      <c r="A544" s="30">
        <v>3</v>
      </c>
      <c r="B544">
        <v>1</v>
      </c>
      <c r="C544">
        <v>2</v>
      </c>
      <c r="D544">
        <v>3</v>
      </c>
      <c r="E544">
        <v>3.7</v>
      </c>
      <c r="G544">
        <f t="shared" si="147"/>
        <v>3.7370000000000001</v>
      </c>
      <c r="H544">
        <f t="shared" si="143"/>
        <v>3.774</v>
      </c>
      <c r="I544">
        <f t="shared" si="144"/>
        <v>3.8110000000000004</v>
      </c>
      <c r="J544">
        <f t="shared" si="145"/>
        <v>3.8480000000000003</v>
      </c>
      <c r="K544" s="33">
        <f t="shared" si="146"/>
        <v>3.8850000000000002</v>
      </c>
    </row>
    <row r="545" spans="1:11" x14ac:dyDescent="0.3">
      <c r="A545" s="30">
        <v>3</v>
      </c>
      <c r="B545">
        <v>1</v>
      </c>
      <c r="C545">
        <v>2</v>
      </c>
      <c r="D545">
        <v>4</v>
      </c>
      <c r="E545">
        <v>2.7</v>
      </c>
      <c r="G545">
        <f t="shared" si="147"/>
        <v>2.7270000000000003</v>
      </c>
      <c r="H545">
        <f t="shared" si="143"/>
        <v>2.754</v>
      </c>
      <c r="I545">
        <f t="shared" si="144"/>
        <v>2.7810000000000001</v>
      </c>
      <c r="J545">
        <f t="shared" si="145"/>
        <v>2.8080000000000003</v>
      </c>
      <c r="K545" s="33">
        <f t="shared" si="146"/>
        <v>2.835</v>
      </c>
    </row>
    <row r="546" spans="1:11" x14ac:dyDescent="0.3">
      <c r="A546" s="30">
        <v>3</v>
      </c>
      <c r="B546">
        <v>1</v>
      </c>
      <c r="C546">
        <v>2</v>
      </c>
      <c r="D546">
        <v>5</v>
      </c>
      <c r="E546">
        <v>2.6</v>
      </c>
      <c r="G546">
        <f t="shared" si="147"/>
        <v>2.6259999999999999</v>
      </c>
      <c r="H546">
        <f t="shared" si="143"/>
        <v>2.6520000000000001</v>
      </c>
      <c r="I546">
        <f t="shared" si="144"/>
        <v>2.6779999999999999</v>
      </c>
      <c r="J546">
        <f t="shared" si="145"/>
        <v>2.7040000000000002</v>
      </c>
      <c r="K546" s="33">
        <f t="shared" si="146"/>
        <v>2.73</v>
      </c>
    </row>
    <row r="547" spans="1:11" x14ac:dyDescent="0.3">
      <c r="A547" s="30">
        <v>3</v>
      </c>
      <c r="B547">
        <v>1</v>
      </c>
      <c r="C547">
        <v>2</v>
      </c>
      <c r="D547">
        <v>6</v>
      </c>
      <c r="E547">
        <v>2.7</v>
      </c>
      <c r="G547">
        <f t="shared" si="147"/>
        <v>2.7270000000000003</v>
      </c>
      <c r="H547">
        <f t="shared" si="143"/>
        <v>2.754</v>
      </c>
      <c r="I547">
        <f t="shared" si="144"/>
        <v>2.7810000000000001</v>
      </c>
      <c r="J547">
        <f t="shared" si="145"/>
        <v>2.8080000000000003</v>
      </c>
      <c r="K547" s="33">
        <f t="shared" si="146"/>
        <v>2.835</v>
      </c>
    </row>
    <row r="548" spans="1:11" x14ac:dyDescent="0.3">
      <c r="A548" s="30">
        <v>3</v>
      </c>
      <c r="B548">
        <v>1</v>
      </c>
      <c r="C548">
        <v>3</v>
      </c>
      <c r="D548">
        <v>1</v>
      </c>
      <c r="E548">
        <v>2.7</v>
      </c>
      <c r="G548">
        <f t="shared" si="147"/>
        <v>2.7270000000000003</v>
      </c>
      <c r="H548">
        <f t="shared" si="143"/>
        <v>2.754</v>
      </c>
      <c r="I548">
        <f t="shared" si="144"/>
        <v>2.7810000000000001</v>
      </c>
      <c r="J548">
        <f t="shared" si="145"/>
        <v>2.8080000000000003</v>
      </c>
      <c r="K548" s="33">
        <f t="shared" si="146"/>
        <v>2.835</v>
      </c>
    </row>
    <row r="549" spans="1:11" x14ac:dyDescent="0.3">
      <c r="A549" s="30">
        <v>3</v>
      </c>
      <c r="B549">
        <v>1</v>
      </c>
      <c r="C549">
        <v>3</v>
      </c>
      <c r="D549">
        <v>2</v>
      </c>
      <c r="E549">
        <v>2.8</v>
      </c>
      <c r="G549">
        <f t="shared" si="147"/>
        <v>2.8279999999999998</v>
      </c>
      <c r="H549">
        <f t="shared" si="143"/>
        <v>2.8559999999999999</v>
      </c>
      <c r="I549">
        <f t="shared" si="144"/>
        <v>2.8839999999999999</v>
      </c>
      <c r="J549">
        <f t="shared" si="145"/>
        <v>2.9119999999999999</v>
      </c>
      <c r="K549" s="33">
        <f t="shared" si="146"/>
        <v>2.94</v>
      </c>
    </row>
    <row r="550" spans="1:11" x14ac:dyDescent="0.3">
      <c r="A550" s="30">
        <v>3</v>
      </c>
      <c r="B550">
        <v>1</v>
      </c>
      <c r="C550">
        <v>3</v>
      </c>
      <c r="D550">
        <v>3</v>
      </c>
      <c r="E550">
        <v>4.2</v>
      </c>
      <c r="G550">
        <f t="shared" si="147"/>
        <v>4.242</v>
      </c>
      <c r="H550">
        <f t="shared" si="143"/>
        <v>4.2839999999999998</v>
      </c>
      <c r="I550">
        <f t="shared" si="144"/>
        <v>4.3260000000000005</v>
      </c>
      <c r="J550">
        <f t="shared" si="145"/>
        <v>4.3680000000000003</v>
      </c>
      <c r="K550" s="33">
        <f t="shared" si="146"/>
        <v>4.41</v>
      </c>
    </row>
    <row r="551" spans="1:11" x14ac:dyDescent="0.3">
      <c r="A551" s="30">
        <v>3</v>
      </c>
      <c r="B551">
        <v>1</v>
      </c>
      <c r="C551">
        <v>3</v>
      </c>
      <c r="D551">
        <v>4</v>
      </c>
      <c r="E551">
        <v>3.7</v>
      </c>
      <c r="G551">
        <f t="shared" si="147"/>
        <v>3.7370000000000001</v>
      </c>
      <c r="H551">
        <f t="shared" si="143"/>
        <v>3.774</v>
      </c>
      <c r="I551">
        <f t="shared" si="144"/>
        <v>3.8110000000000004</v>
      </c>
      <c r="J551">
        <f t="shared" si="145"/>
        <v>3.8480000000000003</v>
      </c>
      <c r="K551" s="33">
        <f t="shared" si="146"/>
        <v>3.8850000000000002</v>
      </c>
    </row>
    <row r="552" spans="1:11" x14ac:dyDescent="0.3">
      <c r="A552" s="30">
        <v>3</v>
      </c>
      <c r="B552">
        <v>1</v>
      </c>
      <c r="C552">
        <v>3</v>
      </c>
      <c r="D552">
        <v>5</v>
      </c>
      <c r="E552">
        <v>5.3</v>
      </c>
      <c r="G552">
        <f t="shared" si="147"/>
        <v>5.3529999999999998</v>
      </c>
      <c r="H552">
        <f t="shared" si="143"/>
        <v>5.4059999999999997</v>
      </c>
      <c r="I552">
        <f t="shared" si="144"/>
        <v>5.4589999999999996</v>
      </c>
      <c r="J552">
        <f t="shared" si="145"/>
        <v>5.5119999999999996</v>
      </c>
      <c r="K552" s="33">
        <f t="shared" si="146"/>
        <v>5.5649999999999995</v>
      </c>
    </row>
    <row r="553" spans="1:11" x14ac:dyDescent="0.3">
      <c r="A553" s="30">
        <v>3</v>
      </c>
      <c r="B553">
        <v>1</v>
      </c>
      <c r="C553">
        <v>3</v>
      </c>
      <c r="D553">
        <v>6</v>
      </c>
      <c r="E553">
        <v>2.9</v>
      </c>
      <c r="G553">
        <f t="shared" si="147"/>
        <v>2.9289999999999998</v>
      </c>
      <c r="H553">
        <f t="shared" si="143"/>
        <v>2.9579999999999997</v>
      </c>
      <c r="I553">
        <f t="shared" si="144"/>
        <v>2.9870000000000001</v>
      </c>
      <c r="J553">
        <f t="shared" si="145"/>
        <v>3.016</v>
      </c>
      <c r="K553" s="33">
        <f t="shared" si="146"/>
        <v>3.0449999999999999</v>
      </c>
    </row>
    <row r="554" spans="1:11" x14ac:dyDescent="0.3">
      <c r="A554" s="30">
        <v>3</v>
      </c>
      <c r="B554">
        <v>2</v>
      </c>
      <c r="C554">
        <v>1</v>
      </c>
      <c r="D554">
        <v>1</v>
      </c>
      <c r="E554">
        <v>4.7</v>
      </c>
      <c r="G554">
        <f t="shared" si="147"/>
        <v>4.7469999999999999</v>
      </c>
      <c r="H554">
        <f t="shared" si="143"/>
        <v>4.7940000000000005</v>
      </c>
      <c r="I554">
        <f t="shared" si="144"/>
        <v>4.8410000000000002</v>
      </c>
      <c r="J554">
        <f t="shared" si="145"/>
        <v>4.8879999999999999</v>
      </c>
      <c r="K554" s="33">
        <f t="shared" si="146"/>
        <v>4.9350000000000005</v>
      </c>
    </row>
    <row r="555" spans="1:11" x14ac:dyDescent="0.3">
      <c r="A555" s="30">
        <v>3</v>
      </c>
      <c r="B555">
        <v>2</v>
      </c>
      <c r="C555">
        <v>1</v>
      </c>
      <c r="D555">
        <v>2</v>
      </c>
      <c r="E555">
        <v>3.7</v>
      </c>
      <c r="G555">
        <f t="shared" si="147"/>
        <v>3.7370000000000001</v>
      </c>
      <c r="H555">
        <f t="shared" si="143"/>
        <v>3.774</v>
      </c>
      <c r="I555">
        <f t="shared" si="144"/>
        <v>3.8110000000000004</v>
      </c>
      <c r="J555">
        <f t="shared" si="145"/>
        <v>3.8480000000000003</v>
      </c>
      <c r="K555" s="33">
        <f t="shared" si="146"/>
        <v>3.8850000000000002</v>
      </c>
    </row>
    <row r="556" spans="1:11" x14ac:dyDescent="0.3">
      <c r="A556" s="30">
        <v>3</v>
      </c>
      <c r="B556">
        <v>2</v>
      </c>
      <c r="C556">
        <v>1</v>
      </c>
      <c r="D556">
        <v>3</v>
      </c>
      <c r="E556">
        <v>3.8</v>
      </c>
      <c r="G556">
        <f t="shared" si="147"/>
        <v>3.8379999999999996</v>
      </c>
      <c r="H556">
        <f t="shared" si="143"/>
        <v>3.8759999999999999</v>
      </c>
      <c r="I556">
        <f t="shared" si="144"/>
        <v>3.9139999999999997</v>
      </c>
      <c r="J556">
        <f t="shared" si="145"/>
        <v>3.952</v>
      </c>
      <c r="K556" s="33">
        <f t="shared" si="146"/>
        <v>3.9899999999999998</v>
      </c>
    </row>
    <row r="557" spans="1:11" x14ac:dyDescent="0.3">
      <c r="A557" s="30">
        <v>3</v>
      </c>
      <c r="B557">
        <v>2</v>
      </c>
      <c r="C557">
        <v>1</v>
      </c>
      <c r="D557">
        <v>4</v>
      </c>
      <c r="E557">
        <v>1.9</v>
      </c>
      <c r="G557">
        <f t="shared" si="147"/>
        <v>1.9189999999999998</v>
      </c>
      <c r="H557">
        <f t="shared" si="143"/>
        <v>1.9379999999999999</v>
      </c>
      <c r="I557">
        <f t="shared" si="144"/>
        <v>1.9569999999999999</v>
      </c>
      <c r="J557">
        <f t="shared" si="145"/>
        <v>1.976</v>
      </c>
      <c r="K557" s="33">
        <f t="shared" si="146"/>
        <v>1.9949999999999999</v>
      </c>
    </row>
    <row r="558" spans="1:11" x14ac:dyDescent="0.3">
      <c r="A558" s="30">
        <v>3</v>
      </c>
      <c r="B558">
        <v>2</v>
      </c>
      <c r="C558">
        <v>1</v>
      </c>
      <c r="D558">
        <v>5</v>
      </c>
      <c r="E558">
        <v>2.5</v>
      </c>
      <c r="G558">
        <f t="shared" si="147"/>
        <v>2.5249999999999999</v>
      </c>
      <c r="H558">
        <f t="shared" si="143"/>
        <v>2.5499999999999998</v>
      </c>
      <c r="I558">
        <f t="shared" si="144"/>
        <v>2.5750000000000002</v>
      </c>
      <c r="J558">
        <f t="shared" si="145"/>
        <v>2.6</v>
      </c>
      <c r="K558" s="33">
        <f t="shared" si="146"/>
        <v>2.625</v>
      </c>
    </row>
    <row r="559" spans="1:11" x14ac:dyDescent="0.3">
      <c r="A559" s="30">
        <v>3</v>
      </c>
      <c r="B559">
        <v>2</v>
      </c>
      <c r="C559">
        <v>1</v>
      </c>
      <c r="D559">
        <v>6</v>
      </c>
      <c r="E559">
        <v>2.9</v>
      </c>
      <c r="G559">
        <f t="shared" si="147"/>
        <v>2.9289999999999998</v>
      </c>
      <c r="H559">
        <f t="shared" si="143"/>
        <v>2.9579999999999997</v>
      </c>
      <c r="I559">
        <f t="shared" si="144"/>
        <v>2.9870000000000001</v>
      </c>
      <c r="J559">
        <f t="shared" si="145"/>
        <v>3.016</v>
      </c>
      <c r="K559" s="33">
        <f t="shared" si="146"/>
        <v>3.0449999999999999</v>
      </c>
    </row>
    <row r="560" spans="1:11" x14ac:dyDescent="0.3">
      <c r="A560" s="30">
        <v>3</v>
      </c>
      <c r="B560">
        <v>2</v>
      </c>
      <c r="C560">
        <v>2</v>
      </c>
      <c r="D560">
        <v>1</v>
      </c>
      <c r="E560">
        <v>2.6</v>
      </c>
      <c r="G560">
        <f t="shared" si="147"/>
        <v>2.6259999999999999</v>
      </c>
      <c r="H560">
        <f t="shared" si="143"/>
        <v>2.6520000000000001</v>
      </c>
      <c r="I560">
        <f t="shared" si="144"/>
        <v>2.6779999999999999</v>
      </c>
      <c r="J560">
        <f t="shared" si="145"/>
        <v>2.7040000000000002</v>
      </c>
      <c r="K560" s="33">
        <f>E560+(E560*5%)</f>
        <v>2.73</v>
      </c>
    </row>
    <row r="561" spans="1:11" x14ac:dyDescent="0.3">
      <c r="A561" s="30">
        <v>3</v>
      </c>
      <c r="B561">
        <v>2</v>
      </c>
      <c r="C561">
        <v>2</v>
      </c>
      <c r="D561">
        <v>2</v>
      </c>
      <c r="E561">
        <v>2.1</v>
      </c>
      <c r="G561">
        <f t="shared" si="147"/>
        <v>2.121</v>
      </c>
      <c r="H561">
        <f t="shared" si="143"/>
        <v>2.1419999999999999</v>
      </c>
      <c r="I561">
        <f t="shared" si="144"/>
        <v>2.1630000000000003</v>
      </c>
      <c r="J561">
        <f t="shared" si="145"/>
        <v>2.1840000000000002</v>
      </c>
      <c r="K561" s="33">
        <f t="shared" si="146"/>
        <v>2.2050000000000001</v>
      </c>
    </row>
    <row r="562" spans="1:11" x14ac:dyDescent="0.3">
      <c r="A562" s="30">
        <v>3</v>
      </c>
      <c r="B562">
        <v>2</v>
      </c>
      <c r="C562">
        <v>2</v>
      </c>
      <c r="D562">
        <v>3</v>
      </c>
      <c r="E562">
        <v>3.2</v>
      </c>
      <c r="G562">
        <f t="shared" si="147"/>
        <v>3.2320000000000002</v>
      </c>
      <c r="H562">
        <f t="shared" si="143"/>
        <v>3.2640000000000002</v>
      </c>
      <c r="I562">
        <f t="shared" si="144"/>
        <v>3.2960000000000003</v>
      </c>
      <c r="J562">
        <f t="shared" si="145"/>
        <v>3.3280000000000003</v>
      </c>
      <c r="K562" s="33">
        <f t="shared" si="146"/>
        <v>3.3600000000000003</v>
      </c>
    </row>
    <row r="563" spans="1:11" x14ac:dyDescent="0.3">
      <c r="A563" s="30">
        <v>3</v>
      </c>
      <c r="B563">
        <v>2</v>
      </c>
      <c r="C563">
        <v>2</v>
      </c>
      <c r="D563">
        <v>4</v>
      </c>
      <c r="E563">
        <v>6.2</v>
      </c>
      <c r="G563">
        <f t="shared" si="147"/>
        <v>6.2620000000000005</v>
      </c>
      <c r="H563">
        <f t="shared" si="143"/>
        <v>6.3239999999999998</v>
      </c>
      <c r="I563">
        <f t="shared" si="144"/>
        <v>6.3860000000000001</v>
      </c>
      <c r="J563">
        <f t="shared" si="145"/>
        <v>6.4480000000000004</v>
      </c>
      <c r="K563" s="33">
        <f t="shared" si="146"/>
        <v>6.51</v>
      </c>
    </row>
    <row r="564" spans="1:11" x14ac:dyDescent="0.3">
      <c r="A564" s="30">
        <v>3</v>
      </c>
      <c r="B564">
        <v>2</v>
      </c>
      <c r="C564">
        <v>2</v>
      </c>
      <c r="D564">
        <v>5</v>
      </c>
      <c r="E564">
        <v>1.7</v>
      </c>
      <c r="G564">
        <f t="shared" si="147"/>
        <v>1.7169999999999999</v>
      </c>
      <c r="H564">
        <f t="shared" si="143"/>
        <v>1.734</v>
      </c>
      <c r="I564">
        <f t="shared" si="144"/>
        <v>1.7509999999999999</v>
      </c>
      <c r="J564">
        <f t="shared" si="145"/>
        <v>1.768</v>
      </c>
      <c r="K564" s="33">
        <f t="shared" si="146"/>
        <v>1.7849999999999999</v>
      </c>
    </row>
    <row r="565" spans="1:11" x14ac:dyDescent="0.3">
      <c r="A565" s="30">
        <v>3</v>
      </c>
      <c r="B565">
        <v>2</v>
      </c>
      <c r="C565">
        <v>2</v>
      </c>
      <c r="D565">
        <v>6</v>
      </c>
      <c r="E565">
        <v>1.5</v>
      </c>
      <c r="G565">
        <f t="shared" si="147"/>
        <v>1.5149999999999999</v>
      </c>
      <c r="H565">
        <f t="shared" si="143"/>
        <v>1.53</v>
      </c>
      <c r="I565">
        <f t="shared" si="144"/>
        <v>1.5449999999999999</v>
      </c>
      <c r="J565">
        <f t="shared" si="145"/>
        <v>1.56</v>
      </c>
      <c r="K565" s="33">
        <f t="shared" si="146"/>
        <v>1.575</v>
      </c>
    </row>
    <row r="566" spans="1:11" x14ac:dyDescent="0.3">
      <c r="A566" s="30">
        <v>3</v>
      </c>
      <c r="B566">
        <v>2</v>
      </c>
      <c r="C566">
        <v>3</v>
      </c>
      <c r="D566">
        <v>1</v>
      </c>
      <c r="E566">
        <v>1.3</v>
      </c>
      <c r="G566">
        <f>E566+(E566*1%)</f>
        <v>1.3129999999999999</v>
      </c>
      <c r="H566">
        <f t="shared" si="143"/>
        <v>1.3260000000000001</v>
      </c>
      <c r="I566">
        <f t="shared" si="144"/>
        <v>1.339</v>
      </c>
      <c r="J566">
        <f t="shared" si="145"/>
        <v>1.3520000000000001</v>
      </c>
      <c r="K566" s="33">
        <f t="shared" si="146"/>
        <v>1.365</v>
      </c>
    </row>
    <row r="567" spans="1:11" x14ac:dyDescent="0.3">
      <c r="A567" s="30">
        <v>3</v>
      </c>
      <c r="B567">
        <v>2</v>
      </c>
      <c r="C567">
        <v>3</v>
      </c>
      <c r="D567">
        <v>2</v>
      </c>
      <c r="E567">
        <v>1.8</v>
      </c>
      <c r="G567">
        <f t="shared" si="147"/>
        <v>1.8180000000000001</v>
      </c>
      <c r="H567">
        <f t="shared" si="143"/>
        <v>1.8360000000000001</v>
      </c>
      <c r="I567">
        <f t="shared" si="144"/>
        <v>1.8540000000000001</v>
      </c>
      <c r="J567">
        <f t="shared" si="145"/>
        <v>1.8720000000000001</v>
      </c>
      <c r="K567" s="33">
        <f t="shared" si="146"/>
        <v>1.8900000000000001</v>
      </c>
    </row>
    <row r="568" spans="1:11" x14ac:dyDescent="0.3">
      <c r="A568" s="30">
        <v>3</v>
      </c>
      <c r="B568">
        <v>2</v>
      </c>
      <c r="C568">
        <v>3</v>
      </c>
      <c r="D568">
        <v>3</v>
      </c>
      <c r="E568">
        <v>4.0999999999999996</v>
      </c>
      <c r="G568">
        <f t="shared" si="147"/>
        <v>4.141</v>
      </c>
      <c r="H568">
        <f t="shared" si="143"/>
        <v>4.1819999999999995</v>
      </c>
      <c r="I568">
        <f t="shared" si="144"/>
        <v>4.2229999999999999</v>
      </c>
      <c r="J568">
        <f t="shared" si="145"/>
        <v>4.2639999999999993</v>
      </c>
      <c r="K568" s="33">
        <f t="shared" si="146"/>
        <v>4.3049999999999997</v>
      </c>
    </row>
    <row r="569" spans="1:11" x14ac:dyDescent="0.3">
      <c r="A569" s="30">
        <v>3</v>
      </c>
      <c r="B569">
        <v>2</v>
      </c>
      <c r="C569">
        <v>3</v>
      </c>
      <c r="D569">
        <v>4</v>
      </c>
      <c r="E569">
        <v>3.6</v>
      </c>
      <c r="G569">
        <f t="shared" si="147"/>
        <v>3.6360000000000001</v>
      </c>
      <c r="H569">
        <f t="shared" si="143"/>
        <v>3.6720000000000002</v>
      </c>
      <c r="I569">
        <f t="shared" si="144"/>
        <v>3.7080000000000002</v>
      </c>
      <c r="J569">
        <f t="shared" si="145"/>
        <v>3.7440000000000002</v>
      </c>
      <c r="K569" s="33">
        <f t="shared" si="146"/>
        <v>3.7800000000000002</v>
      </c>
    </row>
    <row r="570" spans="1:11" x14ac:dyDescent="0.3">
      <c r="A570" s="30">
        <v>3</v>
      </c>
      <c r="B570">
        <v>2</v>
      </c>
      <c r="C570">
        <v>3</v>
      </c>
      <c r="D570">
        <v>5</v>
      </c>
      <c r="E570">
        <v>3.4</v>
      </c>
      <c r="G570">
        <f t="shared" si="147"/>
        <v>3.4339999999999997</v>
      </c>
      <c r="H570">
        <f t="shared" si="143"/>
        <v>3.468</v>
      </c>
      <c r="I570">
        <f t="shared" si="144"/>
        <v>3.5019999999999998</v>
      </c>
      <c r="J570">
        <f t="shared" si="145"/>
        <v>3.536</v>
      </c>
      <c r="K570" s="33">
        <f t="shared" si="146"/>
        <v>3.57</v>
      </c>
    </row>
    <row r="571" spans="1:11" x14ac:dyDescent="0.3">
      <c r="A571" s="30">
        <v>3</v>
      </c>
      <c r="B571">
        <v>2</v>
      </c>
      <c r="C571">
        <v>3</v>
      </c>
      <c r="D571">
        <v>6</v>
      </c>
      <c r="E571">
        <v>2.5</v>
      </c>
      <c r="G571">
        <f t="shared" si="147"/>
        <v>2.5249999999999999</v>
      </c>
      <c r="H571">
        <f t="shared" si="143"/>
        <v>2.5499999999999998</v>
      </c>
      <c r="I571">
        <f t="shared" si="144"/>
        <v>2.5750000000000002</v>
      </c>
      <c r="J571">
        <f t="shared" si="145"/>
        <v>2.6</v>
      </c>
      <c r="K571" s="33">
        <f t="shared" si="146"/>
        <v>2.625</v>
      </c>
    </row>
    <row r="572" spans="1:11" x14ac:dyDescent="0.3">
      <c r="A572" s="30">
        <v>4</v>
      </c>
      <c r="B572">
        <v>1</v>
      </c>
      <c r="C572">
        <v>1</v>
      </c>
      <c r="D572">
        <v>1</v>
      </c>
      <c r="E572">
        <v>3.4</v>
      </c>
      <c r="G572">
        <f t="shared" si="147"/>
        <v>3.4339999999999997</v>
      </c>
      <c r="H572">
        <f t="shared" si="143"/>
        <v>3.468</v>
      </c>
      <c r="I572">
        <f t="shared" si="144"/>
        <v>3.5019999999999998</v>
      </c>
      <c r="J572">
        <f t="shared" si="145"/>
        <v>3.536</v>
      </c>
      <c r="K572" s="33">
        <f t="shared" si="146"/>
        <v>3.57</v>
      </c>
    </row>
    <row r="573" spans="1:11" x14ac:dyDescent="0.3">
      <c r="A573" s="30">
        <v>4</v>
      </c>
      <c r="B573">
        <v>1</v>
      </c>
      <c r="C573">
        <v>1</v>
      </c>
      <c r="D573">
        <v>2</v>
      </c>
      <c r="E573">
        <v>6.4</v>
      </c>
      <c r="G573">
        <f t="shared" si="147"/>
        <v>6.4640000000000004</v>
      </c>
      <c r="H573">
        <f t="shared" si="143"/>
        <v>6.5280000000000005</v>
      </c>
      <c r="I573">
        <f t="shared" si="144"/>
        <v>6.5920000000000005</v>
      </c>
      <c r="J573">
        <f t="shared" si="145"/>
        <v>6.6560000000000006</v>
      </c>
      <c r="K573" s="33">
        <f t="shared" si="146"/>
        <v>6.7200000000000006</v>
      </c>
    </row>
    <row r="574" spans="1:11" x14ac:dyDescent="0.3">
      <c r="A574" s="30">
        <v>4</v>
      </c>
      <c r="B574">
        <v>1</v>
      </c>
      <c r="C574">
        <v>1</v>
      </c>
      <c r="D574">
        <v>3</v>
      </c>
      <c r="E574">
        <v>4.5999999999999996</v>
      </c>
      <c r="G574">
        <f t="shared" si="147"/>
        <v>4.6459999999999999</v>
      </c>
      <c r="H574">
        <f t="shared" si="143"/>
        <v>4.6919999999999993</v>
      </c>
      <c r="I574">
        <f t="shared" si="144"/>
        <v>4.7379999999999995</v>
      </c>
      <c r="J574">
        <f t="shared" si="145"/>
        <v>4.7839999999999998</v>
      </c>
      <c r="K574" s="33">
        <f t="shared" si="146"/>
        <v>4.83</v>
      </c>
    </row>
    <row r="575" spans="1:11" x14ac:dyDescent="0.3">
      <c r="A575" s="30">
        <v>4</v>
      </c>
      <c r="B575">
        <v>1</v>
      </c>
      <c r="C575">
        <v>1</v>
      </c>
      <c r="D575">
        <v>4</v>
      </c>
      <c r="E575">
        <v>2.4</v>
      </c>
      <c r="G575">
        <f t="shared" si="147"/>
        <v>2.4239999999999999</v>
      </c>
      <c r="H575">
        <f t="shared" si="143"/>
        <v>2.448</v>
      </c>
      <c r="I575">
        <f t="shared" si="144"/>
        <v>2.472</v>
      </c>
      <c r="J575">
        <f t="shared" si="145"/>
        <v>2.496</v>
      </c>
      <c r="K575" s="33">
        <f t="shared" si="146"/>
        <v>2.52</v>
      </c>
    </row>
    <row r="576" spans="1:11" x14ac:dyDescent="0.3">
      <c r="A576" s="30">
        <v>4</v>
      </c>
      <c r="B576">
        <v>1</v>
      </c>
      <c r="C576">
        <v>1</v>
      </c>
      <c r="D576">
        <v>5</v>
      </c>
      <c r="E576">
        <v>3.6</v>
      </c>
      <c r="G576">
        <f t="shared" si="147"/>
        <v>3.6360000000000001</v>
      </c>
      <c r="H576">
        <f t="shared" si="143"/>
        <v>3.6720000000000002</v>
      </c>
      <c r="I576">
        <f t="shared" si="144"/>
        <v>3.7080000000000002</v>
      </c>
      <c r="J576">
        <f t="shared" si="145"/>
        <v>3.7440000000000002</v>
      </c>
      <c r="K576" s="33">
        <f t="shared" si="146"/>
        <v>3.7800000000000002</v>
      </c>
    </row>
    <row r="577" spans="1:11" x14ac:dyDescent="0.3">
      <c r="A577" s="30">
        <v>4</v>
      </c>
      <c r="B577">
        <v>1</v>
      </c>
      <c r="C577">
        <v>1</v>
      </c>
      <c r="D577">
        <v>6</v>
      </c>
      <c r="E577">
        <v>4.5999999999999996</v>
      </c>
      <c r="G577">
        <f t="shared" si="147"/>
        <v>4.6459999999999999</v>
      </c>
      <c r="H577">
        <f t="shared" si="143"/>
        <v>4.6919999999999993</v>
      </c>
      <c r="I577">
        <f t="shared" si="144"/>
        <v>4.7379999999999995</v>
      </c>
      <c r="J577">
        <f t="shared" si="145"/>
        <v>4.7839999999999998</v>
      </c>
      <c r="K577" s="33">
        <f t="shared" si="146"/>
        <v>4.83</v>
      </c>
    </row>
    <row r="578" spans="1:11" x14ac:dyDescent="0.3">
      <c r="A578" s="30">
        <v>4</v>
      </c>
      <c r="B578">
        <v>1</v>
      </c>
      <c r="C578">
        <v>2</v>
      </c>
      <c r="D578">
        <v>1</v>
      </c>
      <c r="E578">
        <v>1.4</v>
      </c>
      <c r="G578">
        <f t="shared" si="147"/>
        <v>1.4139999999999999</v>
      </c>
      <c r="H578">
        <f t="shared" si="143"/>
        <v>1.4279999999999999</v>
      </c>
      <c r="I578">
        <f>E578+(E578*3%)</f>
        <v>1.4419999999999999</v>
      </c>
      <c r="J578">
        <f>E578+(E578*4%)</f>
        <v>1.456</v>
      </c>
      <c r="K578" s="33">
        <f t="shared" si="146"/>
        <v>1.47</v>
      </c>
    </row>
    <row r="579" spans="1:11" x14ac:dyDescent="0.3">
      <c r="A579" s="30">
        <v>4</v>
      </c>
      <c r="B579">
        <v>1</v>
      </c>
      <c r="C579">
        <v>2</v>
      </c>
      <c r="D579">
        <v>2</v>
      </c>
      <c r="E579">
        <v>3.5</v>
      </c>
      <c r="G579">
        <f t="shared" si="147"/>
        <v>3.5350000000000001</v>
      </c>
      <c r="H579">
        <f t="shared" si="143"/>
        <v>3.57</v>
      </c>
      <c r="I579">
        <f t="shared" si="144"/>
        <v>3.605</v>
      </c>
      <c r="J579">
        <f t="shared" si="145"/>
        <v>3.64</v>
      </c>
      <c r="K579" s="33">
        <f t="shared" si="146"/>
        <v>3.6749999999999998</v>
      </c>
    </row>
    <row r="580" spans="1:11" x14ac:dyDescent="0.3">
      <c r="A580" s="30">
        <v>4</v>
      </c>
      <c r="B580">
        <v>1</v>
      </c>
      <c r="C580">
        <v>2</v>
      </c>
      <c r="D580">
        <v>3</v>
      </c>
      <c r="E580">
        <v>2.6</v>
      </c>
      <c r="G580">
        <f t="shared" si="147"/>
        <v>2.6259999999999999</v>
      </c>
      <c r="H580">
        <f t="shared" si="143"/>
        <v>2.6520000000000001</v>
      </c>
      <c r="I580">
        <f t="shared" si="144"/>
        <v>2.6779999999999999</v>
      </c>
      <c r="J580">
        <f t="shared" si="145"/>
        <v>2.7040000000000002</v>
      </c>
      <c r="K580" s="33">
        <f t="shared" si="146"/>
        <v>2.73</v>
      </c>
    </row>
    <row r="581" spans="1:11" x14ac:dyDescent="0.3">
      <c r="A581" s="30">
        <v>4</v>
      </c>
      <c r="B581">
        <v>1</v>
      </c>
      <c r="C581">
        <v>2</v>
      </c>
      <c r="D581">
        <v>4</v>
      </c>
      <c r="E581">
        <v>3.6</v>
      </c>
      <c r="G581">
        <f t="shared" si="147"/>
        <v>3.6360000000000001</v>
      </c>
      <c r="H581">
        <f t="shared" si="143"/>
        <v>3.6720000000000002</v>
      </c>
      <c r="I581">
        <f t="shared" si="144"/>
        <v>3.7080000000000002</v>
      </c>
      <c r="J581">
        <f t="shared" si="145"/>
        <v>3.7440000000000002</v>
      </c>
      <c r="K581" s="33">
        <f t="shared" si="146"/>
        <v>3.7800000000000002</v>
      </c>
    </row>
    <row r="582" spans="1:11" x14ac:dyDescent="0.3">
      <c r="A582" s="30">
        <v>4</v>
      </c>
      <c r="B582">
        <v>1</v>
      </c>
      <c r="C582">
        <v>2</v>
      </c>
      <c r="D582">
        <v>5</v>
      </c>
      <c r="E582">
        <v>2.4</v>
      </c>
      <c r="G582">
        <f t="shared" si="147"/>
        <v>2.4239999999999999</v>
      </c>
      <c r="H582">
        <f t="shared" si="143"/>
        <v>2.448</v>
      </c>
      <c r="I582">
        <f t="shared" si="144"/>
        <v>2.472</v>
      </c>
      <c r="J582">
        <f t="shared" si="145"/>
        <v>2.496</v>
      </c>
      <c r="K582" s="33">
        <f t="shared" si="146"/>
        <v>2.52</v>
      </c>
    </row>
    <row r="583" spans="1:11" x14ac:dyDescent="0.3">
      <c r="A583" s="30">
        <v>4</v>
      </c>
      <c r="B583">
        <v>1</v>
      </c>
      <c r="C583">
        <v>2</v>
      </c>
      <c r="D583">
        <v>6</v>
      </c>
      <c r="E583">
        <v>5.7</v>
      </c>
      <c r="G583">
        <f t="shared" si="147"/>
        <v>5.7570000000000006</v>
      </c>
      <c r="H583">
        <f t="shared" si="143"/>
        <v>5.8140000000000001</v>
      </c>
      <c r="I583">
        <f t="shared" si="144"/>
        <v>5.8710000000000004</v>
      </c>
      <c r="J583">
        <f t="shared" si="145"/>
        <v>5.9279999999999999</v>
      </c>
      <c r="K583" s="33">
        <f t="shared" si="146"/>
        <v>5.9850000000000003</v>
      </c>
    </row>
    <row r="584" spans="1:11" x14ac:dyDescent="0.3">
      <c r="A584" s="30">
        <v>4</v>
      </c>
      <c r="B584">
        <v>1</v>
      </c>
      <c r="C584">
        <v>3</v>
      </c>
      <c r="D584">
        <v>1</v>
      </c>
      <c r="E584">
        <v>3.6</v>
      </c>
      <c r="G584">
        <f t="shared" si="147"/>
        <v>3.6360000000000001</v>
      </c>
      <c r="H584">
        <f t="shared" si="143"/>
        <v>3.6720000000000002</v>
      </c>
      <c r="I584">
        <f>E584+(E584*3%)</f>
        <v>3.7080000000000002</v>
      </c>
      <c r="J584">
        <f t="shared" si="145"/>
        <v>3.7440000000000002</v>
      </c>
      <c r="K584" s="33">
        <f t="shared" si="146"/>
        <v>3.7800000000000002</v>
      </c>
    </row>
    <row r="585" spans="1:11" x14ac:dyDescent="0.3">
      <c r="A585" s="30">
        <v>4</v>
      </c>
      <c r="B585">
        <v>1</v>
      </c>
      <c r="C585">
        <v>3</v>
      </c>
      <c r="D585">
        <v>2</v>
      </c>
      <c r="E585">
        <v>3.6</v>
      </c>
      <c r="G585">
        <f t="shared" si="147"/>
        <v>3.6360000000000001</v>
      </c>
      <c r="H585">
        <f t="shared" si="143"/>
        <v>3.6720000000000002</v>
      </c>
      <c r="I585">
        <f t="shared" si="144"/>
        <v>3.7080000000000002</v>
      </c>
      <c r="J585">
        <f t="shared" si="145"/>
        <v>3.7440000000000002</v>
      </c>
      <c r="K585" s="33">
        <f t="shared" si="146"/>
        <v>3.7800000000000002</v>
      </c>
    </row>
    <row r="586" spans="1:11" x14ac:dyDescent="0.3">
      <c r="A586" s="30">
        <v>4</v>
      </c>
      <c r="B586">
        <v>1</v>
      </c>
      <c r="C586">
        <v>3</v>
      </c>
      <c r="D586">
        <v>3</v>
      </c>
      <c r="E586">
        <v>2.7</v>
      </c>
      <c r="G586">
        <f t="shared" si="147"/>
        <v>2.7270000000000003</v>
      </c>
      <c r="H586">
        <f t="shared" si="143"/>
        <v>2.754</v>
      </c>
      <c r="I586">
        <f t="shared" si="144"/>
        <v>2.7810000000000001</v>
      </c>
      <c r="J586">
        <f t="shared" si="145"/>
        <v>2.8080000000000003</v>
      </c>
      <c r="K586" s="33">
        <f t="shared" si="146"/>
        <v>2.835</v>
      </c>
    </row>
    <row r="587" spans="1:11" x14ac:dyDescent="0.3">
      <c r="A587" s="30">
        <v>4</v>
      </c>
      <c r="B587">
        <v>1</v>
      </c>
      <c r="C587">
        <v>3</v>
      </c>
      <c r="D587">
        <v>4</v>
      </c>
      <c r="E587">
        <v>2.2000000000000002</v>
      </c>
      <c r="G587">
        <f t="shared" si="147"/>
        <v>2.222</v>
      </c>
      <c r="H587">
        <f t="shared" si="143"/>
        <v>2.2440000000000002</v>
      </c>
      <c r="I587">
        <f t="shared" si="144"/>
        <v>2.266</v>
      </c>
      <c r="J587">
        <f t="shared" si="145"/>
        <v>2.2880000000000003</v>
      </c>
      <c r="K587" s="33">
        <f t="shared" si="146"/>
        <v>2.31</v>
      </c>
    </row>
    <row r="588" spans="1:11" x14ac:dyDescent="0.3">
      <c r="A588" s="30">
        <v>4</v>
      </c>
      <c r="B588">
        <v>1</v>
      </c>
      <c r="C588">
        <v>3</v>
      </c>
      <c r="D588">
        <v>5</v>
      </c>
      <c r="E588">
        <v>2.5</v>
      </c>
      <c r="G588">
        <f t="shared" si="147"/>
        <v>2.5249999999999999</v>
      </c>
      <c r="H588">
        <f t="shared" si="143"/>
        <v>2.5499999999999998</v>
      </c>
      <c r="I588">
        <f t="shared" si="144"/>
        <v>2.5750000000000002</v>
      </c>
      <c r="J588">
        <f t="shared" si="145"/>
        <v>2.6</v>
      </c>
      <c r="K588" s="33">
        <f t="shared" si="146"/>
        <v>2.625</v>
      </c>
    </row>
    <row r="589" spans="1:11" x14ac:dyDescent="0.3">
      <c r="A589" s="30">
        <v>4</v>
      </c>
      <c r="B589">
        <v>1</v>
      </c>
      <c r="C589">
        <v>3</v>
      </c>
      <c r="D589">
        <v>6</v>
      </c>
      <c r="E589">
        <v>1.8</v>
      </c>
      <c r="G589">
        <f t="shared" si="147"/>
        <v>1.8180000000000001</v>
      </c>
      <c r="H589">
        <f t="shared" si="143"/>
        <v>1.8360000000000001</v>
      </c>
      <c r="I589">
        <f t="shared" si="144"/>
        <v>1.8540000000000001</v>
      </c>
      <c r="J589">
        <f t="shared" si="145"/>
        <v>1.8720000000000001</v>
      </c>
      <c r="K589" s="33">
        <f t="shared" si="146"/>
        <v>1.8900000000000001</v>
      </c>
    </row>
    <row r="590" spans="1:11" x14ac:dyDescent="0.3">
      <c r="A590" s="30">
        <v>4</v>
      </c>
      <c r="B590">
        <v>2</v>
      </c>
      <c r="C590">
        <v>1</v>
      </c>
      <c r="D590">
        <v>1</v>
      </c>
      <c r="E590">
        <v>1.4</v>
      </c>
      <c r="G590">
        <f>E590+(E590*1%)</f>
        <v>1.4139999999999999</v>
      </c>
      <c r="H590">
        <f>E590+(E590*2%)</f>
        <v>1.4279999999999999</v>
      </c>
      <c r="I590">
        <f>E590+(E590*3%)</f>
        <v>1.4419999999999999</v>
      </c>
      <c r="J590">
        <f t="shared" si="145"/>
        <v>1.456</v>
      </c>
      <c r="K590" s="33">
        <f t="shared" si="146"/>
        <v>1.47</v>
      </c>
    </row>
    <row r="591" spans="1:11" x14ac:dyDescent="0.3">
      <c r="A591" s="30">
        <v>4</v>
      </c>
      <c r="B591">
        <v>2</v>
      </c>
      <c r="C591">
        <v>1</v>
      </c>
      <c r="D591">
        <v>2</v>
      </c>
      <c r="E591">
        <v>1.9</v>
      </c>
      <c r="G591">
        <f t="shared" si="147"/>
        <v>1.9189999999999998</v>
      </c>
      <c r="H591">
        <f t="shared" si="143"/>
        <v>1.9379999999999999</v>
      </c>
      <c r="I591">
        <f t="shared" si="144"/>
        <v>1.9569999999999999</v>
      </c>
      <c r="J591">
        <f t="shared" si="145"/>
        <v>1.976</v>
      </c>
      <c r="K591" s="33">
        <f t="shared" si="146"/>
        <v>1.9949999999999999</v>
      </c>
    </row>
    <row r="592" spans="1:11" x14ac:dyDescent="0.3">
      <c r="A592" s="30">
        <v>4</v>
      </c>
      <c r="B592">
        <v>2</v>
      </c>
      <c r="C592">
        <v>1</v>
      </c>
      <c r="D592">
        <v>3</v>
      </c>
      <c r="E592">
        <v>2.1</v>
      </c>
      <c r="G592">
        <f t="shared" si="147"/>
        <v>2.121</v>
      </c>
      <c r="H592">
        <f t="shared" si="143"/>
        <v>2.1419999999999999</v>
      </c>
      <c r="I592">
        <f t="shared" si="144"/>
        <v>2.1630000000000003</v>
      </c>
      <c r="J592">
        <f t="shared" si="145"/>
        <v>2.1840000000000002</v>
      </c>
      <c r="K592" s="33">
        <f t="shared" si="146"/>
        <v>2.2050000000000001</v>
      </c>
    </row>
    <row r="593" spans="1:11" x14ac:dyDescent="0.3">
      <c r="A593" s="30">
        <v>4</v>
      </c>
      <c r="B593">
        <v>2</v>
      </c>
      <c r="C593">
        <v>1</v>
      </c>
      <c r="D593">
        <v>4</v>
      </c>
      <c r="E593">
        <v>3.5</v>
      </c>
      <c r="G593">
        <f t="shared" si="147"/>
        <v>3.5350000000000001</v>
      </c>
      <c r="H593">
        <f t="shared" ref="H593:H601" si="148">E593+(E593*2%)</f>
        <v>3.57</v>
      </c>
      <c r="I593">
        <f t="shared" ref="I593:I607" si="149">E593+(E593*3%)</f>
        <v>3.605</v>
      </c>
      <c r="J593">
        <f t="shared" ref="J593:J607" si="150">E593+(E593*4%)</f>
        <v>3.64</v>
      </c>
      <c r="K593" s="33">
        <f t="shared" ref="K593:K607" si="151">E593+(E593*5%)</f>
        <v>3.6749999999999998</v>
      </c>
    </row>
    <row r="594" spans="1:11" x14ac:dyDescent="0.3">
      <c r="A594" s="30">
        <v>4</v>
      </c>
      <c r="B594">
        <v>2</v>
      </c>
      <c r="C594">
        <v>1</v>
      </c>
      <c r="D594">
        <v>5</v>
      </c>
      <c r="E594">
        <v>1.4</v>
      </c>
      <c r="G594">
        <f t="shared" si="147"/>
        <v>1.4139999999999999</v>
      </c>
      <c r="H594">
        <f t="shared" si="148"/>
        <v>1.4279999999999999</v>
      </c>
      <c r="I594">
        <f t="shared" si="149"/>
        <v>1.4419999999999999</v>
      </c>
      <c r="J594">
        <f t="shared" si="150"/>
        <v>1.456</v>
      </c>
      <c r="K594" s="33">
        <f t="shared" si="151"/>
        <v>1.47</v>
      </c>
    </row>
    <row r="595" spans="1:11" x14ac:dyDescent="0.3">
      <c r="A595" s="30">
        <v>4</v>
      </c>
      <c r="B595">
        <v>2</v>
      </c>
      <c r="C595">
        <v>1</v>
      </c>
      <c r="D595">
        <v>6</v>
      </c>
      <c r="E595">
        <v>2.6</v>
      </c>
      <c r="G595">
        <f t="shared" si="147"/>
        <v>2.6259999999999999</v>
      </c>
      <c r="H595">
        <f t="shared" si="148"/>
        <v>2.6520000000000001</v>
      </c>
      <c r="I595">
        <f t="shared" si="149"/>
        <v>2.6779999999999999</v>
      </c>
      <c r="J595">
        <f t="shared" si="150"/>
        <v>2.7040000000000002</v>
      </c>
      <c r="K595" s="33">
        <f t="shared" si="151"/>
        <v>2.73</v>
      </c>
    </row>
    <row r="596" spans="1:11" x14ac:dyDescent="0.3">
      <c r="A596" s="30">
        <v>4</v>
      </c>
      <c r="B596">
        <v>2</v>
      </c>
      <c r="C596">
        <v>2</v>
      </c>
      <c r="D596">
        <v>1</v>
      </c>
      <c r="E596">
        <v>2.4</v>
      </c>
      <c r="G596">
        <f t="shared" si="147"/>
        <v>2.4239999999999999</v>
      </c>
      <c r="H596">
        <f t="shared" si="148"/>
        <v>2.448</v>
      </c>
      <c r="I596">
        <f t="shared" si="149"/>
        <v>2.472</v>
      </c>
      <c r="J596">
        <f>E596+(E596*4%)</f>
        <v>2.496</v>
      </c>
      <c r="K596" s="33">
        <f t="shared" si="151"/>
        <v>2.52</v>
      </c>
    </row>
    <row r="597" spans="1:11" x14ac:dyDescent="0.3">
      <c r="A597" s="30">
        <v>4</v>
      </c>
      <c r="B597">
        <v>2</v>
      </c>
      <c r="C597">
        <v>2</v>
      </c>
      <c r="D597">
        <v>2</v>
      </c>
      <c r="E597">
        <v>1.4</v>
      </c>
      <c r="G597">
        <f t="shared" si="147"/>
        <v>1.4139999999999999</v>
      </c>
      <c r="H597">
        <f t="shared" si="148"/>
        <v>1.4279999999999999</v>
      </c>
      <c r="I597">
        <f t="shared" si="149"/>
        <v>1.4419999999999999</v>
      </c>
      <c r="J597">
        <f t="shared" si="150"/>
        <v>1.456</v>
      </c>
      <c r="K597" s="33">
        <f t="shared" si="151"/>
        <v>1.47</v>
      </c>
    </row>
    <row r="598" spans="1:11" x14ac:dyDescent="0.3">
      <c r="A598" s="30">
        <v>4</v>
      </c>
      <c r="B598">
        <v>2</v>
      </c>
      <c r="C598">
        <v>2</v>
      </c>
      <c r="D598">
        <v>3</v>
      </c>
      <c r="E598">
        <v>5.3</v>
      </c>
      <c r="G598">
        <f t="shared" si="147"/>
        <v>5.3529999999999998</v>
      </c>
      <c r="H598">
        <f t="shared" si="148"/>
        <v>5.4059999999999997</v>
      </c>
      <c r="I598">
        <f t="shared" si="149"/>
        <v>5.4589999999999996</v>
      </c>
      <c r="J598">
        <f t="shared" si="150"/>
        <v>5.5119999999999996</v>
      </c>
      <c r="K598" s="33">
        <f t="shared" si="151"/>
        <v>5.5649999999999995</v>
      </c>
    </row>
    <row r="599" spans="1:11" x14ac:dyDescent="0.3">
      <c r="A599" s="30">
        <v>4</v>
      </c>
      <c r="B599">
        <v>2</v>
      </c>
      <c r="C599">
        <v>2</v>
      </c>
      <c r="D599">
        <v>4</v>
      </c>
      <c r="E599">
        <v>5.2</v>
      </c>
      <c r="G599">
        <f t="shared" si="147"/>
        <v>5.2519999999999998</v>
      </c>
      <c r="H599">
        <f t="shared" si="148"/>
        <v>5.3040000000000003</v>
      </c>
      <c r="I599">
        <f t="shared" si="149"/>
        <v>5.3559999999999999</v>
      </c>
      <c r="J599">
        <f t="shared" si="150"/>
        <v>5.4080000000000004</v>
      </c>
      <c r="K599" s="33">
        <f t="shared" si="151"/>
        <v>5.46</v>
      </c>
    </row>
    <row r="600" spans="1:11" x14ac:dyDescent="0.3">
      <c r="A600" s="30">
        <v>4</v>
      </c>
      <c r="B600">
        <v>2</v>
      </c>
      <c r="C600">
        <v>2</v>
      </c>
      <c r="D600">
        <v>5</v>
      </c>
      <c r="E600">
        <v>1.6</v>
      </c>
      <c r="G600">
        <f t="shared" ref="G600:G607" si="152">E600+(E600*1%)</f>
        <v>1.6160000000000001</v>
      </c>
      <c r="H600">
        <f t="shared" si="148"/>
        <v>1.6320000000000001</v>
      </c>
      <c r="I600">
        <f t="shared" si="149"/>
        <v>1.6480000000000001</v>
      </c>
      <c r="J600">
        <f t="shared" si="150"/>
        <v>1.6640000000000001</v>
      </c>
      <c r="K600" s="33">
        <f t="shared" si="151"/>
        <v>1.6800000000000002</v>
      </c>
    </row>
    <row r="601" spans="1:11" x14ac:dyDescent="0.3">
      <c r="A601" s="30">
        <v>4</v>
      </c>
      <c r="B601">
        <v>2</v>
      </c>
      <c r="C601">
        <v>2</v>
      </c>
      <c r="D601">
        <v>6</v>
      </c>
      <c r="E601">
        <v>3.4</v>
      </c>
      <c r="G601">
        <f t="shared" si="152"/>
        <v>3.4339999999999997</v>
      </c>
      <c r="H601">
        <f t="shared" si="148"/>
        <v>3.468</v>
      </c>
      <c r="I601">
        <f t="shared" si="149"/>
        <v>3.5019999999999998</v>
      </c>
      <c r="J601">
        <f t="shared" si="150"/>
        <v>3.536</v>
      </c>
      <c r="K601" s="33">
        <f t="shared" si="151"/>
        <v>3.57</v>
      </c>
    </row>
    <row r="602" spans="1:11" x14ac:dyDescent="0.3">
      <c r="A602" s="30">
        <v>4</v>
      </c>
      <c r="B602">
        <v>2</v>
      </c>
      <c r="C602">
        <v>3</v>
      </c>
      <c r="D602">
        <v>1</v>
      </c>
      <c r="E602">
        <v>5.3</v>
      </c>
      <c r="G602">
        <f t="shared" si="152"/>
        <v>5.3529999999999998</v>
      </c>
      <c r="H602">
        <f>E602+(E602*2%)</f>
        <v>5.4059999999999997</v>
      </c>
      <c r="I602">
        <f t="shared" si="149"/>
        <v>5.4589999999999996</v>
      </c>
      <c r="J602">
        <f t="shared" si="150"/>
        <v>5.5119999999999996</v>
      </c>
      <c r="K602" s="33">
        <f t="shared" si="151"/>
        <v>5.5649999999999995</v>
      </c>
    </row>
    <row r="603" spans="1:11" x14ac:dyDescent="0.3">
      <c r="A603" s="30">
        <v>4</v>
      </c>
      <c r="B603">
        <v>2</v>
      </c>
      <c r="C603">
        <v>3</v>
      </c>
      <c r="D603">
        <v>2</v>
      </c>
      <c r="E603">
        <v>2.6</v>
      </c>
      <c r="G603">
        <f t="shared" si="152"/>
        <v>2.6259999999999999</v>
      </c>
      <c r="H603">
        <f t="shared" ref="H603:H607" si="153">E603+(E603*2%)</f>
        <v>2.6520000000000001</v>
      </c>
      <c r="I603">
        <f t="shared" si="149"/>
        <v>2.6779999999999999</v>
      </c>
      <c r="J603">
        <f t="shared" si="150"/>
        <v>2.7040000000000002</v>
      </c>
      <c r="K603" s="33">
        <f t="shared" si="151"/>
        <v>2.73</v>
      </c>
    </row>
    <row r="604" spans="1:11" x14ac:dyDescent="0.3">
      <c r="A604" s="30">
        <v>4</v>
      </c>
      <c r="B604">
        <v>2</v>
      </c>
      <c r="C604">
        <v>3</v>
      </c>
      <c r="D604">
        <v>3</v>
      </c>
      <c r="E604">
        <v>2.5</v>
      </c>
      <c r="G604">
        <f t="shared" si="152"/>
        <v>2.5249999999999999</v>
      </c>
      <c r="H604">
        <f t="shared" si="153"/>
        <v>2.5499999999999998</v>
      </c>
      <c r="I604">
        <f t="shared" si="149"/>
        <v>2.5750000000000002</v>
      </c>
      <c r="J604">
        <f t="shared" si="150"/>
        <v>2.6</v>
      </c>
      <c r="K604" s="33">
        <f t="shared" si="151"/>
        <v>2.625</v>
      </c>
    </row>
    <row r="605" spans="1:11" x14ac:dyDescent="0.3">
      <c r="A605" s="30">
        <v>4</v>
      </c>
      <c r="B605">
        <v>2</v>
      </c>
      <c r="C605">
        <v>3</v>
      </c>
      <c r="D605">
        <v>4</v>
      </c>
      <c r="E605">
        <v>1.7</v>
      </c>
      <c r="G605">
        <f t="shared" si="152"/>
        <v>1.7169999999999999</v>
      </c>
      <c r="H605">
        <f t="shared" si="153"/>
        <v>1.734</v>
      </c>
      <c r="I605">
        <f t="shared" si="149"/>
        <v>1.7509999999999999</v>
      </c>
      <c r="J605">
        <f t="shared" si="150"/>
        <v>1.768</v>
      </c>
      <c r="K605" s="33">
        <f t="shared" si="151"/>
        <v>1.7849999999999999</v>
      </c>
    </row>
    <row r="606" spans="1:11" x14ac:dyDescent="0.3">
      <c r="A606" s="30">
        <v>4</v>
      </c>
      <c r="B606">
        <v>2</v>
      </c>
      <c r="C606">
        <v>3</v>
      </c>
      <c r="D606">
        <v>5</v>
      </c>
      <c r="E606">
        <v>1.5</v>
      </c>
      <c r="G606">
        <f t="shared" si="152"/>
        <v>1.5149999999999999</v>
      </c>
      <c r="H606">
        <f t="shared" si="153"/>
        <v>1.53</v>
      </c>
      <c r="I606">
        <f t="shared" si="149"/>
        <v>1.5449999999999999</v>
      </c>
      <c r="J606">
        <f t="shared" si="150"/>
        <v>1.56</v>
      </c>
      <c r="K606" s="33">
        <f t="shared" si="151"/>
        <v>1.575</v>
      </c>
    </row>
    <row r="607" spans="1:11" x14ac:dyDescent="0.3">
      <c r="A607" s="30">
        <v>4</v>
      </c>
      <c r="B607">
        <v>2</v>
      </c>
      <c r="C607">
        <v>3</v>
      </c>
      <c r="D607">
        <v>6</v>
      </c>
      <c r="E607">
        <v>5.6</v>
      </c>
      <c r="G607">
        <f t="shared" si="152"/>
        <v>5.6559999999999997</v>
      </c>
      <c r="H607">
        <f t="shared" si="153"/>
        <v>5.7119999999999997</v>
      </c>
      <c r="I607">
        <f t="shared" si="149"/>
        <v>5.7679999999999998</v>
      </c>
      <c r="J607">
        <f t="shared" si="150"/>
        <v>5.8239999999999998</v>
      </c>
      <c r="K607" s="33">
        <f t="shared" si="151"/>
        <v>5.88</v>
      </c>
    </row>
    <row r="608" spans="1:11" x14ac:dyDescent="0.3">
      <c r="A608" s="30"/>
      <c r="K608" s="33"/>
    </row>
    <row r="609" spans="1:11" x14ac:dyDescent="0.3">
      <c r="A609" s="30" t="s">
        <v>222</v>
      </c>
      <c r="B609" t="s">
        <v>160</v>
      </c>
      <c r="G609" s="16">
        <f>(G610-B610)/B610*100</f>
        <v>1.5039899879532388E-3</v>
      </c>
      <c r="H609" s="16">
        <f>(H610-B610)/B610*100</f>
        <v>3.0079799759064776E-3</v>
      </c>
      <c r="I609" s="16">
        <f>(I610-B610)/B610*100</f>
        <v>4.5119699638597162E-3</v>
      </c>
      <c r="J609" s="16">
        <f>(J610-B610)/B610*100</f>
        <v>6.0159599518129553E-3</v>
      </c>
      <c r="K609" s="32">
        <f>(K610-B610)/B610*100</f>
        <v>7.5199499397661943E-3</v>
      </c>
    </row>
    <row r="610" spans="1:11" x14ac:dyDescent="0.3">
      <c r="A610" s="30" t="s">
        <v>158</v>
      </c>
      <c r="B610" s="21">
        <v>815497.45</v>
      </c>
      <c r="C610" s="21"/>
      <c r="D610" s="21"/>
      <c r="E610" s="21"/>
      <c r="G610" s="21">
        <v>815509.71499999997</v>
      </c>
      <c r="H610" s="21">
        <v>815521.98</v>
      </c>
      <c r="I610" s="21">
        <v>815534.245</v>
      </c>
      <c r="J610" s="21">
        <v>815546.51</v>
      </c>
      <c r="K610" s="31">
        <v>815558.77500000002</v>
      </c>
    </row>
    <row r="611" spans="1:11" x14ac:dyDescent="0.3">
      <c r="A611" s="30"/>
      <c r="B611" s="21"/>
      <c r="C611" s="21"/>
      <c r="D611" s="21"/>
      <c r="E611" s="21"/>
      <c r="G611" s="15">
        <f>(G612-B612)/B612*100</f>
        <v>0</v>
      </c>
      <c r="H611" s="15">
        <f>(H612-B612)/B612*100</f>
        <v>0</v>
      </c>
      <c r="I611" s="15">
        <f>(I612-B612)/B612*100</f>
        <v>0</v>
      </c>
      <c r="J611" s="15">
        <f>(J612-B612)/B612*100</f>
        <v>0</v>
      </c>
      <c r="K611" s="56">
        <f>(K612-B612)/B612*100</f>
        <v>0</v>
      </c>
    </row>
    <row r="612" spans="1:11" x14ac:dyDescent="0.3">
      <c r="A612" s="30" t="s">
        <v>159</v>
      </c>
      <c r="B612" s="21">
        <v>4840.7044030870002</v>
      </c>
      <c r="C612" s="21"/>
      <c r="D612" s="21"/>
      <c r="E612" s="21"/>
      <c r="G612" s="21">
        <v>4840.7044030870002</v>
      </c>
      <c r="H612" s="21">
        <v>4840.7044030870002</v>
      </c>
      <c r="I612" s="21">
        <v>4840.7044030870002</v>
      </c>
      <c r="J612" s="21">
        <v>4840.7044030870002</v>
      </c>
      <c r="K612" s="31">
        <v>4840.7044030870002</v>
      </c>
    </row>
    <row r="613" spans="1:11" x14ac:dyDescent="0.3">
      <c r="A613" s="30"/>
      <c r="K613" s="33"/>
    </row>
    <row r="614" spans="1:11" x14ac:dyDescent="0.3">
      <c r="A614" s="30"/>
      <c r="K614" s="33"/>
    </row>
    <row r="615" spans="1:11" x14ac:dyDescent="0.3">
      <c r="A615" s="30"/>
      <c r="B615" t="s">
        <v>161</v>
      </c>
      <c r="G615" s="16">
        <f>(G616-B616)/B616*100</f>
        <v>1.9740720139334619E-3</v>
      </c>
      <c r="H615" s="16">
        <f>(H616-B616)/B616*100</f>
        <v>1.8382492147964466E-3</v>
      </c>
      <c r="I615" s="16">
        <f>(I616-B616)/B616*100</f>
        <v>3.77726624370203E-3</v>
      </c>
      <c r="J615" s="16">
        <f>(J616-B616)/B616*100</f>
        <v>7.4135796904847909E-3</v>
      </c>
      <c r="K615" s="32">
        <f>(K616-B616)/B616*100</f>
        <v>9.1906353599994703E-3</v>
      </c>
    </row>
    <row r="616" spans="1:11" x14ac:dyDescent="0.3">
      <c r="A616" s="30" t="s">
        <v>158</v>
      </c>
      <c r="B616" s="21">
        <v>818713.8</v>
      </c>
      <c r="C616" s="21"/>
      <c r="D616" s="21"/>
      <c r="E616" s="21"/>
      <c r="G616" s="21">
        <v>818729.96200000006</v>
      </c>
      <c r="H616" s="21">
        <v>818728.85</v>
      </c>
      <c r="I616" s="21">
        <v>818744.72499999998</v>
      </c>
      <c r="J616" s="21">
        <v>818774.49600000004</v>
      </c>
      <c r="K616" s="31">
        <v>818789.04500000004</v>
      </c>
    </row>
    <row r="617" spans="1:11" x14ac:dyDescent="0.3">
      <c r="A617" s="30"/>
      <c r="B617" s="21"/>
      <c r="C617" s="21"/>
      <c r="D617" s="21"/>
      <c r="E617" s="21"/>
      <c r="G617" s="15">
        <f>(G618-B618)/B618*100</f>
        <v>0</v>
      </c>
      <c r="H617" s="15">
        <f>(H618-B618)/B618*100</f>
        <v>3.0736965004420995E-3</v>
      </c>
      <c r="I617" s="15">
        <f>(I618-B618)/B618*100</f>
        <v>3.0736965004420995E-3</v>
      </c>
      <c r="J617" s="15">
        <f>(J618-B618)/B618*100</f>
        <v>1.4592723667334136E-3</v>
      </c>
      <c r="K617" s="56">
        <f>(K618-B618)/B618*100</f>
        <v>2.5748118546050523E-3</v>
      </c>
    </row>
    <row r="618" spans="1:11" x14ac:dyDescent="0.3">
      <c r="A618" s="30" t="s">
        <v>159</v>
      </c>
      <c r="B618" s="21">
        <v>4757.7240947110004</v>
      </c>
      <c r="C618" s="21"/>
      <c r="D618" s="21"/>
      <c r="E618" s="21"/>
      <c r="F618" t="s">
        <v>238</v>
      </c>
      <c r="G618" s="21">
        <v>4757.7240947110004</v>
      </c>
      <c r="H618" s="21">
        <v>4757.8703327100002</v>
      </c>
      <c r="I618" s="21">
        <v>4757.8703327100002</v>
      </c>
      <c r="J618" s="21">
        <v>4757.7935228639999</v>
      </c>
      <c r="K618" s="31">
        <v>4757.8465971550004</v>
      </c>
    </row>
    <row r="619" spans="1:11" x14ac:dyDescent="0.3">
      <c r="A619" s="34"/>
      <c r="B619" s="22"/>
      <c r="C619" s="22"/>
      <c r="D619" s="22"/>
      <c r="E619" s="22"/>
      <c r="F619" s="22"/>
      <c r="G619" s="22"/>
      <c r="H619" s="22"/>
      <c r="I619" s="22"/>
      <c r="J619" s="22"/>
      <c r="K619" s="40"/>
    </row>
    <row r="621" spans="1:11" x14ac:dyDescent="0.3">
      <c r="A621" s="64" t="s">
        <v>73</v>
      </c>
      <c r="B621" s="65"/>
      <c r="C621" s="65"/>
      <c r="D621" s="65"/>
      <c r="E621" s="65"/>
      <c r="F621" s="65"/>
      <c r="G621" s="65"/>
      <c r="H621" s="65"/>
      <c r="I621" s="65"/>
      <c r="J621" s="65"/>
      <c r="K621" s="66"/>
    </row>
    <row r="622" spans="1:11" x14ac:dyDescent="0.3">
      <c r="A622" s="57" t="s">
        <v>69</v>
      </c>
      <c r="K622" s="33"/>
    </row>
    <row r="623" spans="1:11" x14ac:dyDescent="0.3">
      <c r="A623" s="58" t="s">
        <v>162</v>
      </c>
      <c r="K623" s="33"/>
    </row>
    <row r="624" spans="1:11" x14ac:dyDescent="0.3">
      <c r="A624" s="58" t="s">
        <v>163</v>
      </c>
      <c r="K624" s="33"/>
    </row>
    <row r="625" spans="1:11" x14ac:dyDescent="0.3">
      <c r="A625" s="58" t="s">
        <v>164</v>
      </c>
      <c r="K625" s="33"/>
    </row>
    <row r="626" spans="1:11" x14ac:dyDescent="0.3">
      <c r="A626" s="58" t="s">
        <v>165</v>
      </c>
      <c r="K626" s="33"/>
    </row>
    <row r="627" spans="1:11" x14ac:dyDescent="0.3">
      <c r="A627" s="58" t="s">
        <v>166</v>
      </c>
      <c r="K627" s="33"/>
    </row>
    <row r="628" spans="1:11" x14ac:dyDescent="0.3">
      <c r="A628" s="30"/>
      <c r="K628" s="33"/>
    </row>
    <row r="629" spans="1:11" x14ac:dyDescent="0.3">
      <c r="A629" s="58" t="s">
        <v>28</v>
      </c>
      <c r="B629" t="s">
        <v>71</v>
      </c>
      <c r="C629" t="s">
        <v>72</v>
      </c>
      <c r="D629" t="s">
        <v>10</v>
      </c>
      <c r="E629" t="s">
        <v>70</v>
      </c>
      <c r="G629" s="20">
        <v>0.01</v>
      </c>
      <c r="H629" s="20">
        <v>0.02</v>
      </c>
      <c r="I629" s="20">
        <v>0.03</v>
      </c>
      <c r="J629" s="20">
        <v>0.04</v>
      </c>
      <c r="K629" s="55">
        <v>0.05</v>
      </c>
    </row>
    <row r="630" spans="1:11" x14ac:dyDescent="0.3">
      <c r="A630" s="30">
        <v>1</v>
      </c>
      <c r="B630">
        <v>1</v>
      </c>
      <c r="C630">
        <v>1</v>
      </c>
      <c r="D630">
        <v>1</v>
      </c>
      <c r="E630">
        <v>2.4</v>
      </c>
      <c r="G630">
        <f>E630+(E630*1%)</f>
        <v>2.4239999999999999</v>
      </c>
      <c r="H630">
        <f>E630+(E630*2%)</f>
        <v>2.448</v>
      </c>
      <c r="I630">
        <f>E630+(E630*3%)</f>
        <v>2.472</v>
      </c>
      <c r="J630">
        <f>E630+(E630*4%)</f>
        <v>2.496</v>
      </c>
      <c r="K630" s="33">
        <f>E630+(E630*5%)</f>
        <v>2.52</v>
      </c>
    </row>
    <row r="631" spans="1:11" x14ac:dyDescent="0.3">
      <c r="A631" s="30">
        <v>1</v>
      </c>
      <c r="B631">
        <v>1</v>
      </c>
      <c r="C631">
        <v>1</v>
      </c>
      <c r="D631">
        <v>2</v>
      </c>
      <c r="E631">
        <v>6.6</v>
      </c>
      <c r="G631">
        <f t="shared" ref="G631:G635" si="154">E631+(E631*1%)</f>
        <v>6.6659999999999995</v>
      </c>
      <c r="H631">
        <f t="shared" ref="H631:H635" si="155">E631+(E631*2%)</f>
        <v>6.7319999999999993</v>
      </c>
      <c r="I631">
        <f t="shared" ref="I631:I647" si="156">E631+(E631*3%)</f>
        <v>6.798</v>
      </c>
      <c r="J631">
        <f t="shared" ref="J631:J694" si="157">E631+(E631*4%)</f>
        <v>6.8639999999999999</v>
      </c>
      <c r="K631" s="33">
        <f t="shared" ref="K631:K694" si="158">E631+(E631*5%)</f>
        <v>6.93</v>
      </c>
    </row>
    <row r="632" spans="1:11" x14ac:dyDescent="0.3">
      <c r="A632" s="30">
        <v>1</v>
      </c>
      <c r="B632">
        <v>1</v>
      </c>
      <c r="C632">
        <v>1</v>
      </c>
      <c r="D632">
        <v>3</v>
      </c>
      <c r="E632">
        <v>7.4</v>
      </c>
      <c r="G632">
        <f t="shared" si="154"/>
        <v>7.4740000000000002</v>
      </c>
      <c r="H632">
        <f t="shared" si="155"/>
        <v>7.548</v>
      </c>
      <c r="I632">
        <f t="shared" si="156"/>
        <v>7.6220000000000008</v>
      </c>
      <c r="J632">
        <f t="shared" si="157"/>
        <v>7.6960000000000006</v>
      </c>
      <c r="K632" s="33">
        <f t="shared" si="158"/>
        <v>7.7700000000000005</v>
      </c>
    </row>
    <row r="633" spans="1:11" x14ac:dyDescent="0.3">
      <c r="A633" s="30">
        <v>1</v>
      </c>
      <c r="B633">
        <v>1</v>
      </c>
      <c r="C633">
        <v>1</v>
      </c>
      <c r="D633">
        <v>4</v>
      </c>
      <c r="E633">
        <v>5.8</v>
      </c>
      <c r="G633">
        <f t="shared" si="154"/>
        <v>5.8579999999999997</v>
      </c>
      <c r="H633">
        <f t="shared" si="155"/>
        <v>5.9159999999999995</v>
      </c>
      <c r="I633">
        <f t="shared" si="156"/>
        <v>5.9740000000000002</v>
      </c>
      <c r="J633">
        <f t="shared" si="157"/>
        <v>6.032</v>
      </c>
      <c r="K633" s="33">
        <f t="shared" si="158"/>
        <v>6.09</v>
      </c>
    </row>
    <row r="634" spans="1:11" x14ac:dyDescent="0.3">
      <c r="A634" s="30">
        <v>1</v>
      </c>
      <c r="B634">
        <v>1</v>
      </c>
      <c r="C634">
        <v>1</v>
      </c>
      <c r="D634">
        <v>5</v>
      </c>
      <c r="E634">
        <v>3.7</v>
      </c>
      <c r="G634">
        <f t="shared" si="154"/>
        <v>3.7370000000000001</v>
      </c>
      <c r="H634">
        <f t="shared" si="155"/>
        <v>3.774</v>
      </c>
      <c r="I634">
        <f t="shared" si="156"/>
        <v>3.8110000000000004</v>
      </c>
      <c r="J634">
        <f t="shared" si="157"/>
        <v>3.8480000000000003</v>
      </c>
      <c r="K634" s="33">
        <f t="shared" si="158"/>
        <v>3.8850000000000002</v>
      </c>
    </row>
    <row r="635" spans="1:11" x14ac:dyDescent="0.3">
      <c r="A635" s="30">
        <v>1</v>
      </c>
      <c r="B635">
        <v>1</v>
      </c>
      <c r="C635">
        <v>1</v>
      </c>
      <c r="D635">
        <v>6</v>
      </c>
      <c r="E635">
        <v>6.3</v>
      </c>
      <c r="G635">
        <f t="shared" si="154"/>
        <v>6.3629999999999995</v>
      </c>
      <c r="H635">
        <f t="shared" si="155"/>
        <v>6.4260000000000002</v>
      </c>
      <c r="I635">
        <f t="shared" si="156"/>
        <v>6.4889999999999999</v>
      </c>
      <c r="J635">
        <f t="shared" si="157"/>
        <v>6.5519999999999996</v>
      </c>
      <c r="K635" s="33">
        <f t="shared" si="158"/>
        <v>6.6150000000000002</v>
      </c>
    </row>
    <row r="636" spans="1:11" x14ac:dyDescent="0.3">
      <c r="A636" s="30">
        <v>1</v>
      </c>
      <c r="B636">
        <v>1</v>
      </c>
      <c r="C636">
        <v>2</v>
      </c>
      <c r="D636">
        <v>1</v>
      </c>
      <c r="E636">
        <v>6.8</v>
      </c>
      <c r="G636">
        <f>E636+(E636*1%)</f>
        <v>6.8679999999999994</v>
      </c>
      <c r="H636">
        <f>E636+(E636*2%)</f>
        <v>6.9359999999999999</v>
      </c>
      <c r="I636">
        <f t="shared" si="156"/>
        <v>7.0039999999999996</v>
      </c>
      <c r="J636">
        <f t="shared" si="157"/>
        <v>7.0720000000000001</v>
      </c>
      <c r="K636" s="33">
        <f t="shared" si="158"/>
        <v>7.14</v>
      </c>
    </row>
    <row r="637" spans="1:11" x14ac:dyDescent="0.3">
      <c r="A637" s="30">
        <v>1</v>
      </c>
      <c r="B637">
        <v>1</v>
      </c>
      <c r="C637">
        <v>2</v>
      </c>
      <c r="D637">
        <v>2</v>
      </c>
      <c r="E637">
        <v>4.5999999999999996</v>
      </c>
      <c r="G637">
        <f>E637+(E637*1%)</f>
        <v>4.6459999999999999</v>
      </c>
      <c r="H637">
        <f t="shared" ref="H637:H700" si="159">E637+(E637*2%)</f>
        <v>4.6919999999999993</v>
      </c>
      <c r="I637">
        <f t="shared" si="156"/>
        <v>4.7379999999999995</v>
      </c>
      <c r="J637">
        <f t="shared" si="157"/>
        <v>4.7839999999999998</v>
      </c>
      <c r="K637" s="33">
        <f t="shared" si="158"/>
        <v>4.83</v>
      </c>
    </row>
    <row r="638" spans="1:11" x14ac:dyDescent="0.3">
      <c r="A638" s="30">
        <v>1</v>
      </c>
      <c r="B638">
        <v>1</v>
      </c>
      <c r="C638">
        <v>2</v>
      </c>
      <c r="D638">
        <v>3</v>
      </c>
      <c r="E638">
        <v>5.7</v>
      </c>
      <c r="G638">
        <f t="shared" ref="G638:G701" si="160">E638+(E638*1%)</f>
        <v>5.7570000000000006</v>
      </c>
      <c r="H638">
        <f t="shared" si="159"/>
        <v>5.8140000000000001</v>
      </c>
      <c r="I638">
        <f t="shared" si="156"/>
        <v>5.8710000000000004</v>
      </c>
      <c r="J638">
        <f t="shared" si="157"/>
        <v>5.9279999999999999</v>
      </c>
      <c r="K638" s="33">
        <f t="shared" si="158"/>
        <v>5.9850000000000003</v>
      </c>
    </row>
    <row r="639" spans="1:11" x14ac:dyDescent="0.3">
      <c r="A639" s="30">
        <v>1</v>
      </c>
      <c r="B639">
        <v>1</v>
      </c>
      <c r="C639">
        <v>2</v>
      </c>
      <c r="D639">
        <v>4</v>
      </c>
      <c r="E639">
        <v>4.7</v>
      </c>
      <c r="G639">
        <f t="shared" si="160"/>
        <v>4.7469999999999999</v>
      </c>
      <c r="H639">
        <f t="shared" si="159"/>
        <v>4.7940000000000005</v>
      </c>
      <c r="I639">
        <f t="shared" si="156"/>
        <v>4.8410000000000002</v>
      </c>
      <c r="J639">
        <f t="shared" si="157"/>
        <v>4.8879999999999999</v>
      </c>
      <c r="K639" s="33">
        <f t="shared" si="158"/>
        <v>4.9350000000000005</v>
      </c>
    </row>
    <row r="640" spans="1:11" x14ac:dyDescent="0.3">
      <c r="A640" s="30">
        <v>1</v>
      </c>
      <c r="B640">
        <v>1</v>
      </c>
      <c r="C640">
        <v>2</v>
      </c>
      <c r="D640">
        <v>5</v>
      </c>
      <c r="E640">
        <v>3.6</v>
      </c>
      <c r="G640">
        <f t="shared" si="160"/>
        <v>3.6360000000000001</v>
      </c>
      <c r="H640">
        <f t="shared" si="159"/>
        <v>3.6720000000000002</v>
      </c>
      <c r="I640">
        <f t="shared" si="156"/>
        <v>3.7080000000000002</v>
      </c>
      <c r="J640">
        <f t="shared" si="157"/>
        <v>3.7440000000000002</v>
      </c>
      <c r="K640" s="33">
        <f t="shared" si="158"/>
        <v>3.7800000000000002</v>
      </c>
    </row>
    <row r="641" spans="1:11" x14ac:dyDescent="0.3">
      <c r="A641" s="30">
        <v>1</v>
      </c>
      <c r="B641">
        <v>1</v>
      </c>
      <c r="C641">
        <v>2</v>
      </c>
      <c r="D641">
        <v>6</v>
      </c>
      <c r="E641">
        <v>4.7</v>
      </c>
      <c r="G641">
        <f t="shared" si="160"/>
        <v>4.7469999999999999</v>
      </c>
      <c r="H641">
        <f t="shared" si="159"/>
        <v>4.7940000000000005</v>
      </c>
      <c r="I641">
        <f t="shared" si="156"/>
        <v>4.8410000000000002</v>
      </c>
      <c r="J641">
        <f t="shared" si="157"/>
        <v>4.8879999999999999</v>
      </c>
      <c r="K641" s="33">
        <f t="shared" si="158"/>
        <v>4.9350000000000005</v>
      </c>
    </row>
    <row r="642" spans="1:11" x14ac:dyDescent="0.3">
      <c r="A642" s="30">
        <v>1</v>
      </c>
      <c r="B642">
        <v>2</v>
      </c>
      <c r="C642">
        <v>1</v>
      </c>
      <c r="D642">
        <v>1</v>
      </c>
      <c r="E642">
        <v>5.7</v>
      </c>
      <c r="G642">
        <f t="shared" si="160"/>
        <v>5.7570000000000006</v>
      </c>
      <c r="H642">
        <f t="shared" si="159"/>
        <v>5.8140000000000001</v>
      </c>
      <c r="I642">
        <f t="shared" si="156"/>
        <v>5.8710000000000004</v>
      </c>
      <c r="J642">
        <f t="shared" si="157"/>
        <v>5.9279999999999999</v>
      </c>
      <c r="K642" s="33">
        <f t="shared" si="158"/>
        <v>5.9850000000000003</v>
      </c>
    </row>
    <row r="643" spans="1:11" x14ac:dyDescent="0.3">
      <c r="A643" s="30">
        <v>1</v>
      </c>
      <c r="B643">
        <v>2</v>
      </c>
      <c r="C643">
        <v>1</v>
      </c>
      <c r="D643">
        <v>2</v>
      </c>
      <c r="E643">
        <v>9.5</v>
      </c>
      <c r="G643">
        <f t="shared" si="160"/>
        <v>9.5950000000000006</v>
      </c>
      <c r="H643">
        <f t="shared" si="159"/>
        <v>9.69</v>
      </c>
      <c r="I643">
        <f t="shared" si="156"/>
        <v>9.7850000000000001</v>
      </c>
      <c r="J643">
        <f t="shared" si="157"/>
        <v>9.8800000000000008</v>
      </c>
      <c r="K643" s="33">
        <f t="shared" si="158"/>
        <v>9.9749999999999996</v>
      </c>
    </row>
    <row r="644" spans="1:11" x14ac:dyDescent="0.3">
      <c r="A644" s="30">
        <v>1</v>
      </c>
      <c r="B644">
        <v>2</v>
      </c>
      <c r="C644">
        <v>1</v>
      </c>
      <c r="D644">
        <v>3</v>
      </c>
      <c r="E644">
        <v>7.8</v>
      </c>
      <c r="G644">
        <f t="shared" si="160"/>
        <v>7.8780000000000001</v>
      </c>
      <c r="H644">
        <f t="shared" si="159"/>
        <v>7.9559999999999995</v>
      </c>
      <c r="I644">
        <f t="shared" si="156"/>
        <v>8.0339999999999989</v>
      </c>
      <c r="J644">
        <f t="shared" si="157"/>
        <v>8.1120000000000001</v>
      </c>
      <c r="K644" s="33">
        <f t="shared" si="158"/>
        <v>8.19</v>
      </c>
    </row>
    <row r="645" spans="1:11" x14ac:dyDescent="0.3">
      <c r="A645" s="30">
        <v>1</v>
      </c>
      <c r="B645">
        <v>2</v>
      </c>
      <c r="C645">
        <v>1</v>
      </c>
      <c r="D645">
        <v>4</v>
      </c>
      <c r="E645">
        <v>4.7</v>
      </c>
      <c r="G645">
        <f t="shared" si="160"/>
        <v>4.7469999999999999</v>
      </c>
      <c r="H645">
        <f t="shared" si="159"/>
        <v>4.7940000000000005</v>
      </c>
      <c r="I645">
        <f t="shared" si="156"/>
        <v>4.8410000000000002</v>
      </c>
      <c r="J645">
        <f t="shared" si="157"/>
        <v>4.8879999999999999</v>
      </c>
      <c r="K645" s="33">
        <f t="shared" si="158"/>
        <v>4.9350000000000005</v>
      </c>
    </row>
    <row r="646" spans="1:11" x14ac:dyDescent="0.3">
      <c r="A646" s="30">
        <v>1</v>
      </c>
      <c r="B646">
        <v>2</v>
      </c>
      <c r="C646">
        <v>1</v>
      </c>
      <c r="D646">
        <v>5</v>
      </c>
      <c r="E646">
        <v>4.8</v>
      </c>
      <c r="G646">
        <f t="shared" si="160"/>
        <v>4.8479999999999999</v>
      </c>
      <c r="H646">
        <f t="shared" si="159"/>
        <v>4.8959999999999999</v>
      </c>
      <c r="I646">
        <f t="shared" si="156"/>
        <v>4.944</v>
      </c>
      <c r="J646">
        <f t="shared" si="157"/>
        <v>4.992</v>
      </c>
      <c r="K646" s="33">
        <f t="shared" si="158"/>
        <v>5.04</v>
      </c>
    </row>
    <row r="647" spans="1:11" x14ac:dyDescent="0.3">
      <c r="A647" s="30">
        <v>1</v>
      </c>
      <c r="B647">
        <v>2</v>
      </c>
      <c r="C647">
        <v>1</v>
      </c>
      <c r="D647">
        <v>6</v>
      </c>
      <c r="E647">
        <v>5.7</v>
      </c>
      <c r="G647">
        <f t="shared" si="160"/>
        <v>5.7570000000000006</v>
      </c>
      <c r="H647">
        <f t="shared" si="159"/>
        <v>5.8140000000000001</v>
      </c>
      <c r="I647">
        <f t="shared" si="156"/>
        <v>5.8710000000000004</v>
      </c>
      <c r="J647">
        <f t="shared" si="157"/>
        <v>5.9279999999999999</v>
      </c>
      <c r="K647" s="33">
        <f t="shared" si="158"/>
        <v>5.9850000000000003</v>
      </c>
    </row>
    <row r="648" spans="1:11" x14ac:dyDescent="0.3">
      <c r="A648" s="30">
        <v>1</v>
      </c>
      <c r="B648">
        <v>2</v>
      </c>
      <c r="C648">
        <v>2</v>
      </c>
      <c r="D648">
        <v>1</v>
      </c>
      <c r="E648">
        <v>5.7</v>
      </c>
      <c r="G648">
        <f t="shared" si="160"/>
        <v>5.7570000000000006</v>
      </c>
      <c r="H648">
        <f t="shared" si="159"/>
        <v>5.8140000000000001</v>
      </c>
      <c r="I648">
        <f>E648+(E648*3%)</f>
        <v>5.8710000000000004</v>
      </c>
      <c r="J648">
        <f t="shared" si="157"/>
        <v>5.9279999999999999</v>
      </c>
      <c r="K648" s="33">
        <f t="shared" si="158"/>
        <v>5.9850000000000003</v>
      </c>
    </row>
    <row r="649" spans="1:11" x14ac:dyDescent="0.3">
      <c r="A649" s="30">
        <v>1</v>
      </c>
      <c r="B649">
        <v>2</v>
      </c>
      <c r="C649">
        <v>2</v>
      </c>
      <c r="D649">
        <v>2</v>
      </c>
      <c r="E649">
        <v>9.1999999999999993</v>
      </c>
      <c r="G649">
        <f t="shared" si="160"/>
        <v>9.2919999999999998</v>
      </c>
      <c r="H649">
        <f t="shared" si="159"/>
        <v>9.3839999999999986</v>
      </c>
      <c r="I649">
        <f t="shared" ref="I649:I701" si="161">E649+(E649*3%)</f>
        <v>9.4759999999999991</v>
      </c>
      <c r="J649">
        <f t="shared" si="157"/>
        <v>9.5679999999999996</v>
      </c>
      <c r="K649" s="33">
        <f t="shared" si="158"/>
        <v>9.66</v>
      </c>
    </row>
    <row r="650" spans="1:11" x14ac:dyDescent="0.3">
      <c r="A650" s="30">
        <v>1</v>
      </c>
      <c r="B650">
        <v>2</v>
      </c>
      <c r="C650">
        <v>2</v>
      </c>
      <c r="D650">
        <v>3</v>
      </c>
      <c r="E650">
        <v>7.9</v>
      </c>
      <c r="G650">
        <f t="shared" si="160"/>
        <v>7.9790000000000001</v>
      </c>
      <c r="H650">
        <f t="shared" si="159"/>
        <v>8.0579999999999998</v>
      </c>
      <c r="I650">
        <f t="shared" si="161"/>
        <v>8.1370000000000005</v>
      </c>
      <c r="J650">
        <f t="shared" si="157"/>
        <v>8.2160000000000011</v>
      </c>
      <c r="K650" s="33">
        <f t="shared" si="158"/>
        <v>8.2949999999999999</v>
      </c>
    </row>
    <row r="651" spans="1:11" x14ac:dyDescent="0.3">
      <c r="A651" s="30">
        <v>1</v>
      </c>
      <c r="B651">
        <v>2</v>
      </c>
      <c r="C651">
        <v>2</v>
      </c>
      <c r="D651">
        <v>4</v>
      </c>
      <c r="E651">
        <v>5.6</v>
      </c>
      <c r="G651">
        <f t="shared" si="160"/>
        <v>5.6559999999999997</v>
      </c>
      <c r="H651">
        <f t="shared" si="159"/>
        <v>5.7119999999999997</v>
      </c>
      <c r="I651">
        <f t="shared" si="161"/>
        <v>5.7679999999999998</v>
      </c>
      <c r="J651">
        <f t="shared" si="157"/>
        <v>5.8239999999999998</v>
      </c>
      <c r="K651" s="33">
        <f t="shared" si="158"/>
        <v>5.88</v>
      </c>
    </row>
    <row r="652" spans="1:11" x14ac:dyDescent="0.3">
      <c r="A652" s="30">
        <v>1</v>
      </c>
      <c r="B652">
        <v>2</v>
      </c>
      <c r="C652">
        <v>2</v>
      </c>
      <c r="D652">
        <v>5</v>
      </c>
      <c r="E652">
        <v>6.8</v>
      </c>
      <c r="G652">
        <f t="shared" si="160"/>
        <v>6.8679999999999994</v>
      </c>
      <c r="H652">
        <f t="shared" si="159"/>
        <v>6.9359999999999999</v>
      </c>
      <c r="I652">
        <f t="shared" si="161"/>
        <v>7.0039999999999996</v>
      </c>
      <c r="J652">
        <f t="shared" si="157"/>
        <v>7.0720000000000001</v>
      </c>
      <c r="K652" s="33">
        <f t="shared" si="158"/>
        <v>7.14</v>
      </c>
    </row>
    <row r="653" spans="1:11" x14ac:dyDescent="0.3">
      <c r="A653" s="30">
        <v>1</v>
      </c>
      <c r="B653">
        <v>2</v>
      </c>
      <c r="C653">
        <v>2</v>
      </c>
      <c r="D653">
        <v>6</v>
      </c>
      <c r="E653">
        <v>5.8</v>
      </c>
      <c r="G653">
        <f t="shared" si="160"/>
        <v>5.8579999999999997</v>
      </c>
      <c r="H653">
        <f t="shared" si="159"/>
        <v>5.9159999999999995</v>
      </c>
      <c r="I653">
        <f t="shared" si="161"/>
        <v>5.9740000000000002</v>
      </c>
      <c r="J653">
        <f t="shared" si="157"/>
        <v>6.032</v>
      </c>
      <c r="K653" s="33">
        <f t="shared" si="158"/>
        <v>6.09</v>
      </c>
    </row>
    <row r="654" spans="1:11" x14ac:dyDescent="0.3">
      <c r="A654" s="30">
        <v>2</v>
      </c>
      <c r="B654">
        <v>1</v>
      </c>
      <c r="C654">
        <v>1</v>
      </c>
      <c r="D654">
        <v>1</v>
      </c>
      <c r="E654">
        <v>5.7</v>
      </c>
      <c r="G654">
        <f t="shared" si="160"/>
        <v>5.7570000000000006</v>
      </c>
      <c r="H654">
        <f t="shared" si="159"/>
        <v>5.8140000000000001</v>
      </c>
      <c r="I654">
        <f t="shared" si="161"/>
        <v>5.8710000000000004</v>
      </c>
      <c r="J654">
        <f t="shared" si="157"/>
        <v>5.9279999999999999</v>
      </c>
      <c r="K654" s="33">
        <f t="shared" si="158"/>
        <v>5.9850000000000003</v>
      </c>
    </row>
    <row r="655" spans="1:11" x14ac:dyDescent="0.3">
      <c r="A655" s="30">
        <v>2</v>
      </c>
      <c r="B655">
        <v>1</v>
      </c>
      <c r="C655">
        <v>1</v>
      </c>
      <c r="D655">
        <v>2</v>
      </c>
      <c r="E655">
        <v>3.6</v>
      </c>
      <c r="G655">
        <f t="shared" si="160"/>
        <v>3.6360000000000001</v>
      </c>
      <c r="H655">
        <f t="shared" si="159"/>
        <v>3.6720000000000002</v>
      </c>
      <c r="I655">
        <f t="shared" si="161"/>
        <v>3.7080000000000002</v>
      </c>
      <c r="J655">
        <f t="shared" si="157"/>
        <v>3.7440000000000002</v>
      </c>
      <c r="K655" s="33">
        <f t="shared" si="158"/>
        <v>3.7800000000000002</v>
      </c>
    </row>
    <row r="656" spans="1:11" x14ac:dyDescent="0.3">
      <c r="A656" s="30">
        <v>2</v>
      </c>
      <c r="B656">
        <v>1</v>
      </c>
      <c r="C656">
        <v>1</v>
      </c>
      <c r="D656">
        <v>3</v>
      </c>
      <c r="E656">
        <v>7.6</v>
      </c>
      <c r="G656">
        <f t="shared" si="160"/>
        <v>7.6759999999999993</v>
      </c>
      <c r="H656">
        <f t="shared" si="159"/>
        <v>7.7519999999999998</v>
      </c>
      <c r="I656">
        <f t="shared" si="161"/>
        <v>7.8279999999999994</v>
      </c>
      <c r="J656">
        <f t="shared" si="157"/>
        <v>7.9039999999999999</v>
      </c>
      <c r="K656" s="33">
        <f t="shared" si="158"/>
        <v>7.9799999999999995</v>
      </c>
    </row>
    <row r="657" spans="1:11" x14ac:dyDescent="0.3">
      <c r="A657" s="30">
        <v>2</v>
      </c>
      <c r="B657">
        <v>1</v>
      </c>
      <c r="C657">
        <v>1</v>
      </c>
      <c r="D657">
        <v>4</v>
      </c>
      <c r="E657">
        <v>8.5</v>
      </c>
      <c r="G657">
        <f t="shared" si="160"/>
        <v>8.5850000000000009</v>
      </c>
      <c r="H657">
        <f t="shared" si="159"/>
        <v>8.67</v>
      </c>
      <c r="I657">
        <f t="shared" si="161"/>
        <v>8.7550000000000008</v>
      </c>
      <c r="J657">
        <f t="shared" si="157"/>
        <v>8.84</v>
      </c>
      <c r="K657" s="33">
        <f t="shared" si="158"/>
        <v>8.9250000000000007</v>
      </c>
    </row>
    <row r="658" spans="1:11" x14ac:dyDescent="0.3">
      <c r="A658" s="30">
        <v>2</v>
      </c>
      <c r="B658">
        <v>1</v>
      </c>
      <c r="C658">
        <v>1</v>
      </c>
      <c r="D658">
        <v>5</v>
      </c>
      <c r="E658">
        <v>7.5</v>
      </c>
      <c r="G658">
        <f t="shared" si="160"/>
        <v>7.5750000000000002</v>
      </c>
      <c r="H658">
        <f t="shared" si="159"/>
        <v>7.65</v>
      </c>
      <c r="I658">
        <f t="shared" si="161"/>
        <v>7.7249999999999996</v>
      </c>
      <c r="J658">
        <f t="shared" si="157"/>
        <v>7.8</v>
      </c>
      <c r="K658" s="33">
        <f t="shared" si="158"/>
        <v>7.875</v>
      </c>
    </row>
    <row r="659" spans="1:11" x14ac:dyDescent="0.3">
      <c r="A659" s="30">
        <v>2</v>
      </c>
      <c r="B659">
        <v>1</v>
      </c>
      <c r="C659">
        <v>1</v>
      </c>
      <c r="D659">
        <v>6</v>
      </c>
      <c r="E659">
        <v>8.5</v>
      </c>
      <c r="G659">
        <f t="shared" si="160"/>
        <v>8.5850000000000009</v>
      </c>
      <c r="H659">
        <f t="shared" si="159"/>
        <v>8.67</v>
      </c>
      <c r="I659">
        <f t="shared" si="161"/>
        <v>8.7550000000000008</v>
      </c>
      <c r="J659">
        <f t="shared" si="157"/>
        <v>8.84</v>
      </c>
      <c r="K659" s="33">
        <f t="shared" si="158"/>
        <v>8.9250000000000007</v>
      </c>
    </row>
    <row r="660" spans="1:11" x14ac:dyDescent="0.3">
      <c r="A660" s="30">
        <v>2</v>
      </c>
      <c r="B660">
        <v>1</v>
      </c>
      <c r="C660">
        <v>2</v>
      </c>
      <c r="D660">
        <v>1</v>
      </c>
      <c r="E660">
        <v>5.0999999999999996</v>
      </c>
      <c r="G660">
        <f t="shared" si="160"/>
        <v>5.1509999999999998</v>
      </c>
      <c r="H660">
        <f t="shared" si="159"/>
        <v>5.202</v>
      </c>
      <c r="I660">
        <f t="shared" si="161"/>
        <v>5.2529999999999992</v>
      </c>
      <c r="J660">
        <f t="shared" si="157"/>
        <v>5.3039999999999994</v>
      </c>
      <c r="K660" s="33">
        <f t="shared" si="158"/>
        <v>5.3549999999999995</v>
      </c>
    </row>
    <row r="661" spans="1:11" x14ac:dyDescent="0.3">
      <c r="A661" s="30">
        <v>2</v>
      </c>
      <c r="B661">
        <v>1</v>
      </c>
      <c r="C661">
        <v>2</v>
      </c>
      <c r="D661">
        <v>2</v>
      </c>
      <c r="E661">
        <v>5.3</v>
      </c>
      <c r="G661">
        <f t="shared" si="160"/>
        <v>5.3529999999999998</v>
      </c>
      <c r="H661">
        <f t="shared" si="159"/>
        <v>5.4059999999999997</v>
      </c>
      <c r="I661">
        <f t="shared" si="161"/>
        <v>5.4589999999999996</v>
      </c>
      <c r="J661">
        <f t="shared" si="157"/>
        <v>5.5119999999999996</v>
      </c>
      <c r="K661" s="33">
        <f t="shared" si="158"/>
        <v>5.5649999999999995</v>
      </c>
    </row>
    <row r="662" spans="1:11" x14ac:dyDescent="0.3">
      <c r="A662" s="30">
        <v>2</v>
      </c>
      <c r="B662">
        <v>1</v>
      </c>
      <c r="C662">
        <v>2</v>
      </c>
      <c r="D662">
        <v>3</v>
      </c>
      <c r="E662">
        <v>6.9</v>
      </c>
      <c r="G662">
        <f t="shared" si="160"/>
        <v>6.9690000000000003</v>
      </c>
      <c r="H662">
        <f t="shared" si="159"/>
        <v>7.0380000000000003</v>
      </c>
      <c r="I662">
        <f t="shared" si="161"/>
        <v>7.1070000000000002</v>
      </c>
      <c r="J662">
        <f t="shared" si="157"/>
        <v>7.1760000000000002</v>
      </c>
      <c r="K662" s="33">
        <f t="shared" si="158"/>
        <v>7.2450000000000001</v>
      </c>
    </row>
    <row r="663" spans="1:11" x14ac:dyDescent="0.3">
      <c r="A663" s="30">
        <v>2</v>
      </c>
      <c r="B663">
        <v>1</v>
      </c>
      <c r="C663">
        <v>2</v>
      </c>
      <c r="D663">
        <v>4</v>
      </c>
      <c r="E663">
        <v>6.8</v>
      </c>
      <c r="G663">
        <f t="shared" si="160"/>
        <v>6.8679999999999994</v>
      </c>
      <c r="H663">
        <f t="shared" si="159"/>
        <v>6.9359999999999999</v>
      </c>
      <c r="I663">
        <f t="shared" si="161"/>
        <v>7.0039999999999996</v>
      </c>
      <c r="J663">
        <f t="shared" si="157"/>
        <v>7.0720000000000001</v>
      </c>
      <c r="K663" s="33">
        <f t="shared" si="158"/>
        <v>7.14</v>
      </c>
    </row>
    <row r="664" spans="1:11" x14ac:dyDescent="0.3">
      <c r="A664" s="30">
        <v>2</v>
      </c>
      <c r="B664">
        <v>1</v>
      </c>
      <c r="C664">
        <v>2</v>
      </c>
      <c r="D664">
        <v>5</v>
      </c>
      <c r="E664">
        <v>3.7</v>
      </c>
      <c r="G664">
        <f t="shared" si="160"/>
        <v>3.7370000000000001</v>
      </c>
      <c r="H664">
        <f t="shared" si="159"/>
        <v>3.774</v>
      </c>
      <c r="I664">
        <f t="shared" si="161"/>
        <v>3.8110000000000004</v>
      </c>
      <c r="J664">
        <f t="shared" si="157"/>
        <v>3.8480000000000003</v>
      </c>
      <c r="K664" s="33">
        <f t="shared" si="158"/>
        <v>3.8850000000000002</v>
      </c>
    </row>
    <row r="665" spans="1:11" x14ac:dyDescent="0.3">
      <c r="A665" s="30">
        <v>2</v>
      </c>
      <c r="B665">
        <v>1</v>
      </c>
      <c r="C665">
        <v>2</v>
      </c>
      <c r="D665">
        <v>6</v>
      </c>
      <c r="E665">
        <v>4.7</v>
      </c>
      <c r="G665">
        <f t="shared" si="160"/>
        <v>4.7469999999999999</v>
      </c>
      <c r="H665">
        <f t="shared" si="159"/>
        <v>4.7940000000000005</v>
      </c>
      <c r="I665">
        <f t="shared" si="161"/>
        <v>4.8410000000000002</v>
      </c>
      <c r="J665">
        <f t="shared" si="157"/>
        <v>4.8879999999999999</v>
      </c>
      <c r="K665" s="33">
        <f t="shared" si="158"/>
        <v>4.9350000000000005</v>
      </c>
    </row>
    <row r="666" spans="1:11" x14ac:dyDescent="0.3">
      <c r="A666" s="30">
        <v>2</v>
      </c>
      <c r="B666">
        <v>2</v>
      </c>
      <c r="C666">
        <v>1</v>
      </c>
      <c r="D666">
        <v>1</v>
      </c>
      <c r="E666">
        <v>5.7</v>
      </c>
      <c r="G666">
        <f t="shared" si="160"/>
        <v>5.7570000000000006</v>
      </c>
      <c r="H666">
        <f t="shared" si="159"/>
        <v>5.8140000000000001</v>
      </c>
      <c r="I666">
        <f t="shared" si="161"/>
        <v>5.8710000000000004</v>
      </c>
      <c r="J666">
        <f t="shared" si="157"/>
        <v>5.9279999999999999</v>
      </c>
      <c r="K666" s="33">
        <f t="shared" si="158"/>
        <v>5.9850000000000003</v>
      </c>
    </row>
    <row r="667" spans="1:11" x14ac:dyDescent="0.3">
      <c r="A667" s="30">
        <v>2</v>
      </c>
      <c r="B667">
        <v>2</v>
      </c>
      <c r="C667">
        <v>1</v>
      </c>
      <c r="D667">
        <v>2</v>
      </c>
      <c r="E667">
        <v>7.7</v>
      </c>
      <c r="G667">
        <f t="shared" si="160"/>
        <v>7.7770000000000001</v>
      </c>
      <c r="H667">
        <f t="shared" si="159"/>
        <v>7.8540000000000001</v>
      </c>
      <c r="I667">
        <f t="shared" si="161"/>
        <v>7.931</v>
      </c>
      <c r="J667">
        <f t="shared" si="157"/>
        <v>8.0080000000000009</v>
      </c>
      <c r="K667" s="33">
        <f t="shared" si="158"/>
        <v>8.0850000000000009</v>
      </c>
    </row>
    <row r="668" spans="1:11" x14ac:dyDescent="0.3">
      <c r="A668" s="30">
        <v>2</v>
      </c>
      <c r="B668">
        <v>2</v>
      </c>
      <c r="C668">
        <v>1</v>
      </c>
      <c r="D668">
        <v>3</v>
      </c>
      <c r="E668">
        <v>4.7</v>
      </c>
      <c r="G668">
        <f t="shared" si="160"/>
        <v>4.7469999999999999</v>
      </c>
      <c r="H668">
        <f t="shared" si="159"/>
        <v>4.7940000000000005</v>
      </c>
      <c r="I668">
        <f t="shared" si="161"/>
        <v>4.8410000000000002</v>
      </c>
      <c r="J668">
        <f t="shared" si="157"/>
        <v>4.8879999999999999</v>
      </c>
      <c r="K668" s="33">
        <f t="shared" si="158"/>
        <v>4.9350000000000005</v>
      </c>
    </row>
    <row r="669" spans="1:11" x14ac:dyDescent="0.3">
      <c r="A669" s="30">
        <v>2</v>
      </c>
      <c r="B669">
        <v>2</v>
      </c>
      <c r="C669">
        <v>1</v>
      </c>
      <c r="D669">
        <v>4</v>
      </c>
      <c r="E669">
        <v>8.5</v>
      </c>
      <c r="G669">
        <f t="shared" si="160"/>
        <v>8.5850000000000009</v>
      </c>
      <c r="H669">
        <f t="shared" si="159"/>
        <v>8.67</v>
      </c>
      <c r="I669">
        <f t="shared" si="161"/>
        <v>8.7550000000000008</v>
      </c>
      <c r="J669">
        <f t="shared" si="157"/>
        <v>8.84</v>
      </c>
      <c r="K669" s="33">
        <f t="shared" si="158"/>
        <v>8.9250000000000007</v>
      </c>
    </row>
    <row r="670" spans="1:11" x14ac:dyDescent="0.3">
      <c r="A670" s="30">
        <v>2</v>
      </c>
      <c r="B670">
        <v>2</v>
      </c>
      <c r="C670">
        <v>1</v>
      </c>
      <c r="D670">
        <v>5</v>
      </c>
      <c r="E670">
        <v>6.8</v>
      </c>
      <c r="G670">
        <f t="shared" si="160"/>
        <v>6.8679999999999994</v>
      </c>
      <c r="H670">
        <f t="shared" si="159"/>
        <v>6.9359999999999999</v>
      </c>
      <c r="I670">
        <f t="shared" si="161"/>
        <v>7.0039999999999996</v>
      </c>
      <c r="J670">
        <f t="shared" si="157"/>
        <v>7.0720000000000001</v>
      </c>
      <c r="K670" s="33">
        <f t="shared" si="158"/>
        <v>7.14</v>
      </c>
    </row>
    <row r="671" spans="1:11" x14ac:dyDescent="0.3">
      <c r="A671" s="30">
        <v>2</v>
      </c>
      <c r="B671">
        <v>2</v>
      </c>
      <c r="C671">
        <v>1</v>
      </c>
      <c r="D671">
        <v>6</v>
      </c>
      <c r="E671">
        <v>5.7</v>
      </c>
      <c r="G671">
        <f t="shared" si="160"/>
        <v>5.7570000000000006</v>
      </c>
      <c r="H671">
        <f t="shared" si="159"/>
        <v>5.8140000000000001</v>
      </c>
      <c r="I671">
        <f t="shared" si="161"/>
        <v>5.8710000000000004</v>
      </c>
      <c r="J671">
        <f t="shared" si="157"/>
        <v>5.9279999999999999</v>
      </c>
      <c r="K671" s="33">
        <f t="shared" si="158"/>
        <v>5.9850000000000003</v>
      </c>
    </row>
    <row r="672" spans="1:11" x14ac:dyDescent="0.3">
      <c r="A672" s="30">
        <v>2</v>
      </c>
      <c r="B672">
        <v>2</v>
      </c>
      <c r="C672">
        <v>2</v>
      </c>
      <c r="D672">
        <v>1</v>
      </c>
      <c r="E672">
        <v>4.5999999999999996</v>
      </c>
      <c r="G672">
        <f t="shared" si="160"/>
        <v>4.6459999999999999</v>
      </c>
      <c r="H672">
        <f t="shared" si="159"/>
        <v>4.6919999999999993</v>
      </c>
      <c r="I672">
        <f t="shared" si="161"/>
        <v>4.7379999999999995</v>
      </c>
      <c r="J672">
        <f t="shared" si="157"/>
        <v>4.7839999999999998</v>
      </c>
      <c r="K672" s="33">
        <f t="shared" si="158"/>
        <v>4.83</v>
      </c>
    </row>
    <row r="673" spans="1:11" x14ac:dyDescent="0.3">
      <c r="A673" s="30">
        <v>2</v>
      </c>
      <c r="B673">
        <v>2</v>
      </c>
      <c r="C673">
        <v>2</v>
      </c>
      <c r="D673">
        <v>2</v>
      </c>
      <c r="E673">
        <v>5.6</v>
      </c>
      <c r="G673">
        <f t="shared" si="160"/>
        <v>5.6559999999999997</v>
      </c>
      <c r="H673">
        <f t="shared" si="159"/>
        <v>5.7119999999999997</v>
      </c>
      <c r="I673">
        <f t="shared" si="161"/>
        <v>5.7679999999999998</v>
      </c>
      <c r="J673">
        <f t="shared" si="157"/>
        <v>5.8239999999999998</v>
      </c>
      <c r="K673" s="33">
        <f t="shared" si="158"/>
        <v>5.88</v>
      </c>
    </row>
    <row r="674" spans="1:11" x14ac:dyDescent="0.3">
      <c r="A674" s="30">
        <v>2</v>
      </c>
      <c r="B674">
        <v>2</v>
      </c>
      <c r="C674">
        <v>2</v>
      </c>
      <c r="D674">
        <v>3</v>
      </c>
      <c r="E674">
        <v>4.5999999999999996</v>
      </c>
      <c r="G674">
        <f t="shared" si="160"/>
        <v>4.6459999999999999</v>
      </c>
      <c r="H674">
        <f t="shared" si="159"/>
        <v>4.6919999999999993</v>
      </c>
      <c r="I674">
        <f t="shared" si="161"/>
        <v>4.7379999999999995</v>
      </c>
      <c r="J674">
        <f t="shared" si="157"/>
        <v>4.7839999999999998</v>
      </c>
      <c r="K674" s="33">
        <f t="shared" si="158"/>
        <v>4.83</v>
      </c>
    </row>
    <row r="675" spans="1:11" x14ac:dyDescent="0.3">
      <c r="A675" s="30">
        <v>2</v>
      </c>
      <c r="B675">
        <v>2</v>
      </c>
      <c r="C675">
        <v>2</v>
      </c>
      <c r="D675">
        <v>4</v>
      </c>
      <c r="E675">
        <v>6.8</v>
      </c>
      <c r="G675">
        <f t="shared" si="160"/>
        <v>6.8679999999999994</v>
      </c>
      <c r="H675">
        <f t="shared" si="159"/>
        <v>6.9359999999999999</v>
      </c>
      <c r="I675">
        <f t="shared" si="161"/>
        <v>7.0039999999999996</v>
      </c>
      <c r="J675">
        <f t="shared" si="157"/>
        <v>7.0720000000000001</v>
      </c>
      <c r="K675" s="33">
        <f t="shared" si="158"/>
        <v>7.14</v>
      </c>
    </row>
    <row r="676" spans="1:11" x14ac:dyDescent="0.3">
      <c r="A676" s="30">
        <v>2</v>
      </c>
      <c r="B676">
        <v>2</v>
      </c>
      <c r="C676">
        <v>2</v>
      </c>
      <c r="D676">
        <v>5</v>
      </c>
      <c r="E676">
        <v>8.3000000000000007</v>
      </c>
      <c r="G676">
        <f t="shared" si="160"/>
        <v>8.3830000000000009</v>
      </c>
      <c r="H676">
        <f t="shared" si="159"/>
        <v>8.4660000000000011</v>
      </c>
      <c r="I676">
        <f t="shared" si="161"/>
        <v>8.5490000000000013</v>
      </c>
      <c r="J676">
        <f t="shared" si="157"/>
        <v>8.6320000000000014</v>
      </c>
      <c r="K676" s="33">
        <f t="shared" si="158"/>
        <v>8.7149999999999999</v>
      </c>
    </row>
    <row r="677" spans="1:11" x14ac:dyDescent="0.3">
      <c r="A677" s="30">
        <v>2</v>
      </c>
      <c r="B677">
        <v>2</v>
      </c>
      <c r="C677">
        <v>2</v>
      </c>
      <c r="D677">
        <v>6</v>
      </c>
      <c r="E677">
        <v>7.1</v>
      </c>
      <c r="G677">
        <f t="shared" si="160"/>
        <v>7.1709999999999994</v>
      </c>
      <c r="H677">
        <f t="shared" si="159"/>
        <v>7.242</v>
      </c>
      <c r="I677">
        <f t="shared" si="161"/>
        <v>7.3129999999999997</v>
      </c>
      <c r="J677">
        <f t="shared" si="157"/>
        <v>7.3839999999999995</v>
      </c>
      <c r="K677" s="33">
        <f t="shared" si="158"/>
        <v>7.4550000000000001</v>
      </c>
    </row>
    <row r="678" spans="1:11" x14ac:dyDescent="0.3">
      <c r="A678" s="30">
        <v>3</v>
      </c>
      <c r="B678">
        <v>1</v>
      </c>
      <c r="C678">
        <v>1</v>
      </c>
      <c r="D678">
        <v>1</v>
      </c>
      <c r="E678">
        <v>6.3</v>
      </c>
      <c r="G678">
        <f>E678+(E678*1%)</f>
        <v>6.3629999999999995</v>
      </c>
      <c r="H678">
        <f t="shared" si="159"/>
        <v>6.4260000000000002</v>
      </c>
      <c r="I678">
        <f t="shared" si="161"/>
        <v>6.4889999999999999</v>
      </c>
      <c r="J678">
        <f t="shared" si="157"/>
        <v>6.5519999999999996</v>
      </c>
      <c r="K678" s="33">
        <f t="shared" si="158"/>
        <v>6.6150000000000002</v>
      </c>
    </row>
    <row r="679" spans="1:11" x14ac:dyDescent="0.3">
      <c r="A679" s="30">
        <v>3</v>
      </c>
      <c r="B679">
        <v>1</v>
      </c>
      <c r="C679">
        <v>1</v>
      </c>
      <c r="D679">
        <v>2</v>
      </c>
      <c r="E679">
        <v>7.5</v>
      </c>
      <c r="G679">
        <f t="shared" si="160"/>
        <v>7.5750000000000002</v>
      </c>
      <c r="H679">
        <f t="shared" si="159"/>
        <v>7.65</v>
      </c>
      <c r="I679">
        <f t="shared" si="161"/>
        <v>7.7249999999999996</v>
      </c>
      <c r="J679">
        <f t="shared" si="157"/>
        <v>7.8</v>
      </c>
      <c r="K679" s="33">
        <f t="shared" si="158"/>
        <v>7.875</v>
      </c>
    </row>
    <row r="680" spans="1:11" x14ac:dyDescent="0.3">
      <c r="A680" s="30">
        <v>3</v>
      </c>
      <c r="B680">
        <v>1</v>
      </c>
      <c r="C680">
        <v>1</v>
      </c>
      <c r="D680">
        <v>3</v>
      </c>
      <c r="E680">
        <v>3.6</v>
      </c>
      <c r="G680">
        <f t="shared" si="160"/>
        <v>3.6360000000000001</v>
      </c>
      <c r="H680">
        <f t="shared" si="159"/>
        <v>3.6720000000000002</v>
      </c>
      <c r="I680">
        <f t="shared" si="161"/>
        <v>3.7080000000000002</v>
      </c>
      <c r="J680">
        <f t="shared" si="157"/>
        <v>3.7440000000000002</v>
      </c>
      <c r="K680" s="33">
        <f t="shared" si="158"/>
        <v>3.7800000000000002</v>
      </c>
    </row>
    <row r="681" spans="1:11" x14ac:dyDescent="0.3">
      <c r="A681" s="30">
        <v>3</v>
      </c>
      <c r="B681">
        <v>1</v>
      </c>
      <c r="C681">
        <v>1</v>
      </c>
      <c r="D681">
        <v>4</v>
      </c>
      <c r="E681">
        <v>2.6</v>
      </c>
      <c r="G681">
        <f t="shared" si="160"/>
        <v>2.6259999999999999</v>
      </c>
      <c r="H681">
        <f t="shared" si="159"/>
        <v>2.6520000000000001</v>
      </c>
      <c r="I681">
        <f t="shared" si="161"/>
        <v>2.6779999999999999</v>
      </c>
      <c r="J681">
        <f t="shared" si="157"/>
        <v>2.7040000000000002</v>
      </c>
      <c r="K681" s="33">
        <f t="shared" si="158"/>
        <v>2.73</v>
      </c>
    </row>
    <row r="682" spans="1:11" x14ac:dyDescent="0.3">
      <c r="A682" s="30">
        <v>3</v>
      </c>
      <c r="B682">
        <v>1</v>
      </c>
      <c r="C682">
        <v>1</v>
      </c>
      <c r="D682">
        <v>5</v>
      </c>
      <c r="E682">
        <v>5.7</v>
      </c>
      <c r="G682">
        <f t="shared" si="160"/>
        <v>5.7570000000000006</v>
      </c>
      <c r="H682">
        <f t="shared" si="159"/>
        <v>5.8140000000000001</v>
      </c>
      <c r="I682">
        <f t="shared" si="161"/>
        <v>5.8710000000000004</v>
      </c>
      <c r="J682">
        <f t="shared" si="157"/>
        <v>5.9279999999999999</v>
      </c>
      <c r="K682" s="33">
        <f t="shared" si="158"/>
        <v>5.9850000000000003</v>
      </c>
    </row>
    <row r="683" spans="1:11" x14ac:dyDescent="0.3">
      <c r="A683" s="30">
        <v>3</v>
      </c>
      <c r="B683">
        <v>1</v>
      </c>
      <c r="C683">
        <v>1</v>
      </c>
      <c r="D683">
        <v>6</v>
      </c>
      <c r="E683">
        <v>3.6</v>
      </c>
      <c r="G683">
        <f t="shared" si="160"/>
        <v>3.6360000000000001</v>
      </c>
      <c r="H683">
        <f t="shared" si="159"/>
        <v>3.6720000000000002</v>
      </c>
      <c r="I683">
        <f t="shared" si="161"/>
        <v>3.7080000000000002</v>
      </c>
      <c r="J683">
        <f t="shared" si="157"/>
        <v>3.7440000000000002</v>
      </c>
      <c r="K683" s="33">
        <f t="shared" si="158"/>
        <v>3.7800000000000002</v>
      </c>
    </row>
    <row r="684" spans="1:11" x14ac:dyDescent="0.3">
      <c r="A684" s="30">
        <v>3</v>
      </c>
      <c r="B684">
        <v>1</v>
      </c>
      <c r="C684">
        <v>2</v>
      </c>
      <c r="D684">
        <v>1</v>
      </c>
      <c r="E684">
        <v>3.5</v>
      </c>
      <c r="G684">
        <f t="shared" si="160"/>
        <v>3.5350000000000001</v>
      </c>
      <c r="H684">
        <f t="shared" si="159"/>
        <v>3.57</v>
      </c>
      <c r="I684">
        <f>E684+(E684*3%)</f>
        <v>3.605</v>
      </c>
      <c r="J684">
        <f t="shared" si="157"/>
        <v>3.64</v>
      </c>
      <c r="K684" s="33">
        <f t="shared" si="158"/>
        <v>3.6749999999999998</v>
      </c>
    </row>
    <row r="685" spans="1:11" x14ac:dyDescent="0.3">
      <c r="A685" s="30">
        <v>3</v>
      </c>
      <c r="B685">
        <v>1</v>
      </c>
      <c r="C685">
        <v>2</v>
      </c>
      <c r="D685">
        <v>2</v>
      </c>
      <c r="E685">
        <v>3.7</v>
      </c>
      <c r="G685">
        <f t="shared" si="160"/>
        <v>3.7370000000000001</v>
      </c>
      <c r="H685">
        <f t="shared" si="159"/>
        <v>3.774</v>
      </c>
      <c r="I685">
        <f t="shared" si="161"/>
        <v>3.8110000000000004</v>
      </c>
      <c r="J685">
        <f t="shared" si="157"/>
        <v>3.8480000000000003</v>
      </c>
      <c r="K685" s="33">
        <f t="shared" si="158"/>
        <v>3.8850000000000002</v>
      </c>
    </row>
    <row r="686" spans="1:11" x14ac:dyDescent="0.3">
      <c r="A686" s="30">
        <v>3</v>
      </c>
      <c r="B686">
        <v>1</v>
      </c>
      <c r="C686">
        <v>2</v>
      </c>
      <c r="D686">
        <v>3</v>
      </c>
      <c r="E686">
        <v>8.6999999999999993</v>
      </c>
      <c r="G686">
        <f t="shared" si="160"/>
        <v>8.786999999999999</v>
      </c>
      <c r="H686">
        <f t="shared" si="159"/>
        <v>8.8739999999999988</v>
      </c>
      <c r="I686">
        <f t="shared" si="161"/>
        <v>8.9609999999999985</v>
      </c>
      <c r="J686">
        <f t="shared" si="157"/>
        <v>9.048</v>
      </c>
      <c r="K686" s="33">
        <f t="shared" si="158"/>
        <v>9.1349999999999998</v>
      </c>
    </row>
    <row r="687" spans="1:11" x14ac:dyDescent="0.3">
      <c r="A687" s="30">
        <v>3</v>
      </c>
      <c r="B687">
        <v>1</v>
      </c>
      <c r="C687">
        <v>2</v>
      </c>
      <c r="D687">
        <v>4</v>
      </c>
      <c r="E687">
        <v>4.7</v>
      </c>
      <c r="G687">
        <f t="shared" si="160"/>
        <v>4.7469999999999999</v>
      </c>
      <c r="H687">
        <f t="shared" si="159"/>
        <v>4.7940000000000005</v>
      </c>
      <c r="I687">
        <f t="shared" si="161"/>
        <v>4.8410000000000002</v>
      </c>
      <c r="J687">
        <f t="shared" si="157"/>
        <v>4.8879999999999999</v>
      </c>
      <c r="K687" s="33">
        <f t="shared" si="158"/>
        <v>4.9350000000000005</v>
      </c>
    </row>
    <row r="688" spans="1:11" x14ac:dyDescent="0.3">
      <c r="A688" s="30">
        <v>3</v>
      </c>
      <c r="B688">
        <v>1</v>
      </c>
      <c r="C688">
        <v>2</v>
      </c>
      <c r="D688">
        <v>5</v>
      </c>
      <c r="E688">
        <v>3.7</v>
      </c>
      <c r="G688">
        <f t="shared" si="160"/>
        <v>3.7370000000000001</v>
      </c>
      <c r="H688">
        <f t="shared" si="159"/>
        <v>3.774</v>
      </c>
      <c r="I688">
        <f t="shared" si="161"/>
        <v>3.8110000000000004</v>
      </c>
      <c r="J688">
        <f t="shared" si="157"/>
        <v>3.8480000000000003</v>
      </c>
      <c r="K688" s="33">
        <f t="shared" si="158"/>
        <v>3.8850000000000002</v>
      </c>
    </row>
    <row r="689" spans="1:11" x14ac:dyDescent="0.3">
      <c r="A689" s="30">
        <v>3</v>
      </c>
      <c r="B689">
        <v>1</v>
      </c>
      <c r="C689">
        <v>2</v>
      </c>
      <c r="D689">
        <v>6</v>
      </c>
      <c r="E689">
        <v>2.8</v>
      </c>
      <c r="G689">
        <f t="shared" si="160"/>
        <v>2.8279999999999998</v>
      </c>
      <c r="H689">
        <f t="shared" si="159"/>
        <v>2.8559999999999999</v>
      </c>
      <c r="I689">
        <f t="shared" si="161"/>
        <v>2.8839999999999999</v>
      </c>
      <c r="J689">
        <f t="shared" si="157"/>
        <v>2.9119999999999999</v>
      </c>
      <c r="K689" s="33">
        <f t="shared" si="158"/>
        <v>2.94</v>
      </c>
    </row>
    <row r="690" spans="1:11" x14ac:dyDescent="0.3">
      <c r="A690" s="30">
        <v>3</v>
      </c>
      <c r="B690">
        <v>2</v>
      </c>
      <c r="C690">
        <v>1</v>
      </c>
      <c r="D690">
        <v>1</v>
      </c>
      <c r="E690">
        <v>4.7</v>
      </c>
      <c r="G690">
        <f t="shared" si="160"/>
        <v>4.7469999999999999</v>
      </c>
      <c r="H690">
        <f t="shared" si="159"/>
        <v>4.7940000000000005</v>
      </c>
      <c r="I690">
        <f t="shared" si="161"/>
        <v>4.8410000000000002</v>
      </c>
      <c r="J690">
        <f t="shared" si="157"/>
        <v>4.8879999999999999</v>
      </c>
      <c r="K690" s="33">
        <f t="shared" si="158"/>
        <v>4.9350000000000005</v>
      </c>
    </row>
    <row r="691" spans="1:11" x14ac:dyDescent="0.3">
      <c r="A691" s="30">
        <v>3</v>
      </c>
      <c r="B691">
        <v>2</v>
      </c>
      <c r="C691">
        <v>1</v>
      </c>
      <c r="D691">
        <v>2</v>
      </c>
      <c r="E691">
        <v>8.5</v>
      </c>
      <c r="G691">
        <f t="shared" si="160"/>
        <v>8.5850000000000009</v>
      </c>
      <c r="H691">
        <f t="shared" si="159"/>
        <v>8.67</v>
      </c>
      <c r="I691">
        <f t="shared" si="161"/>
        <v>8.7550000000000008</v>
      </c>
      <c r="J691">
        <f t="shared" si="157"/>
        <v>8.84</v>
      </c>
      <c r="K691" s="33">
        <f t="shared" si="158"/>
        <v>8.9250000000000007</v>
      </c>
    </row>
    <row r="692" spans="1:11" x14ac:dyDescent="0.3">
      <c r="A692" s="30">
        <v>3</v>
      </c>
      <c r="B692">
        <v>2</v>
      </c>
      <c r="C692">
        <v>1</v>
      </c>
      <c r="D692">
        <v>3</v>
      </c>
      <c r="E692">
        <v>8.6999999999999993</v>
      </c>
      <c r="G692">
        <f t="shared" si="160"/>
        <v>8.786999999999999</v>
      </c>
      <c r="H692">
        <f t="shared" si="159"/>
        <v>8.8739999999999988</v>
      </c>
      <c r="I692">
        <f t="shared" si="161"/>
        <v>8.9609999999999985</v>
      </c>
      <c r="J692">
        <f t="shared" si="157"/>
        <v>9.048</v>
      </c>
      <c r="K692" s="33">
        <f t="shared" si="158"/>
        <v>9.1349999999999998</v>
      </c>
    </row>
    <row r="693" spans="1:11" x14ac:dyDescent="0.3">
      <c r="A693" s="30">
        <v>3</v>
      </c>
      <c r="B693">
        <v>2</v>
      </c>
      <c r="C693">
        <v>1</v>
      </c>
      <c r="D693">
        <v>4</v>
      </c>
      <c r="E693">
        <v>3.6</v>
      </c>
      <c r="G693">
        <f t="shared" si="160"/>
        <v>3.6360000000000001</v>
      </c>
      <c r="H693">
        <f t="shared" si="159"/>
        <v>3.6720000000000002</v>
      </c>
      <c r="I693">
        <f t="shared" si="161"/>
        <v>3.7080000000000002</v>
      </c>
      <c r="J693">
        <f t="shared" si="157"/>
        <v>3.7440000000000002</v>
      </c>
      <c r="K693" s="33">
        <f t="shared" si="158"/>
        <v>3.7800000000000002</v>
      </c>
    </row>
    <row r="694" spans="1:11" x14ac:dyDescent="0.3">
      <c r="A694" s="30">
        <v>3</v>
      </c>
      <c r="B694">
        <v>2</v>
      </c>
      <c r="C694">
        <v>1</v>
      </c>
      <c r="D694">
        <v>5</v>
      </c>
      <c r="E694">
        <v>6.8</v>
      </c>
      <c r="G694">
        <f t="shared" si="160"/>
        <v>6.8679999999999994</v>
      </c>
      <c r="H694">
        <f t="shared" si="159"/>
        <v>6.9359999999999999</v>
      </c>
      <c r="I694">
        <f t="shared" si="161"/>
        <v>7.0039999999999996</v>
      </c>
      <c r="J694">
        <f t="shared" si="157"/>
        <v>7.0720000000000001</v>
      </c>
      <c r="K694" s="33">
        <f t="shared" si="158"/>
        <v>7.14</v>
      </c>
    </row>
    <row r="695" spans="1:11" x14ac:dyDescent="0.3">
      <c r="A695" s="30">
        <v>3</v>
      </c>
      <c r="B695">
        <v>2</v>
      </c>
      <c r="C695">
        <v>1</v>
      </c>
      <c r="D695">
        <v>6</v>
      </c>
      <c r="E695">
        <v>6.7</v>
      </c>
      <c r="G695">
        <f t="shared" si="160"/>
        <v>6.7670000000000003</v>
      </c>
      <c r="H695">
        <f t="shared" si="159"/>
        <v>6.8340000000000005</v>
      </c>
      <c r="I695">
        <f t="shared" si="161"/>
        <v>6.9009999999999998</v>
      </c>
      <c r="J695">
        <f t="shared" ref="J695:J701" si="162">E695+(E695*4%)</f>
        <v>6.968</v>
      </c>
      <c r="K695" s="33">
        <f t="shared" ref="K695:K701" si="163">E695+(E695*5%)</f>
        <v>7.0350000000000001</v>
      </c>
    </row>
    <row r="696" spans="1:11" x14ac:dyDescent="0.3">
      <c r="A696" s="30">
        <v>3</v>
      </c>
      <c r="B696">
        <v>2</v>
      </c>
      <c r="C696">
        <v>2</v>
      </c>
      <c r="D696">
        <v>1</v>
      </c>
      <c r="E696">
        <v>6.7</v>
      </c>
      <c r="G696">
        <f>E696+(E696*1%)</f>
        <v>6.7670000000000003</v>
      </c>
      <c r="H696">
        <f t="shared" si="159"/>
        <v>6.8340000000000005</v>
      </c>
      <c r="I696">
        <f t="shared" si="161"/>
        <v>6.9009999999999998</v>
      </c>
      <c r="J696">
        <f t="shared" si="162"/>
        <v>6.968</v>
      </c>
      <c r="K696" s="33">
        <f t="shared" si="163"/>
        <v>7.0350000000000001</v>
      </c>
    </row>
    <row r="697" spans="1:11" x14ac:dyDescent="0.3">
      <c r="A697" s="30">
        <v>3</v>
      </c>
      <c r="B697">
        <v>2</v>
      </c>
      <c r="C697">
        <v>2</v>
      </c>
      <c r="D697">
        <v>2</v>
      </c>
      <c r="E697">
        <v>4.7</v>
      </c>
      <c r="G697">
        <f t="shared" si="160"/>
        <v>4.7469999999999999</v>
      </c>
      <c r="H697">
        <f t="shared" si="159"/>
        <v>4.7940000000000005</v>
      </c>
      <c r="I697">
        <f t="shared" si="161"/>
        <v>4.8410000000000002</v>
      </c>
      <c r="J697">
        <f t="shared" si="162"/>
        <v>4.8879999999999999</v>
      </c>
      <c r="K697" s="33">
        <f t="shared" si="163"/>
        <v>4.9350000000000005</v>
      </c>
    </row>
    <row r="698" spans="1:11" x14ac:dyDescent="0.3">
      <c r="A698" s="30">
        <v>3</v>
      </c>
      <c r="B698">
        <v>2</v>
      </c>
      <c r="C698">
        <v>2</v>
      </c>
      <c r="D698">
        <v>3</v>
      </c>
      <c r="E698">
        <v>5.7</v>
      </c>
      <c r="G698">
        <f t="shared" si="160"/>
        <v>5.7570000000000006</v>
      </c>
      <c r="H698">
        <f t="shared" si="159"/>
        <v>5.8140000000000001</v>
      </c>
      <c r="I698">
        <f t="shared" si="161"/>
        <v>5.8710000000000004</v>
      </c>
      <c r="J698">
        <f t="shared" si="162"/>
        <v>5.9279999999999999</v>
      </c>
      <c r="K698" s="33">
        <f t="shared" si="163"/>
        <v>5.9850000000000003</v>
      </c>
    </row>
    <row r="699" spans="1:11" x14ac:dyDescent="0.3">
      <c r="A699" s="30">
        <v>3</v>
      </c>
      <c r="B699">
        <v>2</v>
      </c>
      <c r="C699">
        <v>2</v>
      </c>
      <c r="D699">
        <v>4</v>
      </c>
      <c r="E699">
        <v>4.7</v>
      </c>
      <c r="G699">
        <f t="shared" si="160"/>
        <v>4.7469999999999999</v>
      </c>
      <c r="H699">
        <f t="shared" si="159"/>
        <v>4.7940000000000005</v>
      </c>
      <c r="I699">
        <f t="shared" si="161"/>
        <v>4.8410000000000002</v>
      </c>
      <c r="J699">
        <f t="shared" si="162"/>
        <v>4.8879999999999999</v>
      </c>
      <c r="K699" s="33">
        <f t="shared" si="163"/>
        <v>4.9350000000000005</v>
      </c>
    </row>
    <row r="700" spans="1:11" x14ac:dyDescent="0.3">
      <c r="A700" s="30">
        <v>3</v>
      </c>
      <c r="B700">
        <v>2</v>
      </c>
      <c r="C700">
        <v>2</v>
      </c>
      <c r="D700">
        <v>5</v>
      </c>
      <c r="E700">
        <v>8.9</v>
      </c>
      <c r="G700">
        <f t="shared" si="160"/>
        <v>8.9890000000000008</v>
      </c>
      <c r="H700">
        <f t="shared" si="159"/>
        <v>9.0780000000000012</v>
      </c>
      <c r="I700">
        <f t="shared" si="161"/>
        <v>9.1669999999999998</v>
      </c>
      <c r="J700">
        <f t="shared" si="162"/>
        <v>9.2560000000000002</v>
      </c>
      <c r="K700" s="33">
        <f t="shared" si="163"/>
        <v>9.3450000000000006</v>
      </c>
    </row>
    <row r="701" spans="1:11" x14ac:dyDescent="0.3">
      <c r="A701" s="30">
        <v>3</v>
      </c>
      <c r="B701">
        <v>2</v>
      </c>
      <c r="C701">
        <v>2</v>
      </c>
      <c r="D701">
        <v>6</v>
      </c>
      <c r="E701">
        <v>8.5</v>
      </c>
      <c r="G701">
        <f t="shared" si="160"/>
        <v>8.5850000000000009</v>
      </c>
      <c r="H701">
        <f t="shared" ref="H701" si="164">E701+(E701*2%)</f>
        <v>8.67</v>
      </c>
      <c r="I701">
        <f t="shared" si="161"/>
        <v>8.7550000000000008</v>
      </c>
      <c r="J701">
        <f t="shared" si="162"/>
        <v>8.84</v>
      </c>
      <c r="K701" s="33">
        <f t="shared" si="163"/>
        <v>8.9250000000000007</v>
      </c>
    </row>
    <row r="702" spans="1:11" x14ac:dyDescent="0.3">
      <c r="A702" s="30"/>
      <c r="K702" s="33"/>
    </row>
    <row r="703" spans="1:11" x14ac:dyDescent="0.3">
      <c r="A703" s="30" t="s">
        <v>223</v>
      </c>
      <c r="B703" t="s">
        <v>160</v>
      </c>
      <c r="G703" s="16">
        <f>(G704-B704)/B704*100</f>
        <v>2.9845586886919537E-3</v>
      </c>
      <c r="H703" s="16">
        <f>(H704-B704)/B704*100</f>
        <v>5.9691173773839075E-3</v>
      </c>
      <c r="I703" s="16">
        <f>(I704-B704)/B704*100</f>
        <v>8.9536760660615874E-3</v>
      </c>
      <c r="J703" s="16">
        <f>(J704-B704)/B704*100</f>
        <v>1.193823475475354E-2</v>
      </c>
      <c r="K703" s="32">
        <f>(K704-B704)/B704*100</f>
        <v>1.4922793443445496E-2</v>
      </c>
    </row>
    <row r="704" spans="1:11" x14ac:dyDescent="0.3">
      <c r="A704" s="30" t="s">
        <v>158</v>
      </c>
      <c r="B704" s="21">
        <v>815497.45</v>
      </c>
      <c r="C704" s="21"/>
      <c r="D704" s="21"/>
      <c r="E704" s="21"/>
      <c r="G704" s="21">
        <v>815521.78899999999</v>
      </c>
      <c r="H704" s="21">
        <v>815546.12800000003</v>
      </c>
      <c r="I704" s="21">
        <v>815570.46699999995</v>
      </c>
      <c r="J704" s="21">
        <v>815594.80599999998</v>
      </c>
      <c r="K704" s="31">
        <v>815619.14500000002</v>
      </c>
    </row>
    <row r="705" spans="1:11" x14ac:dyDescent="0.3">
      <c r="A705" s="30"/>
      <c r="B705" s="21"/>
      <c r="C705" s="21"/>
      <c r="D705" s="21"/>
      <c r="E705" s="21"/>
      <c r="G705" s="15">
        <f>(G706-B706)/B706*100</f>
        <v>0</v>
      </c>
      <c r="H705" s="15">
        <f>(H706-B706)/B706*100</f>
        <v>0</v>
      </c>
      <c r="I705" s="15">
        <f>(I706-B706)/B706*100</f>
        <v>0</v>
      </c>
      <c r="J705" s="15">
        <f>(J706-B706)/B706*100</f>
        <v>0</v>
      </c>
      <c r="K705" s="56">
        <f>(K706-B706)/B706*100</f>
        <v>0</v>
      </c>
    </row>
    <row r="706" spans="1:11" x14ac:dyDescent="0.3">
      <c r="A706" s="30" t="s">
        <v>159</v>
      </c>
      <c r="B706" s="21">
        <v>4840.7044030870002</v>
      </c>
      <c r="C706" s="21"/>
      <c r="D706" s="21"/>
      <c r="E706" s="21"/>
      <c r="G706" s="21">
        <v>4840.7044030870002</v>
      </c>
      <c r="H706" s="21">
        <v>4840.7044030870002</v>
      </c>
      <c r="I706" s="21">
        <v>4840.7044030870002</v>
      </c>
      <c r="J706" s="21">
        <v>4840.7044030870002</v>
      </c>
      <c r="K706" s="31">
        <v>4840.7044030870002</v>
      </c>
    </row>
    <row r="707" spans="1:11" x14ac:dyDescent="0.3">
      <c r="A707" s="30"/>
      <c r="K707" s="33"/>
    </row>
    <row r="708" spans="1:11" x14ac:dyDescent="0.3">
      <c r="A708" s="30"/>
      <c r="K708" s="33"/>
    </row>
    <row r="709" spans="1:11" x14ac:dyDescent="0.3">
      <c r="A709" s="30"/>
      <c r="B709" t="s">
        <v>161</v>
      </c>
      <c r="G709" s="16">
        <f>(G710-B710)/B710*100</f>
        <v>3.0929001074523669E-3</v>
      </c>
      <c r="H709" s="16">
        <f>(H710-B710)/B710*100</f>
        <v>6.1858002149189533E-3</v>
      </c>
      <c r="I709" s="16">
        <f>(I710-B710)/B710*100</f>
        <v>9.2787003223713197E-3</v>
      </c>
      <c r="J709" s="16">
        <f>(J710-B710)/B710*100</f>
        <v>1.2371600429837907E-2</v>
      </c>
      <c r="K709" s="32">
        <f>(K710-B710)/B710*100</f>
        <v>1.5464500537304492E-2</v>
      </c>
    </row>
    <row r="710" spans="1:11" x14ac:dyDescent="0.3">
      <c r="A710" s="30" t="s">
        <v>158</v>
      </c>
      <c r="B710" s="21">
        <v>818713.8</v>
      </c>
      <c r="C710" s="21"/>
      <c r="D710" s="21"/>
      <c r="E710" s="21"/>
      <c r="G710" s="21">
        <v>818739.12199999997</v>
      </c>
      <c r="H710" s="21">
        <v>818764.44400000002</v>
      </c>
      <c r="I710" s="21">
        <v>818789.76599999995</v>
      </c>
      <c r="J710" s="21">
        <v>818815.08799999999</v>
      </c>
      <c r="K710" s="31">
        <v>818840.41</v>
      </c>
    </row>
    <row r="711" spans="1:11" x14ac:dyDescent="0.3">
      <c r="A711" s="30"/>
      <c r="B711" s="21"/>
      <c r="C711" s="21"/>
      <c r="D711" s="21"/>
      <c r="E711" s="21"/>
      <c r="G711" s="15">
        <f>(G712-B712)/B712*100</f>
        <v>0</v>
      </c>
      <c r="H711" s="15">
        <f>(H712-B712)/B712*100</f>
        <v>0</v>
      </c>
      <c r="I711" s="15">
        <f>(I712-B712)/B712*100</f>
        <v>0</v>
      </c>
      <c r="J711" s="15">
        <f>(J712-B712)/B712*100</f>
        <v>0</v>
      </c>
      <c r="K711" s="56">
        <f>(K712-B712)/B712*100</f>
        <v>0</v>
      </c>
    </row>
    <row r="712" spans="1:11" x14ac:dyDescent="0.3">
      <c r="A712" s="30" t="s">
        <v>159</v>
      </c>
      <c r="B712" s="21">
        <v>4757.7240947110004</v>
      </c>
      <c r="C712" s="21"/>
      <c r="D712" s="21"/>
      <c r="E712" s="21"/>
      <c r="F712" t="s">
        <v>238</v>
      </c>
      <c r="G712" s="21">
        <v>4757.7240947110004</v>
      </c>
      <c r="H712" s="21">
        <v>4757.7240947110004</v>
      </c>
      <c r="I712" s="21">
        <v>4757.7240947110004</v>
      </c>
      <c r="J712" s="21">
        <v>4757.7240947110004</v>
      </c>
      <c r="K712" s="31">
        <v>4757.7240947110004</v>
      </c>
    </row>
    <row r="713" spans="1:11" x14ac:dyDescent="0.3">
      <c r="A713" s="34"/>
      <c r="B713" s="22"/>
      <c r="C713" s="22"/>
      <c r="D713" s="22"/>
      <c r="E713" s="22"/>
      <c r="F713" s="22"/>
      <c r="G713" s="22"/>
      <c r="H713" s="22"/>
      <c r="I713" s="22"/>
      <c r="J713" s="22"/>
      <c r="K713" s="40"/>
    </row>
    <row r="715" spans="1:11" x14ac:dyDescent="0.3">
      <c r="A715" s="64" t="s">
        <v>169</v>
      </c>
      <c r="B715" s="65"/>
      <c r="C715" s="65"/>
      <c r="D715" s="65"/>
      <c r="E715" s="65"/>
      <c r="F715" s="65"/>
      <c r="G715" s="65"/>
      <c r="H715" s="65"/>
      <c r="I715" s="66"/>
    </row>
    <row r="716" spans="1:11" x14ac:dyDescent="0.3">
      <c r="A716" s="57" t="s">
        <v>167</v>
      </c>
      <c r="I716" s="33"/>
    </row>
    <row r="717" spans="1:11" x14ac:dyDescent="0.3">
      <c r="A717" s="58" t="s">
        <v>168</v>
      </c>
      <c r="I717" s="33"/>
    </row>
    <row r="718" spans="1:11" x14ac:dyDescent="0.3">
      <c r="A718" s="30"/>
      <c r="I718" s="33"/>
    </row>
    <row r="719" spans="1:11" x14ac:dyDescent="0.3">
      <c r="A719" s="30" t="s">
        <v>71</v>
      </c>
      <c r="B719" t="s">
        <v>10</v>
      </c>
      <c r="C719" t="s">
        <v>170</v>
      </c>
      <c r="E719" s="20">
        <v>0.01</v>
      </c>
      <c r="F719" s="20">
        <v>0.02</v>
      </c>
      <c r="G719" s="20">
        <v>0.03</v>
      </c>
      <c r="H719" s="20">
        <v>0.04</v>
      </c>
      <c r="I719" s="55">
        <v>0.05</v>
      </c>
    </row>
    <row r="720" spans="1:11" x14ac:dyDescent="0.3">
      <c r="A720" s="30">
        <v>1</v>
      </c>
      <c r="B720">
        <v>1</v>
      </c>
      <c r="C720">
        <v>2.8</v>
      </c>
      <c r="E720">
        <f>C720+(C720*1%)</f>
        <v>2.8279999999999998</v>
      </c>
      <c r="F720">
        <f>C720+(C720*2%)</f>
        <v>2.8559999999999999</v>
      </c>
      <c r="G720">
        <f>C720+(C720*3%)</f>
        <v>2.8839999999999999</v>
      </c>
      <c r="H720">
        <f>C720+(C720*4%)</f>
        <v>2.9119999999999999</v>
      </c>
      <c r="I720" s="33">
        <f>C720+(C720*5%)</f>
        <v>2.94</v>
      </c>
    </row>
    <row r="721" spans="1:9" x14ac:dyDescent="0.3">
      <c r="A721" s="30">
        <v>1</v>
      </c>
      <c r="B721">
        <v>2</v>
      </c>
      <c r="C721">
        <v>3.3</v>
      </c>
      <c r="E721">
        <f t="shared" ref="E721:E725" si="165">C721+(C721*1%)</f>
        <v>3.3329999999999997</v>
      </c>
      <c r="F721">
        <f t="shared" ref="F721:F725" si="166">C721+(C721*2%)</f>
        <v>3.3659999999999997</v>
      </c>
      <c r="G721">
        <f t="shared" ref="G721:G731" si="167">C721+(C721*3%)</f>
        <v>3.399</v>
      </c>
      <c r="H721">
        <f t="shared" ref="H721:H731" si="168">C721+(C721*4%)</f>
        <v>3.4319999999999999</v>
      </c>
      <c r="I721" s="33">
        <f t="shared" ref="I721:I731" si="169">C721+(C721*5%)</f>
        <v>3.4649999999999999</v>
      </c>
    </row>
    <row r="722" spans="1:9" x14ac:dyDescent="0.3">
      <c r="A722" s="30">
        <v>1</v>
      </c>
      <c r="B722">
        <v>3</v>
      </c>
      <c r="C722">
        <v>1.4</v>
      </c>
      <c r="E722">
        <f t="shared" si="165"/>
        <v>1.4139999999999999</v>
      </c>
      <c r="F722">
        <f t="shared" si="166"/>
        <v>1.4279999999999999</v>
      </c>
      <c r="G722">
        <f t="shared" si="167"/>
        <v>1.4419999999999999</v>
      </c>
      <c r="H722">
        <f t="shared" si="168"/>
        <v>1.456</v>
      </c>
      <c r="I722" s="33">
        <f t="shared" si="169"/>
        <v>1.47</v>
      </c>
    </row>
    <row r="723" spans="1:9" x14ac:dyDescent="0.3">
      <c r="A723" s="30">
        <v>1</v>
      </c>
      <c r="B723">
        <v>4</v>
      </c>
      <c r="C723">
        <v>3.7</v>
      </c>
      <c r="E723">
        <f t="shared" si="165"/>
        <v>3.7370000000000001</v>
      </c>
      <c r="F723">
        <f t="shared" si="166"/>
        <v>3.774</v>
      </c>
      <c r="G723">
        <f t="shared" si="167"/>
        <v>3.8110000000000004</v>
      </c>
      <c r="H723">
        <f t="shared" si="168"/>
        <v>3.8480000000000003</v>
      </c>
      <c r="I723" s="33">
        <f t="shared" si="169"/>
        <v>3.8850000000000002</v>
      </c>
    </row>
    <row r="724" spans="1:9" x14ac:dyDescent="0.3">
      <c r="A724" s="30">
        <v>1</v>
      </c>
      <c r="B724">
        <v>5</v>
      </c>
      <c r="C724">
        <v>2.7</v>
      </c>
      <c r="E724">
        <f t="shared" si="165"/>
        <v>2.7270000000000003</v>
      </c>
      <c r="F724">
        <f t="shared" si="166"/>
        <v>2.754</v>
      </c>
      <c r="G724">
        <f t="shared" si="167"/>
        <v>2.7810000000000001</v>
      </c>
      <c r="H724">
        <f t="shared" si="168"/>
        <v>2.8080000000000003</v>
      </c>
      <c r="I724" s="33">
        <f t="shared" si="169"/>
        <v>2.835</v>
      </c>
    </row>
    <row r="725" spans="1:9" x14ac:dyDescent="0.3">
      <c r="A725" s="30">
        <v>1</v>
      </c>
      <c r="B725">
        <v>6</v>
      </c>
      <c r="C725">
        <v>4.2</v>
      </c>
      <c r="E725">
        <f t="shared" si="165"/>
        <v>4.242</v>
      </c>
      <c r="F725">
        <f t="shared" si="166"/>
        <v>4.2839999999999998</v>
      </c>
      <c r="G725">
        <f t="shared" si="167"/>
        <v>4.3260000000000005</v>
      </c>
      <c r="H725">
        <f t="shared" si="168"/>
        <v>4.3680000000000003</v>
      </c>
      <c r="I725" s="33">
        <f t="shared" si="169"/>
        <v>4.41</v>
      </c>
    </row>
    <row r="726" spans="1:9" x14ac:dyDescent="0.3">
      <c r="A726" s="30">
        <v>2</v>
      </c>
      <c r="B726">
        <v>1</v>
      </c>
      <c r="C726">
        <v>2.2999999999999998</v>
      </c>
      <c r="E726">
        <f>C726+(C726*1%)</f>
        <v>2.323</v>
      </c>
      <c r="F726">
        <f>C726+(C726*2%)</f>
        <v>2.3459999999999996</v>
      </c>
      <c r="G726">
        <f t="shared" si="167"/>
        <v>2.3689999999999998</v>
      </c>
      <c r="H726">
        <f t="shared" si="168"/>
        <v>2.3919999999999999</v>
      </c>
      <c r="I726" s="33">
        <f t="shared" si="169"/>
        <v>2.415</v>
      </c>
    </row>
    <row r="727" spans="1:9" x14ac:dyDescent="0.3">
      <c r="A727" s="30">
        <v>2</v>
      </c>
      <c r="B727">
        <v>2</v>
      </c>
      <c r="C727">
        <v>4.2</v>
      </c>
      <c r="E727">
        <f>C727+(C727*1%)</f>
        <v>4.242</v>
      </c>
      <c r="F727">
        <f t="shared" ref="F727:F731" si="170">C727+(C727*2%)</f>
        <v>4.2839999999999998</v>
      </c>
      <c r="G727">
        <f t="shared" si="167"/>
        <v>4.3260000000000005</v>
      </c>
      <c r="H727">
        <f t="shared" si="168"/>
        <v>4.3680000000000003</v>
      </c>
      <c r="I727" s="33">
        <f t="shared" si="169"/>
        <v>4.41</v>
      </c>
    </row>
    <row r="728" spans="1:9" x14ac:dyDescent="0.3">
      <c r="A728" s="30">
        <v>2</v>
      </c>
      <c r="B728">
        <v>3</v>
      </c>
      <c r="C728">
        <v>3.7</v>
      </c>
      <c r="E728">
        <f t="shared" ref="E728:E731" si="171">C728+(C728*1%)</f>
        <v>3.7370000000000001</v>
      </c>
      <c r="F728">
        <f t="shared" si="170"/>
        <v>3.774</v>
      </c>
      <c r="G728">
        <f t="shared" si="167"/>
        <v>3.8110000000000004</v>
      </c>
      <c r="H728">
        <f t="shared" si="168"/>
        <v>3.8480000000000003</v>
      </c>
      <c r="I728" s="33">
        <f t="shared" si="169"/>
        <v>3.8850000000000002</v>
      </c>
    </row>
    <row r="729" spans="1:9" x14ac:dyDescent="0.3">
      <c r="A729" s="30">
        <v>2</v>
      </c>
      <c r="B729">
        <v>4</v>
      </c>
      <c r="C729">
        <v>3.6</v>
      </c>
      <c r="E729">
        <f>C729+(C729*1%)</f>
        <v>3.6360000000000001</v>
      </c>
      <c r="F729">
        <f t="shared" si="170"/>
        <v>3.6720000000000002</v>
      </c>
      <c r="G729">
        <f t="shared" si="167"/>
        <v>3.7080000000000002</v>
      </c>
      <c r="H729">
        <f t="shared" si="168"/>
        <v>3.7440000000000002</v>
      </c>
      <c r="I729" s="33">
        <f t="shared" si="169"/>
        <v>3.7800000000000002</v>
      </c>
    </row>
    <row r="730" spans="1:9" x14ac:dyDescent="0.3">
      <c r="A730" s="30">
        <v>2</v>
      </c>
      <c r="B730">
        <v>5</v>
      </c>
      <c r="C730">
        <v>2.6</v>
      </c>
      <c r="E730">
        <f t="shared" si="171"/>
        <v>2.6259999999999999</v>
      </c>
      <c r="F730">
        <f t="shared" si="170"/>
        <v>2.6520000000000001</v>
      </c>
      <c r="G730">
        <f t="shared" si="167"/>
        <v>2.6779999999999999</v>
      </c>
      <c r="H730">
        <f t="shared" si="168"/>
        <v>2.7040000000000002</v>
      </c>
      <c r="I730" s="33">
        <f t="shared" si="169"/>
        <v>2.73</v>
      </c>
    </row>
    <row r="731" spans="1:9" x14ac:dyDescent="0.3">
      <c r="A731" s="30">
        <v>2</v>
      </c>
      <c r="B731">
        <v>6</v>
      </c>
      <c r="C731">
        <v>2.4</v>
      </c>
      <c r="E731">
        <f t="shared" si="171"/>
        <v>2.4239999999999999</v>
      </c>
      <c r="F731">
        <f t="shared" si="170"/>
        <v>2.448</v>
      </c>
      <c r="G731">
        <f t="shared" si="167"/>
        <v>2.472</v>
      </c>
      <c r="H731">
        <f t="shared" si="168"/>
        <v>2.496</v>
      </c>
      <c r="I731" s="33">
        <f t="shared" si="169"/>
        <v>2.52</v>
      </c>
    </row>
    <row r="732" spans="1:9" x14ac:dyDescent="0.3">
      <c r="A732" s="30"/>
      <c r="I732" s="33"/>
    </row>
    <row r="733" spans="1:9" x14ac:dyDescent="0.3">
      <c r="A733" s="30" t="s">
        <v>224</v>
      </c>
      <c r="B733" t="s">
        <v>238</v>
      </c>
      <c r="E733" s="16">
        <f>(E734-B734)/B734*100</f>
        <v>-2.2369168658920107E-3</v>
      </c>
      <c r="F733" s="16">
        <f>(F734-B734)/B734*100</f>
        <v>-4.4738337317840214E-3</v>
      </c>
      <c r="G733" s="16">
        <f>(G734-B734)/B734*100</f>
        <v>-6.7107505976760316E-3</v>
      </c>
      <c r="H733" s="16">
        <f>(H734-B734)/B734*100</f>
        <v>-8.9476674635823178E-3</v>
      </c>
      <c r="I733" s="32">
        <f>(I734-B734)/B734*100</f>
        <v>-1.1184584329474329E-2</v>
      </c>
    </row>
    <row r="734" spans="1:9" x14ac:dyDescent="0.3">
      <c r="A734" s="30" t="s">
        <v>158</v>
      </c>
      <c r="B734" s="21">
        <v>815497.45</v>
      </c>
      <c r="C734" s="21"/>
      <c r="E734" s="21">
        <v>815479.20799999998</v>
      </c>
      <c r="F734" s="21">
        <v>815460.96600000001</v>
      </c>
      <c r="G734" s="21">
        <v>815442.72400000005</v>
      </c>
      <c r="H734" s="21">
        <v>815424.48199999996</v>
      </c>
      <c r="I734" s="31">
        <v>815406.24</v>
      </c>
    </row>
    <row r="735" spans="1:9" x14ac:dyDescent="0.3">
      <c r="A735" s="30"/>
      <c r="B735" s="21"/>
      <c r="C735" s="21"/>
      <c r="E735" s="15">
        <f>(E736-B736)/B736*100</f>
        <v>0</v>
      </c>
      <c r="F735" s="15">
        <f>(F736-B736)/B736*100</f>
        <v>0</v>
      </c>
      <c r="G735" s="15">
        <f>(G736-B736)/B736*100</f>
        <v>0</v>
      </c>
      <c r="H735" s="15">
        <f>(H736-B736)/B736*100</f>
        <v>0</v>
      </c>
      <c r="I735" s="56">
        <f>(I736-B736)/B736*100</f>
        <v>0</v>
      </c>
    </row>
    <row r="736" spans="1:9" x14ac:dyDescent="0.3">
      <c r="A736" s="30" t="s">
        <v>159</v>
      </c>
      <c r="B736" s="21">
        <v>4840.7044030870002</v>
      </c>
      <c r="C736" s="21"/>
      <c r="E736" s="21">
        <v>4840.7044030870002</v>
      </c>
      <c r="F736" s="21">
        <v>4840.7044030870002</v>
      </c>
      <c r="G736" s="21">
        <v>4840.7044030870002</v>
      </c>
      <c r="H736" s="21">
        <v>4840.7044030870002</v>
      </c>
      <c r="I736" s="31">
        <v>4840.7044030870002</v>
      </c>
    </row>
    <row r="737" spans="1:9" x14ac:dyDescent="0.3">
      <c r="A737" s="30"/>
      <c r="I737" s="33"/>
    </row>
    <row r="738" spans="1:9" x14ac:dyDescent="0.3">
      <c r="A738" s="30"/>
      <c r="I738" s="33"/>
    </row>
    <row r="739" spans="1:9" x14ac:dyDescent="0.3">
      <c r="A739" s="30"/>
      <c r="B739" t="s">
        <v>161</v>
      </c>
      <c r="E739" s="16">
        <f>(E740-B740)/B740*100</f>
        <v>-2.2281290482810577E-3</v>
      </c>
      <c r="F739" s="16">
        <f>(F740-B740)/B740*100</f>
        <v>-4.4562580965478958E-3</v>
      </c>
      <c r="G739" s="16">
        <f>(G740-B740)/B740*100</f>
        <v>-6.684387144814734E-3</v>
      </c>
      <c r="H739" s="16">
        <f>(H740-B740)/B740*100</f>
        <v>-8.9125161930815721E-3</v>
      </c>
      <c r="I739" s="32">
        <f>(I740-B740)/B740*100</f>
        <v>-1.1140645241362629E-2</v>
      </c>
    </row>
    <row r="740" spans="1:9" x14ac:dyDescent="0.3">
      <c r="A740" s="30" t="s">
        <v>158</v>
      </c>
      <c r="B740" s="21">
        <v>818713.8</v>
      </c>
      <c r="C740" s="21"/>
      <c r="E740" s="21">
        <v>818695.55799999996</v>
      </c>
      <c r="F740" s="21">
        <v>818677.31599999999</v>
      </c>
      <c r="G740" s="21">
        <v>818659.07400000002</v>
      </c>
      <c r="H740" s="21">
        <v>818640.83200000005</v>
      </c>
      <c r="I740" s="31">
        <v>818622.59</v>
      </c>
    </row>
    <row r="741" spans="1:9" x14ac:dyDescent="0.3">
      <c r="A741" s="30"/>
      <c r="B741" s="21"/>
      <c r="C741" s="21"/>
      <c r="E741" s="15">
        <f>(E742-B742)/B742*100</f>
        <v>0</v>
      </c>
      <c r="F741" s="15">
        <f>(F742-B742)/B742*100</f>
        <v>0</v>
      </c>
      <c r="G741" s="15">
        <f>(G742-B742)/B742*100</f>
        <v>0</v>
      </c>
      <c r="H741" s="15">
        <f>(H742-B742)/B742*100</f>
        <v>0</v>
      </c>
      <c r="I741" s="56">
        <f>(I742-B742)/B742*100</f>
        <v>0</v>
      </c>
    </row>
    <row r="742" spans="1:9" x14ac:dyDescent="0.3">
      <c r="A742" s="30" t="s">
        <v>159</v>
      </c>
      <c r="B742" s="21">
        <v>4757.7240947110004</v>
      </c>
      <c r="C742" s="21"/>
      <c r="D742" t="s">
        <v>238</v>
      </c>
      <c r="E742" s="21">
        <v>4757.7240947110004</v>
      </c>
      <c r="F742" s="21">
        <v>4757.7240947110004</v>
      </c>
      <c r="G742" s="21">
        <v>4757.7240947110004</v>
      </c>
      <c r="H742" s="21">
        <v>4757.7240947110004</v>
      </c>
      <c r="I742" s="31">
        <v>4757.7240947110004</v>
      </c>
    </row>
    <row r="743" spans="1:9" x14ac:dyDescent="0.3">
      <c r="A743" s="34"/>
      <c r="B743" s="22"/>
      <c r="C743" s="22"/>
      <c r="D743" s="22"/>
      <c r="E743" s="22"/>
      <c r="F743" s="22"/>
      <c r="G743" s="22"/>
      <c r="H743" s="22"/>
      <c r="I743" s="40"/>
    </row>
  </sheetData>
  <mergeCells count="25">
    <mergeCell ref="N1:O1"/>
    <mergeCell ref="T9:AA9"/>
    <mergeCell ref="A9:H9"/>
    <mergeCell ref="A11:H11"/>
    <mergeCell ref="A32:H32"/>
    <mergeCell ref="A621:K621"/>
    <mergeCell ref="A715:I715"/>
    <mergeCell ref="T12:AA12"/>
    <mergeCell ref="T32:AB32"/>
    <mergeCell ref="T69:AB69"/>
    <mergeCell ref="T106:AB106"/>
    <mergeCell ref="T136:AA136"/>
    <mergeCell ref="T156:AA156"/>
    <mergeCell ref="A72:H72"/>
    <mergeCell ref="A93:I93"/>
    <mergeCell ref="A130:I130"/>
    <mergeCell ref="A167:J167"/>
    <mergeCell ref="A209:K209"/>
    <mergeCell ref="A53:H53"/>
    <mergeCell ref="T176:AA176"/>
    <mergeCell ref="T195:AA195"/>
    <mergeCell ref="T215:AB215"/>
    <mergeCell ref="T252:AA252"/>
    <mergeCell ref="T271:AC271"/>
    <mergeCell ref="A453:K4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4BA4-A5A4-4590-B148-5577A506A05A}">
  <dimension ref="A2:Z121"/>
  <sheetViews>
    <sheetView topLeftCell="I1" workbookViewId="0">
      <selection activeCell="AA17" sqref="AA17"/>
    </sheetView>
  </sheetViews>
  <sheetFormatPr defaultRowHeight="14.4" x14ac:dyDescent="0.3"/>
  <cols>
    <col min="19" max="26" width="9.21875" bestFit="1" customWidth="1"/>
  </cols>
  <sheetData>
    <row r="2" spans="1:26" x14ac:dyDescent="0.3">
      <c r="A2" s="26" t="s">
        <v>190</v>
      </c>
      <c r="B2" s="27" t="s">
        <v>160</v>
      </c>
      <c r="C2" s="27"/>
      <c r="D2" s="28">
        <f>(D3-B3)/B3*100</f>
        <v>6.189096213123986E-2</v>
      </c>
      <c r="E2" s="28">
        <f>(E3-B3)/B3*100</f>
        <v>0.12378192426247972</v>
      </c>
      <c r="F2" s="28">
        <f>(F3-B3)/B3*100</f>
        <v>0.1856728864143869</v>
      </c>
      <c r="G2" s="28">
        <f>(G3-B3)/B3*100</f>
        <v>0.24756384854562677</v>
      </c>
      <c r="H2" s="29">
        <f>(H3-B3)/B3*100</f>
        <v>0.30945481069753394</v>
      </c>
    </row>
    <row r="3" spans="1:26" x14ac:dyDescent="0.3">
      <c r="A3" s="30" t="s">
        <v>178</v>
      </c>
      <c r="B3">
        <v>4840.7044030870002</v>
      </c>
      <c r="D3" s="21">
        <v>4843.700361616</v>
      </c>
      <c r="E3" s="21">
        <v>4846.6963201449998</v>
      </c>
      <c r="F3" s="21">
        <v>4849.6922786750001</v>
      </c>
      <c r="G3" s="25">
        <v>4852.688237204</v>
      </c>
      <c r="H3" s="31">
        <v>4855.6841957340002</v>
      </c>
      <c r="K3" t="s">
        <v>160</v>
      </c>
    </row>
    <row r="4" spans="1:26" x14ac:dyDescent="0.3">
      <c r="A4" s="30"/>
      <c r="D4" s="16">
        <f>(D5-B5)/B5*100</f>
        <v>0</v>
      </c>
      <c r="E4" s="16">
        <f>(E5-B5)/B5*100</f>
        <v>0</v>
      </c>
      <c r="F4" s="16">
        <f>(F5-B5)/B5*100</f>
        <v>0</v>
      </c>
      <c r="G4" s="16">
        <f>(G5-B5)/B5*100</f>
        <v>0</v>
      </c>
      <c r="H4" s="32">
        <f>(H5-B5)/B5*100</f>
        <v>0</v>
      </c>
      <c r="K4" t="s">
        <v>202</v>
      </c>
      <c r="L4" t="s">
        <v>203</v>
      </c>
      <c r="M4" t="s">
        <v>204</v>
      </c>
      <c r="N4" t="s">
        <v>205</v>
      </c>
    </row>
    <row r="5" spans="1:26" x14ac:dyDescent="0.3">
      <c r="A5" s="30" t="s">
        <v>158</v>
      </c>
      <c r="B5">
        <v>815497.45</v>
      </c>
      <c r="D5" s="21">
        <v>815497.45</v>
      </c>
      <c r="E5" s="21">
        <v>815497.45</v>
      </c>
      <c r="F5" s="21">
        <v>815497.45</v>
      </c>
      <c r="G5" s="21">
        <v>815497.45</v>
      </c>
      <c r="H5" s="31">
        <v>815497.45</v>
      </c>
      <c r="J5" s="21">
        <v>1</v>
      </c>
      <c r="K5">
        <v>6.189096213123986E-2</v>
      </c>
      <c r="L5">
        <v>5.0550816497701547E-3</v>
      </c>
      <c r="M5">
        <v>2.3757673764665073E-3</v>
      </c>
      <c r="N5">
        <v>3.7676348277670968E-3</v>
      </c>
      <c r="R5" s="26"/>
      <c r="S5" s="65" t="s">
        <v>202</v>
      </c>
      <c r="T5" s="65"/>
      <c r="U5" s="65" t="s">
        <v>203</v>
      </c>
      <c r="V5" s="65"/>
      <c r="W5" s="65" t="s">
        <v>204</v>
      </c>
      <c r="X5" s="65"/>
      <c r="Y5" s="65" t="s">
        <v>205</v>
      </c>
      <c r="Z5" s="66"/>
    </row>
    <row r="6" spans="1:26" x14ac:dyDescent="0.3">
      <c r="A6" s="30"/>
      <c r="H6" s="33"/>
      <c r="J6">
        <v>2</v>
      </c>
      <c r="K6">
        <v>0.12378192426247972</v>
      </c>
      <c r="L6">
        <v>1.0110163278872982E-2</v>
      </c>
      <c r="M6">
        <v>4.7515347529330145E-3</v>
      </c>
      <c r="N6">
        <v>7.535269676182732E-3</v>
      </c>
      <c r="Q6" s="61" t="s">
        <v>207</v>
      </c>
      <c r="R6" s="30"/>
      <c r="S6" t="s">
        <v>160</v>
      </c>
      <c r="T6" t="s">
        <v>161</v>
      </c>
      <c r="U6" t="s">
        <v>160</v>
      </c>
      <c r="V6" t="s">
        <v>161</v>
      </c>
      <c r="W6" t="s">
        <v>160</v>
      </c>
      <c r="X6" t="s">
        <v>161</v>
      </c>
      <c r="Y6" t="s">
        <v>160</v>
      </c>
      <c r="Z6" s="33" t="s">
        <v>161</v>
      </c>
    </row>
    <row r="7" spans="1:26" x14ac:dyDescent="0.3">
      <c r="A7" s="30"/>
      <c r="H7" s="33"/>
      <c r="J7">
        <v>3</v>
      </c>
      <c r="K7">
        <v>0.1856728864143869</v>
      </c>
      <c r="L7">
        <v>1.5165244928643136E-2</v>
      </c>
      <c r="M7">
        <v>7.1273021294183114E-3</v>
      </c>
      <c r="N7">
        <v>1.1302904524617154E-2</v>
      </c>
      <c r="Q7" s="61"/>
      <c r="R7" s="38">
        <v>0.01</v>
      </c>
      <c r="S7" s="6">
        <v>6.189096213123986E-2</v>
      </c>
      <c r="T7" s="6">
        <v>5.1846982362814563E-2</v>
      </c>
      <c r="U7" s="6">
        <v>5.0550816497701547E-3</v>
      </c>
      <c r="V7" s="6">
        <v>3.9394968359849512E-3</v>
      </c>
      <c r="W7" s="6">
        <v>2.3757673764665073E-3</v>
      </c>
      <c r="X7" s="6">
        <v>2.0146912186556794E-3</v>
      </c>
      <c r="Y7" s="6">
        <v>3.7676348277670968E-3</v>
      </c>
      <c r="Z7" s="41">
        <v>1.8457523890549781E-3</v>
      </c>
    </row>
    <row r="8" spans="1:26" x14ac:dyDescent="0.3">
      <c r="A8" s="30"/>
      <c r="B8" t="s">
        <v>161</v>
      </c>
      <c r="D8" s="16">
        <f>(D9-B9)/B9*100</f>
        <v>5.1846982362814563E-2</v>
      </c>
      <c r="E8" s="16">
        <f>(E9-B9)/B9*100</f>
        <v>0.10304322447931762</v>
      </c>
      <c r="F8" s="16">
        <f>(F9-B9)/B9*100</f>
        <v>0.15052982138318408</v>
      </c>
      <c r="G8" s="16">
        <f>(G9-B9)/B9*100</f>
        <v>0.20310794454244346</v>
      </c>
      <c r="H8" s="32">
        <f>(H9-B9)/B9*100</f>
        <v>0.25430418665894655</v>
      </c>
      <c r="J8">
        <v>4</v>
      </c>
      <c r="K8">
        <v>0.24756384854562677</v>
      </c>
      <c r="L8">
        <v>2.022032657841329E-2</v>
      </c>
      <c r="M8">
        <v>9.5030695058848178E-3</v>
      </c>
      <c r="N8">
        <v>1.5070539352384253E-2</v>
      </c>
      <c r="Q8" s="61"/>
      <c r="R8" s="38">
        <v>0.02</v>
      </c>
      <c r="S8" s="6">
        <v>0.12378192426247972</v>
      </c>
      <c r="T8" s="6">
        <v>0.10304322447931762</v>
      </c>
      <c r="U8" s="6">
        <v>1.0110163278872982E-2</v>
      </c>
      <c r="V8" s="6">
        <v>1.4332270226953618E-2</v>
      </c>
      <c r="W8" s="6">
        <v>4.7515347529330145E-3</v>
      </c>
      <c r="X8" s="6">
        <v>4.0293824583906837E-3</v>
      </c>
      <c r="Y8" s="6">
        <v>7.535269676182732E-3</v>
      </c>
      <c r="Z8" s="41">
        <v>2.935265649631784E-3</v>
      </c>
    </row>
    <row r="9" spans="1:26" x14ac:dyDescent="0.3">
      <c r="A9" s="30" t="s">
        <v>178</v>
      </c>
      <c r="B9">
        <v>4741.7772567669999</v>
      </c>
      <c r="D9" s="21">
        <v>4744.2357251849999</v>
      </c>
      <c r="E9" s="21">
        <v>4746.6633369499996</v>
      </c>
      <c r="F9" s="21">
        <v>4748.9150456019997</v>
      </c>
      <c r="G9" s="21">
        <v>4751.4081830880004</v>
      </c>
      <c r="H9" s="31">
        <v>4753.8357948530002</v>
      </c>
      <c r="J9" s="21">
        <v>5</v>
      </c>
      <c r="K9">
        <v>0.30945481069753394</v>
      </c>
      <c r="L9">
        <v>2.5275408228183444E-2</v>
      </c>
      <c r="M9">
        <v>1.1878836882351324E-2</v>
      </c>
      <c r="N9">
        <v>1.8838174200818673E-2</v>
      </c>
      <c r="Q9" s="61"/>
      <c r="R9" s="38">
        <v>0.03</v>
      </c>
      <c r="S9" s="6">
        <v>0.1856728864143869</v>
      </c>
      <c r="T9" s="6">
        <v>0.15052982138318408</v>
      </c>
      <c r="U9" s="6">
        <v>1.5165244928643136E-2</v>
      </c>
      <c r="V9" s="6">
        <v>1.8335034501236403E-2</v>
      </c>
      <c r="W9" s="6">
        <v>7.1273021294183114E-3</v>
      </c>
      <c r="X9" s="6">
        <v>6.0440736770463631E-3</v>
      </c>
      <c r="Y9" s="6">
        <v>1.1302904524617154E-2</v>
      </c>
      <c r="Z9" s="41">
        <v>1.4201723247107863E-2</v>
      </c>
    </row>
    <row r="10" spans="1:26" x14ac:dyDescent="0.3">
      <c r="A10" s="30"/>
      <c r="D10" s="16">
        <f>(D11-B11)/B11*100</f>
        <v>-2.8825825203485445E-3</v>
      </c>
      <c r="E10" s="16">
        <f>(E11-B11)/B11*100</f>
        <v>-2.8825825203485445E-3</v>
      </c>
      <c r="F10" s="16">
        <f>(F11-B11)/B11*100</f>
        <v>7.0843129736246758E-4</v>
      </c>
      <c r="G10" s="16">
        <f>(G11-B11)/B11*100</f>
        <v>-1.3557909311869083E-3</v>
      </c>
      <c r="H10" s="32">
        <f>(H11-B11)/B11*100</f>
        <v>-1.3557909311869083E-3</v>
      </c>
      <c r="Q10" s="61"/>
      <c r="R10" s="38">
        <v>0.04</v>
      </c>
      <c r="S10" s="6">
        <v>0.24756384854562677</v>
      </c>
      <c r="T10" s="6">
        <v>0.20310794454244346</v>
      </c>
      <c r="U10" s="6">
        <v>2.022032657841329E-2</v>
      </c>
      <c r="V10" s="6">
        <v>2.2337798754439864E-2</v>
      </c>
      <c r="W10" s="6">
        <v>9.5030695058848178E-3</v>
      </c>
      <c r="X10" s="6">
        <v>8.0587649167813673E-3</v>
      </c>
      <c r="Y10" s="6">
        <v>1.5070539352384253E-2</v>
      </c>
      <c r="Z10" s="41">
        <v>2.6099570118657704E-2</v>
      </c>
    </row>
    <row r="11" spans="1:26" x14ac:dyDescent="0.3">
      <c r="A11" s="34" t="s">
        <v>158</v>
      </c>
      <c r="B11" s="22">
        <v>818710.3</v>
      </c>
      <c r="C11" s="22"/>
      <c r="D11" s="35">
        <v>818686.7</v>
      </c>
      <c r="E11" s="35">
        <v>818686.7</v>
      </c>
      <c r="F11" s="35">
        <v>818716.1</v>
      </c>
      <c r="G11" s="35">
        <v>818699.2</v>
      </c>
      <c r="H11" s="36">
        <v>818699.2</v>
      </c>
      <c r="Q11" s="61"/>
      <c r="R11" s="39">
        <v>0.05</v>
      </c>
      <c r="S11" s="42">
        <v>0.30945481069753394</v>
      </c>
      <c r="T11" s="42">
        <v>0.25430418665894655</v>
      </c>
      <c r="U11" s="42">
        <v>2.5275408228183444E-2</v>
      </c>
      <c r="V11" s="42">
        <v>2.6340563028722654E-2</v>
      </c>
      <c r="W11" s="42">
        <v>1.1878836882351324E-2</v>
      </c>
      <c r="X11" s="42">
        <v>1.0073456135417866E-2</v>
      </c>
      <c r="Y11" s="42">
        <v>1.8838174200818673E-2</v>
      </c>
      <c r="Z11" s="43">
        <v>2.6552554281264788E-2</v>
      </c>
    </row>
    <row r="12" spans="1:26" x14ac:dyDescent="0.3">
      <c r="S12" s="23"/>
      <c r="T12" s="23"/>
    </row>
    <row r="13" spans="1:26" x14ac:dyDescent="0.3">
      <c r="A13" s="26" t="s">
        <v>191</v>
      </c>
      <c r="B13" s="27" t="s">
        <v>160</v>
      </c>
      <c r="C13" s="27"/>
      <c r="D13" s="28">
        <f>(D14-B14)/B14*100</f>
        <v>5.0550816497701547E-3</v>
      </c>
      <c r="E13" s="28">
        <f>(E14-B14)/B14*100</f>
        <v>1.0110163278872982E-2</v>
      </c>
      <c r="F13" s="28">
        <f>(F14-B14)/B14*100</f>
        <v>1.5165244928643136E-2</v>
      </c>
      <c r="G13" s="28">
        <f>(G14-B14)/B14*100</f>
        <v>2.022032657841329E-2</v>
      </c>
      <c r="H13" s="29">
        <f>(H14-B14)/B14*100</f>
        <v>2.5275408228183444E-2</v>
      </c>
      <c r="K13" t="s">
        <v>161</v>
      </c>
      <c r="R13" s="20"/>
    </row>
    <row r="14" spans="1:26" x14ac:dyDescent="0.3">
      <c r="A14" s="30" t="s">
        <v>178</v>
      </c>
      <c r="B14">
        <v>4840.7044030870002</v>
      </c>
      <c r="D14" s="21">
        <v>4840.9491046470002</v>
      </c>
      <c r="E14" s="21">
        <v>4841.1938062059999</v>
      </c>
      <c r="F14" s="21">
        <v>4841.4385077659999</v>
      </c>
      <c r="G14" s="21">
        <v>4841.683209326</v>
      </c>
      <c r="H14" s="31">
        <v>4841.9279108860001</v>
      </c>
      <c r="I14" s="21"/>
      <c r="K14" t="s">
        <v>202</v>
      </c>
      <c r="L14" t="s">
        <v>203</v>
      </c>
      <c r="M14" t="s">
        <v>204</v>
      </c>
      <c r="N14" t="s">
        <v>205</v>
      </c>
      <c r="R14" s="20"/>
    </row>
    <row r="15" spans="1:26" x14ac:dyDescent="0.3">
      <c r="A15" s="30"/>
      <c r="D15" s="16">
        <f>(D16-B16)/B16*100</f>
        <v>0</v>
      </c>
      <c r="E15" s="16">
        <f>(E16-B16)/B16*100</f>
        <v>0</v>
      </c>
      <c r="F15" s="16">
        <f>(F16-B16)/B16*100</f>
        <v>0</v>
      </c>
      <c r="G15" s="16">
        <f>(G16-B16)/B16*100</f>
        <v>0</v>
      </c>
      <c r="H15" s="32">
        <f>(H16-B16)/B16*100</f>
        <v>0</v>
      </c>
      <c r="J15" s="21">
        <v>1</v>
      </c>
      <c r="K15">
        <v>5.1846982362814563E-2</v>
      </c>
      <c r="L15">
        <v>3.9394968359849512E-3</v>
      </c>
      <c r="M15">
        <v>2.0146912186556794E-3</v>
      </c>
      <c r="N15">
        <v>1.8457523890549781E-3</v>
      </c>
      <c r="R15" s="20"/>
    </row>
    <row r="16" spans="1:26" x14ac:dyDescent="0.3">
      <c r="A16" s="30" t="s">
        <v>158</v>
      </c>
      <c r="B16">
        <v>815497.45</v>
      </c>
      <c r="D16" s="21">
        <v>815497.45</v>
      </c>
      <c r="E16" s="21">
        <v>815497.45</v>
      </c>
      <c r="F16" s="21">
        <v>815497.45</v>
      </c>
      <c r="G16" s="21">
        <v>815497.45</v>
      </c>
      <c r="H16" s="31">
        <v>815497.45</v>
      </c>
      <c r="I16" s="21"/>
      <c r="J16">
        <v>2</v>
      </c>
      <c r="K16">
        <v>0.10304322447931762</v>
      </c>
      <c r="L16">
        <v>1.4332270226953618E-2</v>
      </c>
      <c r="M16">
        <v>4.0293824583906837E-3</v>
      </c>
      <c r="N16">
        <v>2.935265649631784E-3</v>
      </c>
      <c r="R16" s="20"/>
    </row>
    <row r="17" spans="1:18" x14ac:dyDescent="0.3">
      <c r="A17" s="30"/>
      <c r="H17" s="33"/>
      <c r="J17">
        <v>3</v>
      </c>
      <c r="K17">
        <v>0.15052982138318408</v>
      </c>
      <c r="L17">
        <v>1.8335034501236403E-2</v>
      </c>
      <c r="M17">
        <v>6.0440736770463631E-3</v>
      </c>
      <c r="N17">
        <v>1.4201723247107863E-2</v>
      </c>
      <c r="R17" s="20"/>
    </row>
    <row r="18" spans="1:18" x14ac:dyDescent="0.3">
      <c r="A18" s="30"/>
      <c r="H18" s="33"/>
      <c r="J18">
        <v>4</v>
      </c>
      <c r="K18">
        <v>0.20310794454244346</v>
      </c>
      <c r="L18">
        <v>2.2337798754439864E-2</v>
      </c>
      <c r="M18">
        <v>8.0587649167813673E-3</v>
      </c>
      <c r="N18">
        <v>2.6099570118657704E-2</v>
      </c>
    </row>
    <row r="19" spans="1:18" x14ac:dyDescent="0.3">
      <c r="A19" s="30"/>
      <c r="B19" t="s">
        <v>161</v>
      </c>
      <c r="D19" s="16">
        <f>(D20-B20)/B20*100</f>
        <v>3.9394968359849512E-3</v>
      </c>
      <c r="E19" s="16">
        <f>(E20-B20)/B20*100</f>
        <v>1.4332270226953618E-2</v>
      </c>
      <c r="F19" s="16">
        <f>(F20-B20)/B20*100</f>
        <v>1.8335034501236403E-2</v>
      </c>
      <c r="G19" s="16">
        <f>(G20-B20)/B20*100</f>
        <v>2.2337798754439864E-2</v>
      </c>
      <c r="H19" s="32">
        <f>(H20-B20)/B20*100</f>
        <v>2.6340563028722654E-2</v>
      </c>
      <c r="J19" s="21">
        <v>5</v>
      </c>
      <c r="K19">
        <v>0.25430418665894655</v>
      </c>
      <c r="L19">
        <v>2.6340563028722654E-2</v>
      </c>
      <c r="M19">
        <v>1.0073456135417866E-2</v>
      </c>
      <c r="N19">
        <v>2.6552554281264788E-2</v>
      </c>
    </row>
    <row r="20" spans="1:18" x14ac:dyDescent="0.3">
      <c r="A20" s="30" t="s">
        <v>178</v>
      </c>
      <c r="B20">
        <v>4741.7772567669999</v>
      </c>
      <c r="D20" s="21">
        <v>4741.9640589319997</v>
      </c>
      <c r="E20" s="21">
        <v>4742.456861097</v>
      </c>
      <c r="F20" s="21">
        <v>4742.6466632629999</v>
      </c>
      <c r="G20" s="21">
        <v>4742.8364654280003</v>
      </c>
      <c r="H20" s="31">
        <v>4743.0262675940003</v>
      </c>
      <c r="I20" s="21"/>
    </row>
    <row r="21" spans="1:18" x14ac:dyDescent="0.3">
      <c r="A21" s="30"/>
      <c r="D21" s="16">
        <f>(D22-B22)/B22*100</f>
        <v>0</v>
      </c>
      <c r="E21" s="16">
        <f>(E22-B22)/B22*100</f>
        <v>-5.7163077098268539E-3</v>
      </c>
      <c r="F21" s="16">
        <f>(F22-B22)/B22*100</f>
        <v>-5.7163077098268539E-3</v>
      </c>
      <c r="G21" s="16">
        <f>(G22-B22)/B22*100</f>
        <v>-5.7163077098268539E-3</v>
      </c>
      <c r="H21" s="32">
        <f>(H22-B22)/B22*100</f>
        <v>-5.7163077098268539E-3</v>
      </c>
    </row>
    <row r="22" spans="1:18" x14ac:dyDescent="0.3">
      <c r="A22" s="34" t="s">
        <v>158</v>
      </c>
      <c r="B22" s="22">
        <v>818710.3</v>
      </c>
      <c r="C22" s="22"/>
      <c r="D22" s="35">
        <v>818710.3</v>
      </c>
      <c r="E22" s="35">
        <v>818663.5</v>
      </c>
      <c r="F22" s="35">
        <v>818663.5</v>
      </c>
      <c r="G22" s="35">
        <v>818663.5</v>
      </c>
      <c r="H22" s="36">
        <v>818663.5</v>
      </c>
      <c r="I22" s="21"/>
    </row>
    <row r="24" spans="1:18" x14ac:dyDescent="0.3">
      <c r="A24" s="26" t="s">
        <v>193</v>
      </c>
      <c r="B24" s="27" t="s">
        <v>160</v>
      </c>
      <c r="C24" s="27"/>
      <c r="D24" s="28">
        <f>(D25-B25)/B25*100</f>
        <v>2.3757673764665073E-3</v>
      </c>
      <c r="E24" s="28">
        <f>(E25-B25)/B25*100</f>
        <v>4.7515347529330145E-3</v>
      </c>
      <c r="F24" s="28">
        <f>(F25-B25)/B25*100</f>
        <v>7.1273021294183114E-3</v>
      </c>
      <c r="G24" s="28">
        <f>(G25-B25)/B25*100</f>
        <v>9.5030695058848178E-3</v>
      </c>
      <c r="H24" s="29">
        <f>(H25-B25)/B25*100</f>
        <v>1.1878836882351324E-2</v>
      </c>
    </row>
    <row r="25" spans="1:18" x14ac:dyDescent="0.3">
      <c r="A25" s="30" t="s">
        <v>178</v>
      </c>
      <c r="B25">
        <v>4840.7044030870002</v>
      </c>
      <c r="D25" s="21">
        <v>4840.8194069629999</v>
      </c>
      <c r="E25" s="21">
        <v>4840.9344108389996</v>
      </c>
      <c r="F25" s="21">
        <v>4841.0494147150002</v>
      </c>
      <c r="G25" s="21">
        <v>4841.164418591</v>
      </c>
      <c r="H25" s="31">
        <v>4841.2794224669997</v>
      </c>
    </row>
    <row r="26" spans="1:18" x14ac:dyDescent="0.3">
      <c r="A26" s="30"/>
      <c r="D26" s="16">
        <f>(D27-B27)/B27*100</f>
        <v>0</v>
      </c>
      <c r="E26" s="16">
        <f>(E27-B27)/B27*100</f>
        <v>0</v>
      </c>
      <c r="F26" s="16">
        <f>(F27-B27)/B27*100</f>
        <v>0</v>
      </c>
      <c r="G26" s="16">
        <f>(G27-B27)/B27*100</f>
        <v>0</v>
      </c>
      <c r="H26" s="32">
        <f>(H27-B27)/B27*100</f>
        <v>0</v>
      </c>
    </row>
    <row r="27" spans="1:18" x14ac:dyDescent="0.3">
      <c r="A27" s="30" t="s">
        <v>158</v>
      </c>
      <c r="B27">
        <v>815497.45</v>
      </c>
      <c r="D27" s="21">
        <v>815497.45</v>
      </c>
      <c r="E27" s="21">
        <v>815497.45</v>
      </c>
      <c r="F27" s="21">
        <v>815497.45</v>
      </c>
      <c r="G27" s="21">
        <v>815497.45</v>
      </c>
      <c r="H27" s="31">
        <v>815497.45</v>
      </c>
    </row>
    <row r="28" spans="1:18" x14ac:dyDescent="0.3">
      <c r="A28" s="30"/>
      <c r="H28" s="33"/>
    </row>
    <row r="29" spans="1:18" x14ac:dyDescent="0.3">
      <c r="A29" s="30"/>
      <c r="H29" s="33"/>
    </row>
    <row r="30" spans="1:18" x14ac:dyDescent="0.3">
      <c r="A30" s="30"/>
      <c r="B30" t="s">
        <v>161</v>
      </c>
      <c r="D30" s="16">
        <f>(D31-B31)/B31*100</f>
        <v>2.0146912186556794E-3</v>
      </c>
      <c r="E30" s="16">
        <f>(E31-B31)/B31*100</f>
        <v>4.0293824583906837E-3</v>
      </c>
      <c r="F30" s="16">
        <f>(F31-B31)/B31*100</f>
        <v>6.0440736770463631E-3</v>
      </c>
      <c r="G30" s="16">
        <f>(G31-B31)/B31*100</f>
        <v>8.0587649167813673E-3</v>
      </c>
      <c r="H30" s="32">
        <f>(H31-B31)/B31*100</f>
        <v>1.0073456135417866E-2</v>
      </c>
    </row>
    <row r="31" spans="1:18" x14ac:dyDescent="0.3">
      <c r="A31" s="30" t="s">
        <v>178</v>
      </c>
      <c r="B31">
        <v>4741.7772567669999</v>
      </c>
      <c r="D31" s="21">
        <v>4741.8727889370002</v>
      </c>
      <c r="E31" s="21">
        <v>4741.9683211080001</v>
      </c>
      <c r="F31" s="25">
        <v>4742.0638532780004</v>
      </c>
      <c r="G31" s="21">
        <v>4742.1593854490002</v>
      </c>
      <c r="H31" s="37">
        <v>4742.2549176189996</v>
      </c>
    </row>
    <row r="32" spans="1:18" x14ac:dyDescent="0.3">
      <c r="A32" s="30"/>
      <c r="D32" s="16">
        <f>(D33-B33)/B33*100</f>
        <v>0</v>
      </c>
      <c r="E32" s="16">
        <f>(E33-B33)/B33*100</f>
        <v>0</v>
      </c>
      <c r="F32" s="16">
        <f>(F33-B33)/B33*100</f>
        <v>0</v>
      </c>
      <c r="G32" s="16">
        <f>(G33-B33)/B33*100</f>
        <v>0</v>
      </c>
      <c r="H32" s="32">
        <f>(H33-B33)/B33*100</f>
        <v>0</v>
      </c>
    </row>
    <row r="33" spans="1:8" x14ac:dyDescent="0.3">
      <c r="A33" s="34" t="s">
        <v>158</v>
      </c>
      <c r="B33" s="22">
        <v>818710.3</v>
      </c>
      <c r="C33" s="22"/>
      <c r="D33" s="35">
        <v>818710.3</v>
      </c>
      <c r="E33" s="35">
        <v>818710.3</v>
      </c>
      <c r="F33" s="35">
        <v>818710.3</v>
      </c>
      <c r="G33" s="35">
        <v>818710.3</v>
      </c>
      <c r="H33" s="36">
        <v>818710.3</v>
      </c>
    </row>
    <row r="35" spans="1:8" x14ac:dyDescent="0.3">
      <c r="A35" s="26" t="s">
        <v>192</v>
      </c>
      <c r="B35" s="27" t="s">
        <v>160</v>
      </c>
      <c r="C35" s="27"/>
      <c r="D35" s="28">
        <f>(D36-B36)/B36*100</f>
        <v>3.7676348277670968E-3</v>
      </c>
      <c r="E35" s="28">
        <f>(E36-B36)/B36*100</f>
        <v>7.535269676182732E-3</v>
      </c>
      <c r="F35" s="28">
        <f>(F36-B36)/B36*100</f>
        <v>1.1302904524617154E-2</v>
      </c>
      <c r="G35" s="28">
        <f>(G36-B36)/B36*100</f>
        <v>1.5070539352384253E-2</v>
      </c>
      <c r="H35" s="29">
        <f>(H36-B36)/B36*100</f>
        <v>1.8838174200818673E-2</v>
      </c>
    </row>
    <row r="36" spans="1:8" x14ac:dyDescent="0.3">
      <c r="A36" s="30" t="s">
        <v>178</v>
      </c>
      <c r="B36">
        <v>4840.7044030870002</v>
      </c>
      <c r="D36" s="21">
        <v>4840.8867831520001</v>
      </c>
      <c r="E36" s="21">
        <v>4841.0691632179996</v>
      </c>
      <c r="F36" s="21">
        <v>4841.251543284</v>
      </c>
      <c r="G36" s="21">
        <v>4841.433923349</v>
      </c>
      <c r="H36" s="31">
        <v>4841.6163034150004</v>
      </c>
    </row>
    <row r="37" spans="1:8" x14ac:dyDescent="0.3">
      <c r="A37" s="30"/>
      <c r="D37" s="16">
        <f>(D38-B38)/B38*100</f>
        <v>0</v>
      </c>
      <c r="E37" s="16">
        <f>(E38-B38)/B38*100</f>
        <v>0</v>
      </c>
      <c r="F37" s="16">
        <f>(F38-B38)/B38*100</f>
        <v>0</v>
      </c>
      <c r="G37" s="16">
        <f>(G38-B38)/B38*100</f>
        <v>0</v>
      </c>
      <c r="H37" s="32">
        <f>(H38-B38)/B38*100</f>
        <v>0</v>
      </c>
    </row>
    <row r="38" spans="1:8" x14ac:dyDescent="0.3">
      <c r="A38" s="30" t="s">
        <v>158</v>
      </c>
      <c r="B38">
        <v>815497.45</v>
      </c>
      <c r="D38" s="21">
        <v>815497.45</v>
      </c>
      <c r="E38" s="21">
        <v>815497.45</v>
      </c>
      <c r="F38" s="21">
        <v>815497.45</v>
      </c>
      <c r="G38" s="21">
        <v>815497.45</v>
      </c>
      <c r="H38" s="31">
        <v>815497.45</v>
      </c>
    </row>
    <row r="39" spans="1:8" x14ac:dyDescent="0.3">
      <c r="A39" s="30"/>
      <c r="H39" s="33"/>
    </row>
    <row r="40" spans="1:8" x14ac:dyDescent="0.3">
      <c r="A40" s="30"/>
      <c r="H40" s="33"/>
    </row>
    <row r="41" spans="1:8" x14ac:dyDescent="0.3">
      <c r="A41" s="30"/>
      <c r="B41" t="s">
        <v>161</v>
      </c>
      <c r="D41" s="16">
        <f>(D42-B42)/B42*100</f>
        <v>1.8457523890549781E-3</v>
      </c>
      <c r="E41" s="16">
        <f>(E42-B42)/B42*100</f>
        <v>2.935265649631784E-3</v>
      </c>
      <c r="F41" s="16">
        <f>(F42-B42)/B42*100</f>
        <v>1.4201723247107863E-2</v>
      </c>
      <c r="G41" s="16">
        <f>(G42-B42)/B42*100</f>
        <v>2.6099570118657704E-2</v>
      </c>
      <c r="H41" s="32">
        <f>(H42-B42)/B42*100</f>
        <v>2.6552554281264788E-2</v>
      </c>
    </row>
    <row r="42" spans="1:8" x14ac:dyDescent="0.3">
      <c r="A42" s="30" t="s">
        <v>178</v>
      </c>
      <c r="B42">
        <v>4741.7772567669999</v>
      </c>
      <c r="D42" s="21">
        <v>4741.8647782340004</v>
      </c>
      <c r="E42" s="21">
        <v>4741.9164405259999</v>
      </c>
      <c r="F42" s="21">
        <v>4742.4506708500003</v>
      </c>
      <c r="G42" s="21">
        <v>4743.0148402470004</v>
      </c>
      <c r="H42" s="31">
        <v>4743.0363197469997</v>
      </c>
    </row>
    <row r="43" spans="1:8" x14ac:dyDescent="0.3">
      <c r="A43" s="30"/>
      <c r="D43" s="16">
        <f>(D44-B44)/B44*100</f>
        <v>3.6642998139879267E-4</v>
      </c>
      <c r="E43" s="16">
        <f>(E44-B44)/B44*100</f>
        <v>1.2825049348957744E-3</v>
      </c>
      <c r="F43" s="16">
        <f>(F44-B44)/B44*100</f>
        <v>-8.9164628807039542E-3</v>
      </c>
      <c r="G43" s="16">
        <f>(G44-B44)/B44*100</f>
        <v>-1.4754913917663742E-2</v>
      </c>
      <c r="H43" s="32">
        <f>(H44-B44)/B44*100</f>
        <v>-1.6000775854413948E-2</v>
      </c>
    </row>
    <row r="44" spans="1:8" x14ac:dyDescent="0.3">
      <c r="A44" s="34" t="s">
        <v>158</v>
      </c>
      <c r="B44" s="22">
        <v>818710.3</v>
      </c>
      <c r="C44" s="22"/>
      <c r="D44" s="35">
        <v>818713.3</v>
      </c>
      <c r="E44" s="35">
        <v>818720.8</v>
      </c>
      <c r="F44" s="35">
        <v>818637.3</v>
      </c>
      <c r="G44" s="35">
        <v>818589.5</v>
      </c>
      <c r="H44" s="36">
        <v>818579.3</v>
      </c>
    </row>
    <row r="46" spans="1:8" x14ac:dyDescent="0.3">
      <c r="A46" s="26" t="s">
        <v>194</v>
      </c>
      <c r="B46" s="27" t="s">
        <v>160</v>
      </c>
      <c r="C46" s="27"/>
      <c r="D46" s="28">
        <f>(D47-B47)/B47*100</f>
        <v>-6.1278180343108987E-2</v>
      </c>
      <c r="E46" s="28">
        <f>(E47-B47)/B47*100</f>
        <v>-0.12135482772411567</v>
      </c>
      <c r="F46" s="28">
        <f>(F47-B47)/B47*100</f>
        <v>-0.18026493826881257</v>
      </c>
      <c r="G46" s="28">
        <f>(G47-B47)/B47*100</f>
        <v>-0.23804216207978973</v>
      </c>
      <c r="H46" s="29">
        <f>(H47-B47)/B47*100</f>
        <v>-0.29471886733885261</v>
      </c>
    </row>
    <row r="47" spans="1:8" x14ac:dyDescent="0.3">
      <c r="A47" s="30" t="s">
        <v>178</v>
      </c>
      <c r="B47">
        <v>4840.7044030870002</v>
      </c>
      <c r="D47" s="21">
        <v>4837.7381075129997</v>
      </c>
      <c r="E47" s="21">
        <v>4834.8299745980003</v>
      </c>
      <c r="F47" s="21">
        <v>4831.9783102829997</v>
      </c>
      <c r="G47" s="21">
        <v>4829.1814856660003</v>
      </c>
      <c r="H47" s="31">
        <v>4826.4379338990002</v>
      </c>
    </row>
    <row r="48" spans="1:8" x14ac:dyDescent="0.3">
      <c r="A48" s="30"/>
      <c r="D48" s="16">
        <f>(D49-B49)/B49*100</f>
        <v>0</v>
      </c>
      <c r="E48" s="16">
        <f>(E49-B49)/B49*100</f>
        <v>0</v>
      </c>
      <c r="F48" s="16">
        <f>(F49-B49)/B49*100</f>
        <v>0</v>
      </c>
      <c r="G48" s="16">
        <f>(G49-B49)/B49*100</f>
        <v>0</v>
      </c>
      <c r="H48" s="32">
        <f>(H49-B49)/B49*100</f>
        <v>0</v>
      </c>
    </row>
    <row r="49" spans="1:26" x14ac:dyDescent="0.3">
      <c r="A49" s="30" t="s">
        <v>158</v>
      </c>
      <c r="B49">
        <v>815497.45</v>
      </c>
      <c r="D49" s="21">
        <v>815497.45</v>
      </c>
      <c r="E49" s="21">
        <v>815497.45</v>
      </c>
      <c r="F49" s="21">
        <v>815497.45</v>
      </c>
      <c r="G49" s="21">
        <v>815497.45</v>
      </c>
      <c r="H49" s="31">
        <v>815497.45</v>
      </c>
    </row>
    <row r="50" spans="1:26" x14ac:dyDescent="0.3">
      <c r="A50" s="30"/>
      <c r="H50" s="33"/>
    </row>
    <row r="51" spans="1:26" x14ac:dyDescent="0.3">
      <c r="A51" s="30"/>
      <c r="H51" s="33"/>
    </row>
    <row r="52" spans="1:26" x14ac:dyDescent="0.3">
      <c r="A52" s="30"/>
      <c r="B52" t="s">
        <v>161</v>
      </c>
      <c r="D52" s="16">
        <f>(D53-B53)/B53*100</f>
        <v>-5.0780164369032585E-2</v>
      </c>
      <c r="E52" s="16">
        <f>(E53-B53)/B53*100</f>
        <v>-9.940328277278461E-2</v>
      </c>
      <c r="F52" s="16">
        <f>(F53-B53)/B53*100</f>
        <v>-0.12984938190027737</v>
      </c>
      <c r="G52" s="16">
        <f>(G53-B53)/B53*100</f>
        <v>-0.18693408772733541</v>
      </c>
      <c r="H52" s="32">
        <f>(H53-B53)/B53*100</f>
        <v>-0.23838704173352257</v>
      </c>
    </row>
    <row r="53" spans="1:26" x14ac:dyDescent="0.3">
      <c r="A53" s="30" t="s">
        <v>178</v>
      </c>
      <c r="B53">
        <v>4741.7772567669999</v>
      </c>
      <c r="D53" s="21">
        <v>4739.3693744820002</v>
      </c>
      <c r="E53" s="21">
        <v>4737.0637745120002</v>
      </c>
      <c r="F53" s="21">
        <v>4735.620088308</v>
      </c>
      <c r="G53" s="21">
        <v>4732.9132587100003</v>
      </c>
      <c r="H53" s="31">
        <v>4730.4734742390001</v>
      </c>
    </row>
    <row r="54" spans="1:26" x14ac:dyDescent="0.3">
      <c r="A54" s="30"/>
      <c r="D54" s="16">
        <f>(D55-B55)/B55*100</f>
        <v>-9.649322843529979E-4</v>
      </c>
      <c r="E54" s="16">
        <f>(E55-B55)/B55*100</f>
        <v>-2.6749388642140306E-3</v>
      </c>
      <c r="F54" s="16">
        <f>(F55-B55)/B55*100</f>
        <v>-1.5206844228049897E-2</v>
      </c>
      <c r="G54" s="16">
        <f>(G55-B55)/B55*100</f>
        <v>-6.9621696465770608E-3</v>
      </c>
      <c r="H54" s="32">
        <f>(H55-B55)/B55*100</f>
        <v>-4.3971597767855121E-3</v>
      </c>
    </row>
    <row r="55" spans="1:26" x14ac:dyDescent="0.3">
      <c r="A55" s="34" t="s">
        <v>158</v>
      </c>
      <c r="B55" s="22">
        <v>818710.3</v>
      </c>
      <c r="C55" s="22"/>
      <c r="D55" s="35">
        <v>818702.4</v>
      </c>
      <c r="E55" s="35">
        <v>818688.4</v>
      </c>
      <c r="F55" s="35">
        <v>818585.8</v>
      </c>
      <c r="G55" s="35">
        <v>818653.3</v>
      </c>
      <c r="H55" s="36">
        <v>818674.3</v>
      </c>
    </row>
    <row r="57" spans="1:26" x14ac:dyDescent="0.3">
      <c r="A57" s="26" t="s">
        <v>195</v>
      </c>
      <c r="B57" s="27" t="s">
        <v>160</v>
      </c>
      <c r="C57" s="27"/>
      <c r="D57" s="28">
        <f>(D58-B58)/B58*100</f>
        <v>-5.0050313306722587E-3</v>
      </c>
      <c r="E57" s="28">
        <f>(E58-B58)/B58*100</f>
        <v>-9.9119247953653195E-3</v>
      </c>
      <c r="F57" s="28">
        <f>(F58-B58)/B58*100</f>
        <v>-1.4723538779712136E-2</v>
      </c>
      <c r="G57" s="28">
        <f>(G58-B58)/B58*100</f>
        <v>-1.9442621726704176E-2</v>
      </c>
      <c r="H57" s="29">
        <f>(H58-B58)/B58*100</f>
        <v>-2.4071817363138813E-2</v>
      </c>
      <c r="K57" t="s">
        <v>160</v>
      </c>
    </row>
    <row r="58" spans="1:26" x14ac:dyDescent="0.3">
      <c r="A58" s="30" t="s">
        <v>178</v>
      </c>
      <c r="B58">
        <v>4840.7044030870002</v>
      </c>
      <c r="D58" s="21">
        <v>4840.4621243150004</v>
      </c>
      <c r="E58" s="21">
        <v>4840.2245961070003</v>
      </c>
      <c r="F58" s="21">
        <v>4839.9916800970004</v>
      </c>
      <c r="G58" s="21">
        <v>4839.7632432410001</v>
      </c>
      <c r="H58" s="31">
        <v>4839.5391575639997</v>
      </c>
      <c r="K58" t="s">
        <v>206</v>
      </c>
      <c r="L58" t="s">
        <v>208</v>
      </c>
      <c r="M58" t="s">
        <v>209</v>
      </c>
      <c r="N58" t="s">
        <v>210</v>
      </c>
    </row>
    <row r="59" spans="1:26" x14ac:dyDescent="0.3">
      <c r="A59" s="30"/>
      <c r="D59" s="16">
        <f>(D60-B60)/B60*100</f>
        <v>0</v>
      </c>
      <c r="E59" s="16">
        <f>(E60-B60)/B60*100</f>
        <v>0</v>
      </c>
      <c r="F59" s="16">
        <f>(F60-B60)/B60*100</f>
        <v>0</v>
      </c>
      <c r="G59" s="16">
        <f>(G60-B60)/B60*100</f>
        <v>0</v>
      </c>
      <c r="H59" s="32">
        <f>(H60-B60)/B60*100</f>
        <v>0</v>
      </c>
      <c r="J59" s="21">
        <v>1</v>
      </c>
      <c r="K59">
        <v>-6.1278180343108987E-2</v>
      </c>
      <c r="L59">
        <v>-5.0050313306722587E-3</v>
      </c>
      <c r="M59">
        <v>-2.3522449321219797E-3</v>
      </c>
      <c r="N59">
        <v>-3.7303315377941841E-3</v>
      </c>
      <c r="R59" s="26"/>
      <c r="S59" s="65" t="s">
        <v>206</v>
      </c>
      <c r="T59" s="65"/>
      <c r="U59" s="65" t="s">
        <v>208</v>
      </c>
      <c r="V59" s="65"/>
      <c r="W59" s="65" t="s">
        <v>209</v>
      </c>
      <c r="X59" s="65"/>
      <c r="Y59" s="65" t="s">
        <v>210</v>
      </c>
      <c r="Z59" s="66"/>
    </row>
    <row r="60" spans="1:26" x14ac:dyDescent="0.3">
      <c r="A60" s="30" t="s">
        <v>158</v>
      </c>
      <c r="B60">
        <v>815497.45</v>
      </c>
      <c r="D60" s="21">
        <v>815497.45</v>
      </c>
      <c r="E60" s="21">
        <v>815497.45</v>
      </c>
      <c r="F60" s="21">
        <v>815497.45</v>
      </c>
      <c r="G60" s="21">
        <v>815497.45</v>
      </c>
      <c r="H60" s="31">
        <v>815497.45</v>
      </c>
      <c r="J60">
        <v>2</v>
      </c>
      <c r="K60">
        <v>-0.12135482772411567</v>
      </c>
      <c r="L60">
        <v>-9.9119247953653195E-3</v>
      </c>
      <c r="M60">
        <v>-4.6583674032300579E-3</v>
      </c>
      <c r="N60">
        <v>-7.3875192993089643E-3</v>
      </c>
      <c r="Q60" s="61" t="s">
        <v>211</v>
      </c>
      <c r="R60" s="30"/>
      <c r="S60" t="s">
        <v>160</v>
      </c>
      <c r="T60" t="s">
        <v>161</v>
      </c>
      <c r="U60" t="s">
        <v>160</v>
      </c>
      <c r="V60" t="s">
        <v>161</v>
      </c>
      <c r="W60" t="s">
        <v>160</v>
      </c>
      <c r="X60" t="s">
        <v>161</v>
      </c>
      <c r="Y60" t="s">
        <v>160</v>
      </c>
      <c r="Z60" s="33" t="s">
        <v>161</v>
      </c>
    </row>
    <row r="61" spans="1:26" x14ac:dyDescent="0.3">
      <c r="A61" s="30"/>
      <c r="H61" s="33"/>
      <c r="J61">
        <v>3</v>
      </c>
      <c r="K61">
        <v>-0.18026493826881257</v>
      </c>
      <c r="L61">
        <v>-1.4723538779712136E-2</v>
      </c>
      <c r="M61">
        <v>-6.9197108128847872E-3</v>
      </c>
      <c r="N61">
        <v>-1.0973693718246913E-2</v>
      </c>
      <c r="Q61" s="61"/>
      <c r="R61" s="38">
        <v>0.01</v>
      </c>
      <c r="S61" s="6">
        <v>-6.1278180343108987E-2</v>
      </c>
      <c r="T61" s="6">
        <v>-5.0780164369032585E-2</v>
      </c>
      <c r="U61" s="6">
        <v>-5.0050313306722587E-3</v>
      </c>
      <c r="V61" s="6">
        <v>-3.9004919249576537E-3</v>
      </c>
      <c r="W61" s="6">
        <v>-2.3522449321219797E-3</v>
      </c>
      <c r="X61" s="6">
        <v>-1.9947438033840578E-3</v>
      </c>
      <c r="Y61" s="6">
        <v>-3.7303315377941841E-3</v>
      </c>
      <c r="Z61" s="41">
        <v>-4.6686613059627812E-4</v>
      </c>
    </row>
    <row r="62" spans="1:26" x14ac:dyDescent="0.3">
      <c r="A62" s="30"/>
      <c r="H62" s="33"/>
      <c r="J62">
        <v>4</v>
      </c>
      <c r="K62">
        <v>-0.23804216207978973</v>
      </c>
      <c r="L62">
        <v>-1.9442621726704176E-2</v>
      </c>
      <c r="M62">
        <v>-9.1375668325837239E-3</v>
      </c>
      <c r="N62">
        <v>-1.4490903236161139E-2</v>
      </c>
      <c r="Q62" s="61"/>
      <c r="R62" s="38">
        <v>0.02</v>
      </c>
      <c r="S62" s="6">
        <v>-0.12135482772411567</v>
      </c>
      <c r="T62" s="6">
        <v>-9.940328277278461E-2</v>
      </c>
      <c r="U62" s="6">
        <v>-9.9119247953653195E-3</v>
      </c>
      <c r="V62" s="6">
        <v>-7.7245036231295815E-3</v>
      </c>
      <c r="W62" s="6">
        <v>-4.6583674032300579E-3</v>
      </c>
      <c r="X62" s="6">
        <v>-3.9503749724260273E-3</v>
      </c>
      <c r="Y62" s="6">
        <v>-7.3875192993089643E-3</v>
      </c>
      <c r="Z62" s="41">
        <v>-2.6504537474932501E-3</v>
      </c>
    </row>
    <row r="63" spans="1:26" x14ac:dyDescent="0.3">
      <c r="A63" s="30"/>
      <c r="B63" t="s">
        <v>161</v>
      </c>
      <c r="D63" s="16">
        <f>(D64-B64)/B64*100</f>
        <v>-3.9004919249576537E-3</v>
      </c>
      <c r="E63" s="16">
        <f>(E64-B64)/B64*100</f>
        <v>-7.7245036231295815E-3</v>
      </c>
      <c r="F63" s="16">
        <f>(F64-B64)/B64*100</f>
        <v>-1.1474262655915286E-2</v>
      </c>
      <c r="G63" s="16">
        <f>(G64-B64)/B64*100</f>
        <v>-1.515191096281366E-2</v>
      </c>
      <c r="H63" s="32">
        <f>(H64-B64)/B64*100</f>
        <v>-1.8759508805059871E-2</v>
      </c>
      <c r="J63" s="21">
        <v>5</v>
      </c>
      <c r="K63">
        <v>-0.29471886733885261</v>
      </c>
      <c r="L63">
        <v>-2.4071817363138813E-2</v>
      </c>
      <c r="M63">
        <v>-1.1313177988125056E-2</v>
      </c>
      <c r="N63">
        <v>-1.7941118289445557E-2</v>
      </c>
      <c r="Q63" s="61"/>
      <c r="R63" s="38">
        <v>0.03</v>
      </c>
      <c r="S63" s="6">
        <v>-0.18026493826881257</v>
      </c>
      <c r="T63" s="6">
        <v>-0.12984938190027737</v>
      </c>
      <c r="U63" s="6">
        <v>-1.4723538779712136E-2</v>
      </c>
      <c r="V63" s="6">
        <v>-1.1474262655915286E-2</v>
      </c>
      <c r="W63" s="6">
        <v>-6.9197108128847872E-3</v>
      </c>
      <c r="X63" s="6">
        <v>-5.868032721336524E-3</v>
      </c>
      <c r="Y63" s="6">
        <v>-1.0973693718246913E-2</v>
      </c>
      <c r="Z63" s="41">
        <v>-4.3033593302736831E-3</v>
      </c>
    </row>
    <row r="64" spans="1:26" x14ac:dyDescent="0.3">
      <c r="A64" s="30" t="s">
        <v>178</v>
      </c>
      <c r="B64">
        <v>4741.7772567669999</v>
      </c>
      <c r="D64" s="21">
        <v>4741.5923041280003</v>
      </c>
      <c r="E64" s="21">
        <v>4741.4109780110002</v>
      </c>
      <c r="F64" s="21">
        <v>4741.23317279</v>
      </c>
      <c r="G64" s="21">
        <v>4741.0587868989996</v>
      </c>
      <c r="H64" s="31">
        <v>4740.8877226450004</v>
      </c>
      <c r="Q64" s="61"/>
      <c r="R64" s="38">
        <v>0.04</v>
      </c>
      <c r="S64" s="6">
        <v>-0.23804216207978973</v>
      </c>
      <c r="T64" s="6">
        <v>-0.18693408772733541</v>
      </c>
      <c r="U64" s="6">
        <v>-1.9442621726704176E-2</v>
      </c>
      <c r="V64" s="6">
        <v>-1.515191096281366E-2</v>
      </c>
      <c r="W64" s="6">
        <v>-9.1375668325837239E-3</v>
      </c>
      <c r="X64" s="6">
        <v>-7.748812441059935E-3</v>
      </c>
      <c r="Y64" s="6">
        <v>-1.4490903236161139E-2</v>
      </c>
      <c r="Z64" s="41">
        <v>-6.0421083379909165E-3</v>
      </c>
    </row>
    <row r="65" spans="1:26" x14ac:dyDescent="0.3">
      <c r="A65" s="30"/>
      <c r="D65" s="16">
        <f>(D66-B66)/B66*100</f>
        <v>3.6642998139879267E-4</v>
      </c>
      <c r="E65" s="16">
        <f>(E66-B66)/B66*100</f>
        <v>3.6642998139879267E-4</v>
      </c>
      <c r="F65" s="16">
        <f>(F66-B66)/B66*100</f>
        <v>3.6642998139879267E-4</v>
      </c>
      <c r="G65" s="16">
        <f>(G66-B66)/B66*100</f>
        <v>0</v>
      </c>
      <c r="H65" s="32">
        <f>(H66-B66)/B66*100</f>
        <v>3.6642998139879267E-4</v>
      </c>
      <c r="Q65" s="61"/>
      <c r="R65" s="39">
        <v>0.05</v>
      </c>
      <c r="S65" s="42">
        <v>-0.29471886733885261</v>
      </c>
      <c r="T65" s="42">
        <v>-0.23838704173352257</v>
      </c>
      <c r="U65" s="42">
        <v>-2.4071817363138813E-2</v>
      </c>
      <c r="V65" s="42">
        <v>-1.8759508805059871E-2</v>
      </c>
      <c r="W65" s="42">
        <v>-1.1313177988125056E-2</v>
      </c>
      <c r="X65" s="42">
        <v>-9.5937677661032776E-3</v>
      </c>
      <c r="Y65" s="42">
        <v>-1.7941118289445557E-2</v>
      </c>
      <c r="Z65" s="43">
        <v>-7.0550905680941481E-4</v>
      </c>
    </row>
    <row r="66" spans="1:26" x14ac:dyDescent="0.3">
      <c r="A66" s="34" t="s">
        <v>158</v>
      </c>
      <c r="B66" s="22">
        <v>818710.3</v>
      </c>
      <c r="C66" s="22"/>
      <c r="D66" s="35">
        <v>818713.3</v>
      </c>
      <c r="E66" s="35">
        <v>818713.3</v>
      </c>
      <c r="F66" s="35">
        <v>818713.3</v>
      </c>
      <c r="G66" s="35">
        <v>818710.3</v>
      </c>
      <c r="H66" s="36">
        <v>818713.3</v>
      </c>
      <c r="S66" s="23"/>
      <c r="T66" s="23"/>
    </row>
    <row r="67" spans="1:26" x14ac:dyDescent="0.3">
      <c r="K67" t="s">
        <v>161</v>
      </c>
      <c r="R67" s="20"/>
    </row>
    <row r="68" spans="1:26" x14ac:dyDescent="0.3">
      <c r="A68" s="26" t="s">
        <v>196</v>
      </c>
      <c r="B68" s="27" t="s">
        <v>160</v>
      </c>
      <c r="C68" s="27"/>
      <c r="D68" s="28">
        <f>(D69-B69)/B69*100</f>
        <v>-2.3522449321219797E-3</v>
      </c>
      <c r="E68" s="28">
        <f>(E69-B69)/B69*100</f>
        <v>-4.6583674032300579E-3</v>
      </c>
      <c r="F68" s="28">
        <f>(F69-B69)/B69*100</f>
        <v>-6.9197108128847872E-3</v>
      </c>
      <c r="G68" s="28">
        <f>(G69-B69)/B69*100</f>
        <v>-9.1375668325837239E-3</v>
      </c>
      <c r="H68" s="29">
        <f>(H69-B69)/B69*100</f>
        <v>-1.1313177988125056E-2</v>
      </c>
      <c r="K68" t="s">
        <v>206</v>
      </c>
      <c r="L68" t="s">
        <v>208</v>
      </c>
      <c r="M68" t="s">
        <v>209</v>
      </c>
      <c r="N68" t="s">
        <v>210</v>
      </c>
      <c r="R68" s="20"/>
    </row>
    <row r="69" spans="1:26" x14ac:dyDescent="0.3">
      <c r="A69" s="30" t="s">
        <v>178</v>
      </c>
      <c r="B69">
        <v>4840.7044030870002</v>
      </c>
      <c r="D69" s="21">
        <v>4840.5905378629996</v>
      </c>
      <c r="E69" s="21">
        <v>4840.478905291</v>
      </c>
      <c r="F69" s="21">
        <v>4840.369440341</v>
      </c>
      <c r="G69" s="21">
        <v>4840.2620804870003</v>
      </c>
      <c r="H69" s="31">
        <v>4840.1567655819999</v>
      </c>
      <c r="J69" s="21">
        <v>1</v>
      </c>
      <c r="K69">
        <v>-5.0780164369032585E-2</v>
      </c>
      <c r="L69">
        <v>-3.9004919249576537E-3</v>
      </c>
      <c r="M69">
        <v>-1.9947438033840578E-3</v>
      </c>
      <c r="N69">
        <v>-4.6686613059627812E-4</v>
      </c>
      <c r="R69" s="20"/>
    </row>
    <row r="70" spans="1:26" x14ac:dyDescent="0.3">
      <c r="A70" s="30"/>
      <c r="D70" s="16">
        <f>(D71-B71)/B71*100</f>
        <v>0</v>
      </c>
      <c r="E70" s="16">
        <f>(E71-B71)/B71*100</f>
        <v>0</v>
      </c>
      <c r="F70" s="16">
        <f>(F71-B71)/B71*100</f>
        <v>0</v>
      </c>
      <c r="G70" s="16">
        <f>(G71-B71)/B71*100</f>
        <v>0</v>
      </c>
      <c r="H70" s="32">
        <f>(H71-B71)/B71*100</f>
        <v>0</v>
      </c>
      <c r="J70">
        <v>2</v>
      </c>
      <c r="K70">
        <v>-9.940328277278461E-2</v>
      </c>
      <c r="L70">
        <v>-7.7245036231295815E-3</v>
      </c>
      <c r="M70">
        <v>-3.9503749724260273E-3</v>
      </c>
      <c r="N70">
        <v>-2.6504537474932501E-3</v>
      </c>
      <c r="R70" s="20"/>
    </row>
    <row r="71" spans="1:26" x14ac:dyDescent="0.3">
      <c r="A71" s="30" t="s">
        <v>158</v>
      </c>
      <c r="B71">
        <v>815497.45</v>
      </c>
      <c r="D71" s="21">
        <v>815497.45</v>
      </c>
      <c r="E71" s="21">
        <v>815497.45</v>
      </c>
      <c r="F71" s="21">
        <v>815497.45</v>
      </c>
      <c r="G71" s="21">
        <v>815497.45</v>
      </c>
      <c r="H71" s="31">
        <v>815497.45</v>
      </c>
      <c r="J71">
        <v>3</v>
      </c>
      <c r="K71">
        <v>-0.12984938190027737</v>
      </c>
      <c r="L71">
        <v>-1.1474262655915286E-2</v>
      </c>
      <c r="M71">
        <v>-5.868032721336524E-3</v>
      </c>
      <c r="N71">
        <v>-4.3033593302736831E-3</v>
      </c>
      <c r="R71" s="20"/>
    </row>
    <row r="72" spans="1:26" x14ac:dyDescent="0.3">
      <c r="A72" s="30"/>
      <c r="H72" s="33"/>
      <c r="J72">
        <v>4</v>
      </c>
      <c r="K72">
        <v>-0.18693408772733541</v>
      </c>
      <c r="L72">
        <v>-1.515191096281366E-2</v>
      </c>
      <c r="M72">
        <v>-7.748812441059935E-3</v>
      </c>
      <c r="N72">
        <v>-6.0421083379909165E-3</v>
      </c>
    </row>
    <row r="73" spans="1:26" x14ac:dyDescent="0.3">
      <c r="A73" s="30"/>
      <c r="H73" s="33"/>
      <c r="J73" s="21">
        <v>5</v>
      </c>
      <c r="K73">
        <v>-0.23838704173352257</v>
      </c>
      <c r="L73">
        <v>-1.8759508805059871E-2</v>
      </c>
      <c r="M73">
        <v>-9.5937677661032776E-3</v>
      </c>
      <c r="N73">
        <v>-7.0550905680941481E-4</v>
      </c>
    </row>
    <row r="74" spans="1:26" x14ac:dyDescent="0.3">
      <c r="A74" s="30"/>
      <c r="B74" t="s">
        <v>161</v>
      </c>
      <c r="D74" s="16">
        <f>(D75-B75)/B75*100</f>
        <v>-1.9947438033840578E-3</v>
      </c>
      <c r="E74" s="16">
        <f>(E75-B75)/B75*100</f>
        <v>-3.9503749724260273E-3</v>
      </c>
      <c r="F74" s="16">
        <f>(F75-B75)/B75*100</f>
        <v>-5.868032721336524E-3</v>
      </c>
      <c r="G74" s="16">
        <f>(G75-B75)/B75*100</f>
        <v>-7.748812441059935E-3</v>
      </c>
      <c r="H74" s="32">
        <f>(H75-B75)/B75*100</f>
        <v>-9.5937677661032776E-3</v>
      </c>
    </row>
    <row r="75" spans="1:26" x14ac:dyDescent="0.3">
      <c r="A75" s="30" t="s">
        <v>178</v>
      </c>
      <c r="B75">
        <v>4741.7772567669999</v>
      </c>
      <c r="D75" s="21">
        <v>4741.6826704590003</v>
      </c>
      <c r="E75" s="21">
        <v>4741.5899387850004</v>
      </c>
      <c r="F75" s="21">
        <v>4741.4990077259999</v>
      </c>
      <c r="G75" s="21">
        <v>4741.4098253410002</v>
      </c>
      <c r="H75" s="31">
        <v>4741.3223416689998</v>
      </c>
    </row>
    <row r="76" spans="1:26" x14ac:dyDescent="0.3">
      <c r="A76" s="30"/>
      <c r="D76" s="16">
        <f>(D77-B77)/B77*100</f>
        <v>0</v>
      </c>
      <c r="E76" s="16">
        <f>(E77-B77)/B77*100</f>
        <v>0</v>
      </c>
      <c r="F76" s="16">
        <f>(F77-B77)/B77*100</f>
        <v>0</v>
      </c>
      <c r="G76" s="16">
        <f>(G77-B77)/B77*100</f>
        <v>0</v>
      </c>
      <c r="H76" s="32">
        <f>(H77-B77)/B77*100</f>
        <v>0</v>
      </c>
    </row>
    <row r="77" spans="1:26" x14ac:dyDescent="0.3">
      <c r="A77" s="34" t="s">
        <v>158</v>
      </c>
      <c r="B77" s="22">
        <v>818710.3</v>
      </c>
      <c r="C77" s="22"/>
      <c r="D77" s="35">
        <v>818710.3</v>
      </c>
      <c r="E77" s="35">
        <v>818710.3</v>
      </c>
      <c r="F77" s="35">
        <v>818710.3</v>
      </c>
      <c r="G77" s="35">
        <v>818710.3</v>
      </c>
      <c r="H77" s="36">
        <v>818710.3</v>
      </c>
    </row>
    <row r="79" spans="1:26" x14ac:dyDescent="0.3">
      <c r="A79" s="26" t="s">
        <v>197</v>
      </c>
      <c r="B79" s="27" t="s">
        <v>160</v>
      </c>
      <c r="C79" s="27"/>
      <c r="D79" s="28">
        <f>(D80-B80)/B80*100</f>
        <v>-3.7303315377941841E-3</v>
      </c>
      <c r="E79" s="28">
        <f>(E80-B80)/B80*100</f>
        <v>-7.3875192993089643E-3</v>
      </c>
      <c r="F79" s="28">
        <f>(F80-B80)/B80*100</f>
        <v>-1.0973693718246913E-2</v>
      </c>
      <c r="G79" s="28">
        <f>(G80-B80)/B80*100</f>
        <v>-1.4490903236161139E-2</v>
      </c>
      <c r="H79" s="29">
        <f>(H80-B80)/B80*100</f>
        <v>-1.7941118289445557E-2</v>
      </c>
    </row>
    <row r="80" spans="1:26" x14ac:dyDescent="0.3">
      <c r="A80" s="30" t="s">
        <v>178</v>
      </c>
      <c r="B80">
        <v>4840.7044030870002</v>
      </c>
      <c r="D80" s="21">
        <v>4840.5238287640004</v>
      </c>
      <c r="E80" s="21">
        <v>4840.3467951149996</v>
      </c>
      <c r="F80" s="21">
        <v>4840.1731990119997</v>
      </c>
      <c r="G80" s="21">
        <v>4840.0029412960002</v>
      </c>
      <c r="H80" s="31">
        <v>4839.8359265839999</v>
      </c>
    </row>
    <row r="81" spans="1:26" x14ac:dyDescent="0.3">
      <c r="A81" s="30"/>
      <c r="D81" s="16">
        <f>(D82-B82)/B82*100</f>
        <v>0</v>
      </c>
      <c r="E81" s="16">
        <f>(E82-B82)/B82*100</f>
        <v>0</v>
      </c>
      <c r="F81" s="16">
        <f>(F82-B82)/B82*100</f>
        <v>0</v>
      </c>
      <c r="G81" s="16">
        <f>(G82-B82)/B82*100</f>
        <v>0</v>
      </c>
      <c r="H81" s="32">
        <f>(H82-B82)/B82*100</f>
        <v>0</v>
      </c>
    </row>
    <row r="82" spans="1:26" x14ac:dyDescent="0.3">
      <c r="A82" s="30" t="s">
        <v>158</v>
      </c>
      <c r="B82">
        <v>815497.45</v>
      </c>
      <c r="D82" s="21">
        <v>815497.45</v>
      </c>
      <c r="E82" s="21">
        <v>815497.45</v>
      </c>
      <c r="F82" s="21">
        <v>815497.45</v>
      </c>
      <c r="G82" s="21">
        <v>815497.45</v>
      </c>
      <c r="H82" s="31">
        <v>815497.45</v>
      </c>
    </row>
    <row r="83" spans="1:26" x14ac:dyDescent="0.3">
      <c r="A83" s="30"/>
      <c r="H83" s="33"/>
    </row>
    <row r="84" spans="1:26" x14ac:dyDescent="0.3">
      <c r="A84" s="30"/>
      <c r="H84" s="33"/>
    </row>
    <row r="85" spans="1:26" x14ac:dyDescent="0.3">
      <c r="A85" s="30"/>
      <c r="B85" t="s">
        <v>161</v>
      </c>
      <c r="D85" s="16">
        <f>(D86-B86)/B86*100</f>
        <v>-4.6686613059627812E-4</v>
      </c>
      <c r="E85" s="16">
        <f>(E86-B86)/B86*100</f>
        <v>-2.6504537474932501E-3</v>
      </c>
      <c r="F85" s="16">
        <f>(F86-B86)/B86*100</f>
        <v>-4.3033593302736831E-3</v>
      </c>
      <c r="G85" s="16">
        <f>(G86-B86)/B86*100</f>
        <v>-6.0421083379909165E-3</v>
      </c>
      <c r="H85" s="32">
        <f>(H86-B86)/B86*100</f>
        <v>-7.0550905680941481E-4</v>
      </c>
    </row>
    <row r="86" spans="1:26" x14ac:dyDescent="0.3">
      <c r="A86" s="30" t="s">
        <v>178</v>
      </c>
      <c r="B86">
        <v>4741.7772567669999</v>
      </c>
      <c r="D86" s="21">
        <v>4741.7551190149998</v>
      </c>
      <c r="E86" s="21">
        <v>4741.6515781540002</v>
      </c>
      <c r="F86" s="21">
        <v>4741.573201053</v>
      </c>
      <c r="G86" s="21">
        <v>4741.4907534479999</v>
      </c>
      <c r="H86" s="31">
        <v>4741.7438030989997</v>
      </c>
    </row>
    <row r="87" spans="1:26" x14ac:dyDescent="0.3">
      <c r="A87" s="30"/>
      <c r="D87" s="16">
        <f>(D88-B88)/B88*100</f>
        <v>-1.9909362322724613E-3</v>
      </c>
      <c r="E87" s="16">
        <f>(E88-B88)/B88*100</f>
        <v>-1.8687929051395304E-3</v>
      </c>
      <c r="F87" s="16">
        <f>(F88-B88)/B88*100</f>
        <v>-2.0397935631284773E-3</v>
      </c>
      <c r="G87" s="16">
        <f>(G88-B88)/B88*100</f>
        <v>-2.0397935631284773E-3</v>
      </c>
      <c r="H87" s="32">
        <f>(H88-B88)/B88*100</f>
        <v>-7.9881735944965244E-3</v>
      </c>
    </row>
    <row r="88" spans="1:26" x14ac:dyDescent="0.3">
      <c r="A88" s="34" t="s">
        <v>158</v>
      </c>
      <c r="B88" s="22">
        <v>818710.3</v>
      </c>
      <c r="C88" s="22"/>
      <c r="D88" s="35">
        <v>818694</v>
      </c>
      <c r="E88" s="35">
        <v>818695</v>
      </c>
      <c r="F88" s="35">
        <v>818693.6</v>
      </c>
      <c r="G88" s="35">
        <v>818693.6</v>
      </c>
      <c r="H88" s="36">
        <v>818644.9</v>
      </c>
    </row>
    <row r="90" spans="1:26" x14ac:dyDescent="0.3">
      <c r="A90" s="26" t="s">
        <v>201</v>
      </c>
      <c r="B90" s="27" t="s">
        <v>160</v>
      </c>
      <c r="C90" s="27"/>
      <c r="D90" s="28">
        <f>(D91-B91)/B91*100</f>
        <v>6.5837525587546589E-2</v>
      </c>
      <c r="E90" s="28">
        <f>(E91-B91)/B91*100</f>
        <v>0.13167505117509318</v>
      </c>
      <c r="F90" s="28">
        <f>(F91-B91)/B91*100</f>
        <v>0.19751257676263978</v>
      </c>
      <c r="G90" s="28">
        <f>(G91-B91)/B91*100</f>
        <v>0.26335010235018635</v>
      </c>
      <c r="H90" s="29">
        <f>(H91-B91)/B91*100</f>
        <v>0.32918762793773293</v>
      </c>
    </row>
    <row r="91" spans="1:26" x14ac:dyDescent="0.3">
      <c r="A91" s="30" t="s">
        <v>178</v>
      </c>
      <c r="B91">
        <v>4840.7044030870002</v>
      </c>
      <c r="D91" s="21">
        <v>4843.8914030870001</v>
      </c>
      <c r="E91" s="21">
        <v>4847.078403087</v>
      </c>
      <c r="F91" s="21">
        <v>4850.2654030869999</v>
      </c>
      <c r="G91" s="21">
        <v>4853.4524030869998</v>
      </c>
      <c r="H91" s="31">
        <v>4856.6394030869997</v>
      </c>
    </row>
    <row r="92" spans="1:26" x14ac:dyDescent="0.3">
      <c r="A92" s="30"/>
      <c r="D92" s="16">
        <f>(D93-B93)/B93*100</f>
        <v>0</v>
      </c>
      <c r="E92" s="16">
        <f>(E93-B93)/B93*100</f>
        <v>0</v>
      </c>
      <c r="F92" s="16">
        <f>(F93-B93)/B93*100</f>
        <v>0</v>
      </c>
      <c r="G92" s="16">
        <f>(G93-B93)/B93*100</f>
        <v>0</v>
      </c>
      <c r="H92" s="32">
        <f>(H93-B93)/B93*100</f>
        <v>0</v>
      </c>
    </row>
    <row r="93" spans="1:26" x14ac:dyDescent="0.3">
      <c r="A93" s="30" t="s">
        <v>158</v>
      </c>
      <c r="B93">
        <v>815497.45</v>
      </c>
      <c r="D93" s="21">
        <v>815497.45</v>
      </c>
      <c r="E93" s="21">
        <v>815497.45</v>
      </c>
      <c r="F93" s="21">
        <v>815497.45</v>
      </c>
      <c r="G93" s="21">
        <v>815497.45</v>
      </c>
      <c r="H93" s="31">
        <v>815497.45</v>
      </c>
      <c r="K93" t="s">
        <v>160</v>
      </c>
    </row>
    <row r="94" spans="1:26" x14ac:dyDescent="0.3">
      <c r="A94" s="30"/>
      <c r="H94" s="33"/>
      <c r="K94" t="s">
        <v>214</v>
      </c>
      <c r="L94" t="s">
        <v>212</v>
      </c>
      <c r="M94" t="s">
        <v>213</v>
      </c>
    </row>
    <row r="95" spans="1:26" x14ac:dyDescent="0.3">
      <c r="A95" s="30"/>
      <c r="H95" s="33"/>
      <c r="J95" s="21">
        <v>1</v>
      </c>
      <c r="K95">
        <v>6.5837525587546589E-2</v>
      </c>
      <c r="L95">
        <v>0.65670194568640405</v>
      </c>
      <c r="M95">
        <v>-0.18997235183655226</v>
      </c>
      <c r="R95" s="26"/>
      <c r="S95" s="65" t="s">
        <v>214</v>
      </c>
      <c r="T95" s="65"/>
      <c r="U95" s="65" t="s">
        <v>212</v>
      </c>
      <c r="V95" s="65"/>
      <c r="W95" s="65" t="s">
        <v>213</v>
      </c>
      <c r="X95" s="66"/>
      <c r="Y95" s="61"/>
      <c r="Z95" s="61"/>
    </row>
    <row r="96" spans="1:26" x14ac:dyDescent="0.3">
      <c r="A96" s="30"/>
      <c r="B96" t="s">
        <v>161</v>
      </c>
      <c r="D96" s="16">
        <f>(D97-B97)/B97*100</f>
        <v>6.8585303798467806E-2</v>
      </c>
      <c r="E96" s="16">
        <f>(E97-B97)/B97*100</f>
        <v>0.13579639000990307</v>
      </c>
      <c r="F96" s="16">
        <f>(F97-B97)/B97*100</f>
        <v>0.20300747622133833</v>
      </c>
      <c r="G96" s="16">
        <f>(G97-B97)/B97*100</f>
        <v>0.27021856243277359</v>
      </c>
      <c r="H96" s="32">
        <f>(H97-B97)/B97*100</f>
        <v>0.33705463336961955</v>
      </c>
      <c r="J96">
        <v>2</v>
      </c>
      <c r="K96">
        <v>0.13167505117509318</v>
      </c>
      <c r="L96">
        <v>1.3134038913728081</v>
      </c>
      <c r="M96">
        <v>1.0494340445077591E-2</v>
      </c>
      <c r="R96" s="30"/>
      <c r="S96" t="s">
        <v>160</v>
      </c>
      <c r="T96" t="s">
        <v>161</v>
      </c>
      <c r="U96" t="s">
        <v>160</v>
      </c>
      <c r="V96" t="s">
        <v>161</v>
      </c>
      <c r="W96" t="s">
        <v>160</v>
      </c>
      <c r="X96" s="33" t="s">
        <v>161</v>
      </c>
    </row>
    <row r="97" spans="1:24" x14ac:dyDescent="0.3">
      <c r="A97" s="30" t="s">
        <v>178</v>
      </c>
      <c r="B97">
        <v>4741.7772567669999</v>
      </c>
      <c r="D97" s="21">
        <v>4745.0294191040002</v>
      </c>
      <c r="E97" s="21">
        <v>4748.2164191040001</v>
      </c>
      <c r="F97" s="21">
        <v>4751.403419104</v>
      </c>
      <c r="G97" s="21">
        <v>4754.5904191039999</v>
      </c>
      <c r="H97" s="31">
        <v>4757.7596367149999</v>
      </c>
      <c r="J97">
        <v>3</v>
      </c>
      <c r="K97">
        <v>0.19751257676263978</v>
      </c>
      <c r="L97">
        <v>1.9701058370592308</v>
      </c>
      <c r="M97">
        <v>0.21096103272670741</v>
      </c>
      <c r="R97" s="38">
        <v>0.01</v>
      </c>
      <c r="S97" s="6">
        <v>6.5837525587546589E-2</v>
      </c>
      <c r="T97" s="6">
        <v>6.8585303798467806E-2</v>
      </c>
      <c r="U97" s="6">
        <v>0.65670194568640405</v>
      </c>
      <c r="V97" s="6">
        <v>0.67809696109434803</v>
      </c>
      <c r="W97" s="6">
        <v>-0.18997235183655226</v>
      </c>
      <c r="X97" s="41">
        <v>0.20336256803793312</v>
      </c>
    </row>
    <row r="98" spans="1:24" x14ac:dyDescent="0.3">
      <c r="A98" s="30"/>
      <c r="D98" s="16">
        <f>(D99-B99)/B99*100</f>
        <v>-1.9909362322724613E-3</v>
      </c>
      <c r="E98" s="16">
        <f>(E99-B99)/B99*100</f>
        <v>-1.9909362322724613E-3</v>
      </c>
      <c r="F98" s="16">
        <f>(F99-B99)/B99*100</f>
        <v>-1.9909362322724613E-3</v>
      </c>
      <c r="G98" s="16">
        <f>(G99-B99)/B99*100</f>
        <v>-1.9909362322724613E-3</v>
      </c>
      <c r="H98" s="32">
        <f>(H99-B99)/B99*100</f>
        <v>-1.8687929051395304E-3</v>
      </c>
      <c r="J98">
        <v>4</v>
      </c>
      <c r="K98">
        <v>0.26335010235018635</v>
      </c>
      <c r="L98">
        <v>2.6268077827456349</v>
      </c>
      <c r="M98">
        <v>0.41142772500835612</v>
      </c>
      <c r="R98" s="38">
        <v>0.02</v>
      </c>
      <c r="S98" s="6">
        <v>0.13167505117509318</v>
      </c>
      <c r="T98" s="6">
        <v>0.13579639000990307</v>
      </c>
      <c r="U98" s="6">
        <v>1.3134038913728081</v>
      </c>
      <c r="V98" s="6">
        <v>1.3444080631586763</v>
      </c>
      <c r="W98" s="6">
        <v>1.0494340445077591E-2</v>
      </c>
      <c r="X98" s="41">
        <v>0.40809935366289884</v>
      </c>
    </row>
    <row r="99" spans="1:24" x14ac:dyDescent="0.3">
      <c r="A99" s="34" t="s">
        <v>158</v>
      </c>
      <c r="B99" s="22">
        <v>818710.3</v>
      </c>
      <c r="C99" s="22"/>
      <c r="D99" s="35">
        <v>818694</v>
      </c>
      <c r="E99" s="35">
        <v>818694</v>
      </c>
      <c r="F99" s="35">
        <v>818694</v>
      </c>
      <c r="G99" s="35">
        <v>818694</v>
      </c>
      <c r="H99" s="36">
        <v>818695</v>
      </c>
      <c r="J99" s="21">
        <v>5</v>
      </c>
      <c r="K99">
        <v>0.32918762793773293</v>
      </c>
      <c r="L99">
        <v>3.2835097284320387</v>
      </c>
      <c r="M99">
        <v>0.61189441728998584</v>
      </c>
      <c r="R99" s="38">
        <v>0.03</v>
      </c>
      <c r="S99" s="6">
        <v>0.19751257676263978</v>
      </c>
      <c r="T99" s="6">
        <v>0.20300747622133833</v>
      </c>
      <c r="U99" s="6">
        <v>1.9701058370592308</v>
      </c>
      <c r="V99" s="6">
        <v>2.0169993989386441</v>
      </c>
      <c r="W99" s="6">
        <v>0.21096103272670741</v>
      </c>
      <c r="X99" s="41">
        <v>0.61146192170083191</v>
      </c>
    </row>
    <row r="100" spans="1:24" x14ac:dyDescent="0.3">
      <c r="R100" s="38">
        <v>0.04</v>
      </c>
      <c r="S100" s="6">
        <v>0.26335010235018635</v>
      </c>
      <c r="T100" s="6">
        <v>0.27021856243277359</v>
      </c>
      <c r="U100" s="6">
        <v>2.6268077827456349</v>
      </c>
      <c r="V100" s="6">
        <v>2.6910195084321704</v>
      </c>
      <c r="W100" s="6">
        <v>0.41142772500835612</v>
      </c>
      <c r="X100" s="41">
        <v>0.81541537529670527</v>
      </c>
    </row>
    <row r="101" spans="1:24" x14ac:dyDescent="0.3">
      <c r="A101" s="26" t="s">
        <v>199</v>
      </c>
      <c r="B101" s="27" t="s">
        <v>160</v>
      </c>
      <c r="C101" s="27"/>
      <c r="D101" s="28">
        <f>(D102-B102)/B102*100</f>
        <v>0.65670194568640405</v>
      </c>
      <c r="E101" s="28">
        <f>(E102-B102)/B102*100</f>
        <v>1.3134038913728081</v>
      </c>
      <c r="F101" s="28">
        <f>(F102-B102)/B102*100</f>
        <v>1.9701058370592308</v>
      </c>
      <c r="G101" s="28">
        <f>(G102-B102)/B102*100</f>
        <v>2.6268077827456349</v>
      </c>
      <c r="H101" s="29">
        <f>(H102-B102)/B102*100</f>
        <v>3.2835097284320387</v>
      </c>
      <c r="R101" s="39">
        <v>0.05</v>
      </c>
      <c r="S101" s="42">
        <v>0.32918762793773293</v>
      </c>
      <c r="T101" s="42">
        <v>0.33705463336961955</v>
      </c>
      <c r="U101" s="42">
        <v>3.2835097284320387</v>
      </c>
      <c r="V101" s="42">
        <v>3.3624536730497527</v>
      </c>
      <c r="W101" s="42">
        <v>0.61189441728998584</v>
      </c>
      <c r="X101" s="43">
        <v>1.0245071594341963</v>
      </c>
    </row>
    <row r="102" spans="1:24" x14ac:dyDescent="0.3">
      <c r="A102" s="30" t="s">
        <v>178</v>
      </c>
      <c r="B102">
        <v>4840.7044030870002</v>
      </c>
      <c r="D102" s="21">
        <v>4872.4934030869999</v>
      </c>
      <c r="E102" s="25">
        <v>4904.2824030869997</v>
      </c>
      <c r="F102" s="21">
        <v>4936.0714030870004</v>
      </c>
      <c r="G102" s="21">
        <v>4967.8604030870001</v>
      </c>
      <c r="H102" s="31">
        <v>4999.6494030869999</v>
      </c>
      <c r="S102" s="23"/>
      <c r="T102" s="23"/>
    </row>
    <row r="103" spans="1:24" x14ac:dyDescent="0.3">
      <c r="A103" s="30"/>
      <c r="D103" s="16">
        <f>(D104-B104)/B104*100</f>
        <v>0</v>
      </c>
      <c r="E103" s="16">
        <f>(E104-B104)/B104*100</f>
        <v>0</v>
      </c>
      <c r="F103" s="16">
        <f>(F104-B104)/B104*100</f>
        <v>0</v>
      </c>
      <c r="G103" s="16">
        <f>(G104-B104)/B104*100</f>
        <v>0</v>
      </c>
      <c r="H103" s="32">
        <f>(H104-B104)/B104*100</f>
        <v>0</v>
      </c>
      <c r="K103" t="s">
        <v>161</v>
      </c>
      <c r="R103" s="20"/>
    </row>
    <row r="104" spans="1:24" x14ac:dyDescent="0.3">
      <c r="A104" s="30" t="s">
        <v>158</v>
      </c>
      <c r="B104">
        <v>815497.45</v>
      </c>
      <c r="D104" s="21">
        <v>815497.45</v>
      </c>
      <c r="E104" s="21">
        <v>815497.45</v>
      </c>
      <c r="F104" s="21">
        <v>815497.45</v>
      </c>
      <c r="G104" s="21">
        <v>815497.45</v>
      </c>
      <c r="H104" s="31">
        <v>815497.45</v>
      </c>
      <c r="K104" t="s">
        <v>214</v>
      </c>
      <c r="L104" t="s">
        <v>212</v>
      </c>
      <c r="M104" t="s">
        <v>213</v>
      </c>
      <c r="R104" s="20"/>
    </row>
    <row r="105" spans="1:24" x14ac:dyDescent="0.3">
      <c r="A105" s="30"/>
      <c r="H105" s="33"/>
      <c r="J105" s="21">
        <v>1</v>
      </c>
      <c r="K105">
        <v>6.8585303798467806E-2</v>
      </c>
      <c r="L105">
        <v>0.67809696109434803</v>
      </c>
      <c r="M105">
        <v>0.20336256803793312</v>
      </c>
      <c r="R105" s="20"/>
    </row>
    <row r="106" spans="1:24" x14ac:dyDescent="0.3">
      <c r="A106" s="30"/>
      <c r="H106" s="33"/>
      <c r="J106">
        <v>2</v>
      </c>
      <c r="K106">
        <v>0.13579639000990307</v>
      </c>
      <c r="L106">
        <v>1.3444080631586763</v>
      </c>
      <c r="M106">
        <v>0.40809935366289884</v>
      </c>
      <c r="R106" s="20"/>
    </row>
    <row r="107" spans="1:24" x14ac:dyDescent="0.3">
      <c r="A107" s="30"/>
      <c r="B107" t="s">
        <v>161</v>
      </c>
      <c r="D107" s="16">
        <f>(D108-B108)/B108*100</f>
        <v>0.67809696109434803</v>
      </c>
      <c r="E107" s="16">
        <f>(E108-B108)/B108*100</f>
        <v>1.3444080631586763</v>
      </c>
      <c r="F107" s="16">
        <f>(F108-B108)/B108*100</f>
        <v>2.0169993989386441</v>
      </c>
      <c r="G107" s="16">
        <f>(G108-B108)/B108*100</f>
        <v>2.6910195084321704</v>
      </c>
      <c r="H107" s="32">
        <f>(H108-B108)/B108*100</f>
        <v>3.3624536730497527</v>
      </c>
      <c r="J107">
        <v>3</v>
      </c>
      <c r="K107">
        <v>0.20300747622133833</v>
      </c>
      <c r="L107">
        <v>2.0169993989386441</v>
      </c>
      <c r="M107">
        <v>0.61146192170083191</v>
      </c>
      <c r="R107" s="20"/>
    </row>
    <row r="108" spans="1:24" x14ac:dyDescent="0.3">
      <c r="A108" s="30" t="s">
        <v>178</v>
      </c>
      <c r="B108">
        <v>4741.7772567669999</v>
      </c>
      <c r="D108" s="21">
        <v>4773.9311042469999</v>
      </c>
      <c r="E108" s="21">
        <v>4805.5260925439998</v>
      </c>
      <c r="F108" s="21">
        <v>4837.4188755349996</v>
      </c>
      <c r="G108" s="21">
        <v>4869.3794077929997</v>
      </c>
      <c r="H108" s="31">
        <v>4901.2173203049997</v>
      </c>
      <c r="J108">
        <v>4</v>
      </c>
      <c r="K108">
        <v>0.27021856243277359</v>
      </c>
      <c r="L108">
        <v>2.6910195084321704</v>
      </c>
      <c r="M108">
        <v>0.81541537529670527</v>
      </c>
    </row>
    <row r="109" spans="1:24" x14ac:dyDescent="0.3">
      <c r="A109" s="30"/>
      <c r="D109" s="16">
        <f>(D110-B110)/B110*100</f>
        <v>-5.1910914031495625E-3</v>
      </c>
      <c r="E109" s="16">
        <f>(E110-B110)/B110*100</f>
        <v>-3.7620144756999596E-3</v>
      </c>
      <c r="F109" s="16">
        <f>(F110-B110)/B110*100</f>
        <v>-7.255313631698939E-3</v>
      </c>
      <c r="G109" s="16">
        <f>(G110-B110)/B110*100</f>
        <v>-1.0785255785843486E-2</v>
      </c>
      <c r="H109" s="32">
        <f>(H110-B110)/B110*100</f>
        <v>-1.0895184780265969E-2</v>
      </c>
      <c r="J109" s="21">
        <v>5</v>
      </c>
      <c r="K109">
        <v>0.33705463336961955</v>
      </c>
      <c r="L109">
        <v>3.3624536730497527</v>
      </c>
      <c r="M109">
        <v>1.0245071594341963</v>
      </c>
    </row>
    <row r="110" spans="1:24" x14ac:dyDescent="0.3">
      <c r="A110" s="34" t="s">
        <v>158</v>
      </c>
      <c r="B110" s="22">
        <v>818710.3</v>
      </c>
      <c r="C110" s="22"/>
      <c r="D110" s="35">
        <v>818667.8</v>
      </c>
      <c r="E110" s="35">
        <v>818679.5</v>
      </c>
      <c r="F110" s="35">
        <v>818650.9</v>
      </c>
      <c r="G110" s="35">
        <v>818622</v>
      </c>
      <c r="H110" s="36">
        <v>818621.1</v>
      </c>
    </row>
    <row r="112" spans="1:24" x14ac:dyDescent="0.3">
      <c r="A112" s="26" t="s">
        <v>200</v>
      </c>
      <c r="B112" s="27" t="s">
        <v>160</v>
      </c>
      <c r="C112" s="27"/>
      <c r="D112" s="28">
        <f>(D113-B113)/B113*100</f>
        <v>-0.18997235183655226</v>
      </c>
      <c r="E112" s="28">
        <f>(E113-B113)/B113*100</f>
        <v>1.0494340445077591E-2</v>
      </c>
      <c r="F112" s="28">
        <f>(F113-B113)/B113*100</f>
        <v>0.21096103272670741</v>
      </c>
      <c r="G112" s="28">
        <f>(G113-B113)/B113*100</f>
        <v>0.41142772500835612</v>
      </c>
      <c r="H112" s="29">
        <f>(H113-B113)/B113*100</f>
        <v>0.61189441728998584</v>
      </c>
    </row>
    <row r="113" spans="1:8" x14ac:dyDescent="0.3">
      <c r="A113" s="30" t="s">
        <v>178</v>
      </c>
      <c r="B113">
        <v>4840.7044030870002</v>
      </c>
      <c r="D113" s="21">
        <v>4831.5084030870003</v>
      </c>
      <c r="E113" s="21">
        <v>4841.212403087</v>
      </c>
      <c r="F113" s="21">
        <v>4850.9164030869997</v>
      </c>
      <c r="G113" s="21">
        <v>4860.6204030870003</v>
      </c>
      <c r="H113" s="31">
        <v>4870.3244030870001</v>
      </c>
    </row>
    <row r="114" spans="1:8" x14ac:dyDescent="0.3">
      <c r="A114" s="30"/>
      <c r="D114" s="16">
        <f>(D115-B115)/B115*100</f>
        <v>0</v>
      </c>
      <c r="E114" s="16">
        <f>(E115-B115)/B115*100</f>
        <v>0</v>
      </c>
      <c r="F114" s="16">
        <f>(F115-B115)/B115*100</f>
        <v>0</v>
      </c>
      <c r="G114" s="16">
        <f>(G115-B115)/B115*100</f>
        <v>0</v>
      </c>
      <c r="H114" s="32">
        <f>(H115-B115)/B115*100</f>
        <v>0</v>
      </c>
    </row>
    <row r="115" spans="1:8" x14ac:dyDescent="0.3">
      <c r="A115" s="30" t="s">
        <v>158</v>
      </c>
      <c r="B115">
        <v>815497.45</v>
      </c>
      <c r="D115" s="21">
        <v>815497.45</v>
      </c>
      <c r="E115" s="21">
        <v>815497.45</v>
      </c>
      <c r="F115" s="21">
        <v>815497.45</v>
      </c>
      <c r="G115" s="21">
        <v>815497.45</v>
      </c>
      <c r="H115" s="31">
        <v>815497.45</v>
      </c>
    </row>
    <row r="116" spans="1:8" x14ac:dyDescent="0.3">
      <c r="A116" s="30"/>
      <c r="H116" s="33"/>
    </row>
    <row r="117" spans="1:8" x14ac:dyDescent="0.3">
      <c r="A117" s="30"/>
      <c r="H117" s="33"/>
    </row>
    <row r="118" spans="1:8" x14ac:dyDescent="0.3">
      <c r="A118" s="30"/>
      <c r="B118" t="s">
        <v>161</v>
      </c>
      <c r="D118" s="16">
        <f>(D119-B119)/B119*100</f>
        <v>0.20336256803793312</v>
      </c>
      <c r="E118" s="16">
        <f>(E119-B119)/B119*100</f>
        <v>0.40809935366289884</v>
      </c>
      <c r="F118" s="16">
        <f>(F119-B119)/B119*100</f>
        <v>0.61146192170083191</v>
      </c>
      <c r="G118" s="16">
        <f>(G119-B119)/B119*100</f>
        <v>0.81541537529670527</v>
      </c>
      <c r="H118" s="32">
        <f>(H119-B119)/B119*100</f>
        <v>1.0245071594341963</v>
      </c>
    </row>
    <row r="119" spans="1:8" x14ac:dyDescent="0.3">
      <c r="A119" s="30" t="s">
        <v>178</v>
      </c>
      <c r="B119">
        <v>4741.7772567669999</v>
      </c>
      <c r="D119" s="21">
        <v>4751.420256767</v>
      </c>
      <c r="E119" s="21">
        <v>4761.1284191040004</v>
      </c>
      <c r="F119" s="21">
        <v>4770.7714191040004</v>
      </c>
      <c r="G119" s="21">
        <v>4780.4424375810004</v>
      </c>
      <c r="H119" s="31">
        <v>4790.3571042470003</v>
      </c>
    </row>
    <row r="120" spans="1:8" x14ac:dyDescent="0.3">
      <c r="A120" s="30"/>
      <c r="D120" s="16">
        <f>(D121-B121)/B121*100</f>
        <v>0</v>
      </c>
      <c r="E120" s="16">
        <f>(E121-B121)/B121*100</f>
        <v>-1.9909362322724613E-3</v>
      </c>
      <c r="F120" s="16">
        <f>(F121-B121)/B121*100</f>
        <v>-1.9909362322724613E-3</v>
      </c>
      <c r="G120" s="16">
        <f>(G121-B121)/B121*100</f>
        <v>-2.2840802173943395E-3</v>
      </c>
      <c r="H120" s="32">
        <f>(H121-B121)/B121*100</f>
        <v>-5.1910914031495625E-3</v>
      </c>
    </row>
    <row r="121" spans="1:8" x14ac:dyDescent="0.3">
      <c r="A121" s="34" t="s">
        <v>158</v>
      </c>
      <c r="B121" s="22">
        <v>818710.3</v>
      </c>
      <c r="C121" s="22"/>
      <c r="D121" s="35">
        <v>818710.3</v>
      </c>
      <c r="E121" s="35">
        <v>818694</v>
      </c>
      <c r="F121" s="35">
        <v>818694</v>
      </c>
      <c r="G121" s="35">
        <v>818691.6</v>
      </c>
      <c r="H121" s="36">
        <v>818667.8</v>
      </c>
    </row>
  </sheetData>
  <mergeCells count="14">
    <mergeCell ref="S95:T95"/>
    <mergeCell ref="U95:V95"/>
    <mergeCell ref="W95:X95"/>
    <mergeCell ref="Y95:Z95"/>
    <mergeCell ref="S59:T59"/>
    <mergeCell ref="U59:V59"/>
    <mergeCell ref="W59:X59"/>
    <mergeCell ref="Y59:Z59"/>
    <mergeCell ref="Y5:Z5"/>
    <mergeCell ref="Q60:Q65"/>
    <mergeCell ref="Q6:Q11"/>
    <mergeCell ref="S5:T5"/>
    <mergeCell ref="U5:V5"/>
    <mergeCell ref="W5:X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EB35C-6DAF-4EE7-8644-B34C0C856C62}">
  <dimension ref="A2:AB99"/>
  <sheetViews>
    <sheetView topLeftCell="G13" workbookViewId="0">
      <selection activeCell="Z21" sqref="Z21"/>
    </sheetView>
  </sheetViews>
  <sheetFormatPr defaultRowHeight="14.4" x14ac:dyDescent="0.3"/>
  <sheetData>
    <row r="2" spans="1:26" x14ac:dyDescent="0.3">
      <c r="A2" s="26" t="s">
        <v>215</v>
      </c>
      <c r="B2" s="27" t="s">
        <v>160</v>
      </c>
      <c r="C2" s="27"/>
      <c r="D2" s="28">
        <f>(D3-B3)/B3*100</f>
        <v>2.3813685744868865E-3</v>
      </c>
      <c r="E2" s="28">
        <f>(E3-B3)/B3*100</f>
        <v>4.7627371489737729E-3</v>
      </c>
      <c r="F2" s="28">
        <f>(F3-B3)/B3*100</f>
        <v>7.1441057234463839E-3</v>
      </c>
      <c r="G2" s="28">
        <f>(G3-B3)/B3*100</f>
        <v>9.5254742979332709E-3</v>
      </c>
      <c r="H2" s="29">
        <f>(H3-B3)/B3*100</f>
        <v>1.1906842872420158E-2</v>
      </c>
    </row>
    <row r="3" spans="1:26" x14ac:dyDescent="0.3">
      <c r="A3" s="30" t="s">
        <v>158</v>
      </c>
      <c r="B3">
        <v>815497.45</v>
      </c>
      <c r="D3" s="21">
        <v>815516.87</v>
      </c>
      <c r="E3" s="21">
        <v>815536.29</v>
      </c>
      <c r="F3" s="21">
        <v>815555.71</v>
      </c>
      <c r="G3" s="21">
        <v>815575.13</v>
      </c>
      <c r="H3" s="31">
        <v>815594.55</v>
      </c>
    </row>
    <row r="4" spans="1:26" x14ac:dyDescent="0.3">
      <c r="A4" s="30" t="s">
        <v>159</v>
      </c>
      <c r="B4">
        <v>4840.7044030870002</v>
      </c>
      <c r="D4" s="21">
        <v>4840.7044030870002</v>
      </c>
      <c r="E4" s="21">
        <v>4840.7044030870002</v>
      </c>
      <c r="F4" s="21">
        <v>4840.7044030870002</v>
      </c>
      <c r="G4" s="21">
        <v>4840.7044030870002</v>
      </c>
      <c r="H4" s="31">
        <v>4840.7044030870002</v>
      </c>
    </row>
    <row r="5" spans="1:26" x14ac:dyDescent="0.3">
      <c r="A5" s="30"/>
      <c r="H5" s="33"/>
    </row>
    <row r="6" spans="1:26" x14ac:dyDescent="0.3">
      <c r="A6" s="30"/>
      <c r="H6" s="33"/>
    </row>
    <row r="7" spans="1:26" x14ac:dyDescent="0.3">
      <c r="A7" s="30"/>
      <c r="B7" t="s">
        <v>161</v>
      </c>
      <c r="D7" s="16">
        <f>(D8-B8)/B8*100</f>
        <v>2.3720234129124174E-3</v>
      </c>
      <c r="E7" s="16">
        <f>(E8-B8)/B8*100</f>
        <v>4.7440468258390543E-3</v>
      </c>
      <c r="F7" s="16">
        <f>(F8-B8)/B8*100</f>
        <v>7.1160702387656908E-3</v>
      </c>
      <c r="G7" s="16">
        <f>(G8-B8)/B8*100</f>
        <v>9.4880936516781086E-3</v>
      </c>
      <c r="H7" s="32">
        <f>(H8-B8)/B8*100</f>
        <v>1.1860117064604747E-2</v>
      </c>
    </row>
    <row r="8" spans="1:26" x14ac:dyDescent="0.3">
      <c r="A8" s="30"/>
      <c r="B8">
        <v>818710.3</v>
      </c>
      <c r="D8" s="21">
        <v>818729.72</v>
      </c>
      <c r="E8" s="21">
        <v>818749.14</v>
      </c>
      <c r="F8" s="21">
        <v>818768.56</v>
      </c>
      <c r="G8" s="21">
        <v>818787.98</v>
      </c>
      <c r="H8" s="31">
        <v>818807.4</v>
      </c>
    </row>
    <row r="9" spans="1:26" x14ac:dyDescent="0.3">
      <c r="A9" s="34"/>
      <c r="B9" s="22">
        <v>4741.7772567669999</v>
      </c>
      <c r="C9" s="22"/>
      <c r="D9" s="35">
        <v>4741.7772567669999</v>
      </c>
      <c r="E9" s="35">
        <v>4741.7772567669999</v>
      </c>
      <c r="F9" s="35">
        <v>4741.7772567669999</v>
      </c>
      <c r="G9" s="35">
        <v>4741.7772567669999</v>
      </c>
      <c r="H9" s="36">
        <v>4741.7772567669999</v>
      </c>
    </row>
    <row r="11" spans="1:26" x14ac:dyDescent="0.3">
      <c r="A11" s="26" t="s">
        <v>216</v>
      </c>
      <c r="B11" s="27" t="s">
        <v>160</v>
      </c>
      <c r="C11" s="27"/>
      <c r="D11" s="28">
        <f>(D12-B12)/B12*100</f>
        <v>7.9697367539291658E-2</v>
      </c>
      <c r="E11" s="28">
        <f>(E12-B12)/B12*100</f>
        <v>0.15939473507858332</v>
      </c>
      <c r="F11" s="28">
        <f>(F12-B12)/B12*100</f>
        <v>0.23909210261786074</v>
      </c>
      <c r="G11" s="28">
        <f>(G12-B12)/B12*100</f>
        <v>0.31878947015715237</v>
      </c>
      <c r="H11" s="29">
        <f>(H12-B12)/B12*100</f>
        <v>0.39848683769642973</v>
      </c>
      <c r="L11" t="s">
        <v>160</v>
      </c>
    </row>
    <row r="12" spans="1:26" x14ac:dyDescent="0.3">
      <c r="A12" s="30" t="s">
        <v>158</v>
      </c>
      <c r="B12">
        <v>815497.45</v>
      </c>
      <c r="D12" s="21">
        <v>816147.38</v>
      </c>
      <c r="E12" s="21">
        <v>816797.31</v>
      </c>
      <c r="F12" s="21">
        <v>817447.24</v>
      </c>
      <c r="G12" s="21">
        <v>818097.17</v>
      </c>
      <c r="H12" s="31">
        <v>818747.1</v>
      </c>
      <c r="L12" t="s">
        <v>231</v>
      </c>
      <c r="M12" t="s">
        <v>232</v>
      </c>
      <c r="N12" t="s">
        <v>233</v>
      </c>
      <c r="O12" t="s">
        <v>234</v>
      </c>
      <c r="R12" s="26"/>
      <c r="S12" s="65" t="s">
        <v>231</v>
      </c>
      <c r="T12" s="65"/>
      <c r="U12" s="65" t="s">
        <v>232</v>
      </c>
      <c r="V12" s="65"/>
      <c r="W12" s="65" t="s">
        <v>233</v>
      </c>
      <c r="X12" s="65"/>
      <c r="Y12" s="65" t="s">
        <v>234</v>
      </c>
      <c r="Z12" s="66"/>
    </row>
    <row r="13" spans="1:26" x14ac:dyDescent="0.3">
      <c r="A13" s="30" t="s">
        <v>159</v>
      </c>
      <c r="B13">
        <v>4840.7044030870002</v>
      </c>
      <c r="D13" s="21">
        <v>4840.7044030870002</v>
      </c>
      <c r="E13" s="21">
        <v>4840.7044030870002</v>
      </c>
      <c r="F13" s="21">
        <v>4840.7044030870002</v>
      </c>
      <c r="G13" s="21">
        <v>4840.7044030870002</v>
      </c>
      <c r="H13" s="31">
        <v>4840.7044030870002</v>
      </c>
      <c r="K13" s="21">
        <v>1</v>
      </c>
      <c r="L13">
        <v>0.89265147303649406</v>
      </c>
      <c r="M13">
        <v>2.3813685744868865E-3</v>
      </c>
      <c r="N13">
        <v>7.9697367539291658E-2</v>
      </c>
      <c r="O13">
        <v>4.2987258881188066E-3</v>
      </c>
      <c r="R13" s="30"/>
      <c r="S13" t="s">
        <v>160</v>
      </c>
      <c r="T13" t="s">
        <v>161</v>
      </c>
      <c r="U13" t="s">
        <v>160</v>
      </c>
      <c r="V13" t="s">
        <v>161</v>
      </c>
      <c r="W13" t="s">
        <v>160</v>
      </c>
      <c r="X13" t="s">
        <v>161</v>
      </c>
      <c r="Y13" t="s">
        <v>160</v>
      </c>
      <c r="Z13" s="33" t="s">
        <v>161</v>
      </c>
    </row>
    <row r="14" spans="1:26" x14ac:dyDescent="0.3">
      <c r="A14" s="30"/>
      <c r="H14" s="33"/>
      <c r="K14">
        <v>2</v>
      </c>
      <c r="L14">
        <v>1.7853029460729881</v>
      </c>
      <c r="M14">
        <v>4.7627371489737729E-3</v>
      </c>
      <c r="N14">
        <v>0.15939473507858332</v>
      </c>
      <c r="O14">
        <v>8.5974517762233381E-3</v>
      </c>
      <c r="R14" s="38">
        <v>0.01</v>
      </c>
      <c r="S14" s="53">
        <v>0.89265147303649406</v>
      </c>
      <c r="T14" s="53">
        <v>0.88784152343020195</v>
      </c>
      <c r="U14" s="53">
        <v>2.3813685744868865E-3</v>
      </c>
      <c r="V14" s="53">
        <v>2.3720234129124174E-3</v>
      </c>
      <c r="W14" s="53">
        <v>7.9697367539291658E-2</v>
      </c>
      <c r="X14" s="53">
        <v>7.719458274801233E-2</v>
      </c>
      <c r="Y14" s="53">
        <v>4.2987258881188066E-3</v>
      </c>
      <c r="Z14" s="47">
        <v>2.3016688564837357E-3</v>
      </c>
    </row>
    <row r="15" spans="1:26" x14ac:dyDescent="0.3">
      <c r="A15" s="30"/>
      <c r="H15" s="33"/>
      <c r="K15">
        <v>3</v>
      </c>
      <c r="L15">
        <v>2.6779544191094682</v>
      </c>
      <c r="M15">
        <v>7.1441057234463839E-3</v>
      </c>
      <c r="N15">
        <v>0.23909210261786074</v>
      </c>
      <c r="O15">
        <v>1.2896177664327869E-2</v>
      </c>
      <c r="R15" s="38">
        <v>0.02</v>
      </c>
      <c r="S15" s="53">
        <v>1.7853029460729881</v>
      </c>
      <c r="T15" s="53">
        <v>1.7753288312117155</v>
      </c>
      <c r="U15" s="53">
        <v>4.7627371489737729E-3</v>
      </c>
      <c r="V15" s="53">
        <v>4.7440468258390543E-3</v>
      </c>
      <c r="W15" s="53">
        <v>0.15939473507858332</v>
      </c>
      <c r="X15" s="53">
        <v>0.1579923936464461</v>
      </c>
      <c r="Y15" s="53">
        <v>8.5974517762233381E-3</v>
      </c>
      <c r="Z15" s="47">
        <v>6.5942739452399327E-3</v>
      </c>
    </row>
    <row r="16" spans="1:26" x14ac:dyDescent="0.3">
      <c r="A16" s="30"/>
      <c r="B16" t="s">
        <v>161</v>
      </c>
      <c r="D16" s="16">
        <f>(D17-B17)/B17*100</f>
        <v>7.719458274801233E-2</v>
      </c>
      <c r="E16" s="16">
        <f>(E17-B17)/B17*100</f>
        <v>0.1579923936464461</v>
      </c>
      <c r="F16" s="16">
        <f>(F17-B17)/B17*100</f>
        <v>0.22823702108059185</v>
      </c>
      <c r="G16" s="16">
        <f>(G17-B17)/B17*100</f>
        <v>0.30698282408318667</v>
      </c>
      <c r="H16" s="32">
        <f>(H17-B17)/B17*100</f>
        <v>0.38218647059894079</v>
      </c>
      <c r="K16">
        <v>4</v>
      </c>
      <c r="L16">
        <v>3.5706058921459625</v>
      </c>
      <c r="M16">
        <v>9.5254742979332709E-3</v>
      </c>
      <c r="N16">
        <v>0.31878947015715237</v>
      </c>
      <c r="O16">
        <v>1.7194903552432399E-2</v>
      </c>
      <c r="R16" s="38">
        <v>0.03</v>
      </c>
      <c r="S16" s="53">
        <v>2.6779544191094682</v>
      </c>
      <c r="T16" s="53">
        <v>2.6645627885712355</v>
      </c>
      <c r="U16" s="53">
        <v>7.1441057234463839E-3</v>
      </c>
      <c r="V16" s="53">
        <v>7.1160702387656908E-3</v>
      </c>
      <c r="W16" s="53">
        <v>0.23909210261786074</v>
      </c>
      <c r="X16" s="53">
        <v>0.22823702108059185</v>
      </c>
      <c r="Y16" s="53">
        <v>1.2896177664327869E-2</v>
      </c>
      <c r="Z16" s="47">
        <v>1.0886879034010349E-2</v>
      </c>
    </row>
    <row r="17" spans="1:26" x14ac:dyDescent="0.3">
      <c r="A17" s="30"/>
      <c r="B17">
        <v>818710.3</v>
      </c>
      <c r="D17" s="21">
        <v>819342.3</v>
      </c>
      <c r="E17" s="21">
        <v>820003.8</v>
      </c>
      <c r="F17" s="21">
        <v>820578.9</v>
      </c>
      <c r="G17" s="21">
        <v>821223.6</v>
      </c>
      <c r="H17" s="31">
        <v>821839.3</v>
      </c>
      <c r="K17" s="21">
        <v>5</v>
      </c>
      <c r="L17">
        <v>4.4632573651824421</v>
      </c>
      <c r="M17">
        <v>1.1906842872420158E-2</v>
      </c>
      <c r="N17">
        <v>0.39848683769642973</v>
      </c>
      <c r="O17">
        <v>2.1493629440536934E-2</v>
      </c>
      <c r="R17" s="38">
        <v>0.04</v>
      </c>
      <c r="S17" s="53">
        <v>3.5706058921459625</v>
      </c>
      <c r="T17" s="53">
        <v>3.5562518268061249</v>
      </c>
      <c r="U17" s="53">
        <v>9.5254742979332709E-3</v>
      </c>
      <c r="V17" s="53">
        <v>9.4880936516781086E-3</v>
      </c>
      <c r="W17" s="53">
        <v>0.31878947015715237</v>
      </c>
      <c r="X17" s="53">
        <v>0.30698282408318667</v>
      </c>
      <c r="Y17" s="53">
        <v>1.7194903552432399E-2</v>
      </c>
      <c r="Z17" s="47">
        <v>1.5179484122766545E-2</v>
      </c>
    </row>
    <row r="18" spans="1:26" x14ac:dyDescent="0.3">
      <c r="A18" s="34"/>
      <c r="B18" s="22">
        <v>4741.7772567669999</v>
      </c>
      <c r="C18" s="22"/>
      <c r="D18" s="35">
        <v>4741.7772567669999</v>
      </c>
      <c r="E18" s="35">
        <v>4741.7772567669999</v>
      </c>
      <c r="F18" s="35">
        <v>4741.7772567669999</v>
      </c>
      <c r="G18" s="35">
        <v>4741.7772567669999</v>
      </c>
      <c r="H18" s="36">
        <v>4741.7772567669999</v>
      </c>
      <c r="R18" s="39">
        <v>0.05</v>
      </c>
      <c r="S18" s="48">
        <v>4.4632573651824421</v>
      </c>
      <c r="T18" s="48">
        <v>4.4443742798887378</v>
      </c>
      <c r="U18" s="48">
        <v>1.1906842872420158E-2</v>
      </c>
      <c r="V18" s="48">
        <v>1.1860117064604747E-2</v>
      </c>
      <c r="W18" s="48">
        <v>0.39848683769642973</v>
      </c>
      <c r="X18" s="48">
        <v>0.38218647059894079</v>
      </c>
      <c r="Y18" s="48">
        <v>2.1493629440536934E-2</v>
      </c>
      <c r="Z18" s="49">
        <v>1.9472089211522742E-2</v>
      </c>
    </row>
    <row r="20" spans="1:26" x14ac:dyDescent="0.3">
      <c r="A20" s="26" t="s">
        <v>217</v>
      </c>
      <c r="B20" s="27" t="s">
        <v>160</v>
      </c>
      <c r="C20" s="27"/>
      <c r="D20" s="28">
        <f>(D21-B21)/B21*100</f>
        <v>0.89265147303649406</v>
      </c>
      <c r="E20" s="28">
        <f>(E21-B21)/B21*100</f>
        <v>1.7853029460729881</v>
      </c>
      <c r="F20" s="28">
        <f>(F21-B21)/B21*100</f>
        <v>2.6779544191094682</v>
      </c>
      <c r="G20" s="28">
        <f>(G21-B21)/B21*100</f>
        <v>3.5706058921459625</v>
      </c>
      <c r="H20" s="29">
        <f>(H21-B21)/B21*100</f>
        <v>4.4632573651824421</v>
      </c>
    </row>
    <row r="21" spans="1:26" x14ac:dyDescent="0.3">
      <c r="A21" s="30" t="s">
        <v>158</v>
      </c>
      <c r="B21">
        <v>815497.45</v>
      </c>
      <c r="D21" s="21">
        <v>822777</v>
      </c>
      <c r="E21" s="21">
        <v>830056.55</v>
      </c>
      <c r="F21" s="21">
        <v>837336.1</v>
      </c>
      <c r="G21" s="21">
        <v>844615.65</v>
      </c>
      <c r="H21" s="31">
        <v>851895.2</v>
      </c>
      <c r="L21" t="s">
        <v>161</v>
      </c>
    </row>
    <row r="22" spans="1:26" x14ac:dyDescent="0.3">
      <c r="A22" s="30" t="s">
        <v>159</v>
      </c>
      <c r="B22">
        <v>4840.7044030870002</v>
      </c>
      <c r="D22" s="21">
        <v>4840.7044030870002</v>
      </c>
      <c r="E22" s="21">
        <v>4840.7044030870002</v>
      </c>
      <c r="F22" s="21">
        <v>4840.7044030870002</v>
      </c>
      <c r="G22" s="21">
        <v>4840.7044030870002</v>
      </c>
      <c r="H22" s="31">
        <v>4840.7044030870002</v>
      </c>
      <c r="L22" t="s">
        <v>231</v>
      </c>
      <c r="M22" t="s">
        <v>232</v>
      </c>
      <c r="N22" t="s">
        <v>233</v>
      </c>
      <c r="O22" t="s">
        <v>234</v>
      </c>
    </row>
    <row r="23" spans="1:26" x14ac:dyDescent="0.3">
      <c r="A23" s="30"/>
      <c r="H23" s="33"/>
      <c r="K23" s="21">
        <v>1</v>
      </c>
      <c r="L23">
        <v>0.88784152343020195</v>
      </c>
      <c r="M23">
        <v>2.3720234129124174E-3</v>
      </c>
      <c r="N23">
        <v>7.719458274801233E-2</v>
      </c>
      <c r="O23">
        <v>2.3016688564837357E-3</v>
      </c>
    </row>
    <row r="24" spans="1:26" x14ac:dyDescent="0.3">
      <c r="A24" s="30"/>
      <c r="H24" s="33"/>
      <c r="K24">
        <v>2</v>
      </c>
      <c r="L24">
        <v>1.7753288312117155</v>
      </c>
      <c r="M24">
        <v>4.7440468258390543E-3</v>
      </c>
      <c r="N24">
        <v>0.1579923936464461</v>
      </c>
      <c r="O24">
        <v>6.5942739452399327E-3</v>
      </c>
    </row>
    <row r="25" spans="1:26" x14ac:dyDescent="0.3">
      <c r="A25" s="30"/>
      <c r="B25" t="s">
        <v>161</v>
      </c>
      <c r="D25" s="16">
        <f>(D26-B26)/B26*100</f>
        <v>0.88784152343020195</v>
      </c>
      <c r="E25" s="16">
        <f>(E26-B26)/B26*100</f>
        <v>1.7753288312117155</v>
      </c>
      <c r="F25" s="16">
        <f>(F26-B26)/B26*100</f>
        <v>2.6645627885712355</v>
      </c>
      <c r="G25" s="16">
        <f>(G26-B26)/B26*100</f>
        <v>3.5562518268061249</v>
      </c>
      <c r="H25" s="32">
        <f>(H26-B26)/B26*100</f>
        <v>4.4443742798887378</v>
      </c>
      <c r="K25">
        <v>3</v>
      </c>
      <c r="L25">
        <v>2.6645627885712355</v>
      </c>
      <c r="M25">
        <v>7.1160702387656908E-3</v>
      </c>
      <c r="N25">
        <v>0.22823702108059185</v>
      </c>
      <c r="O25">
        <v>1.0886879034010349E-2</v>
      </c>
    </row>
    <row r="26" spans="1:26" x14ac:dyDescent="0.3">
      <c r="A26" s="30"/>
      <c r="B26">
        <v>818710.3</v>
      </c>
      <c r="D26" s="21">
        <v>825979.15</v>
      </c>
      <c r="E26" s="21">
        <v>833245.1</v>
      </c>
      <c r="F26" s="21">
        <v>840525.35</v>
      </c>
      <c r="G26" s="21">
        <v>847825.7</v>
      </c>
      <c r="H26" s="31">
        <v>855096.85</v>
      </c>
      <c r="K26">
        <v>4</v>
      </c>
      <c r="L26">
        <v>3.5562518268061249</v>
      </c>
      <c r="M26">
        <v>9.4880936516781086E-3</v>
      </c>
      <c r="N26">
        <v>0.30698282408318667</v>
      </c>
      <c r="O26">
        <v>1.5179484122766545E-2</v>
      </c>
    </row>
    <row r="27" spans="1:26" x14ac:dyDescent="0.3">
      <c r="A27" s="34"/>
      <c r="B27" s="22">
        <v>4741.7772567669999</v>
      </c>
      <c r="C27" s="22"/>
      <c r="D27" s="35">
        <v>4741.7772567669999</v>
      </c>
      <c r="E27" s="35">
        <v>4741.7772567669999</v>
      </c>
      <c r="F27" s="35">
        <v>4741.7772567669999</v>
      </c>
      <c r="G27" s="35">
        <v>4741.7772567669999</v>
      </c>
      <c r="H27" s="36">
        <v>4741.7772567669999</v>
      </c>
      <c r="K27" s="21">
        <v>5</v>
      </c>
      <c r="L27">
        <v>4.4443742798887378</v>
      </c>
      <c r="M27">
        <v>1.1860117064604747E-2</v>
      </c>
      <c r="N27">
        <v>0.38218647059894079</v>
      </c>
      <c r="O27">
        <v>1.9472089211522742E-2</v>
      </c>
    </row>
    <row r="29" spans="1:26" x14ac:dyDescent="0.3">
      <c r="A29" s="26" t="s">
        <v>218</v>
      </c>
      <c r="B29" s="27" t="s">
        <v>160</v>
      </c>
      <c r="C29" s="27"/>
      <c r="D29" s="28">
        <f>(D30-B30)/B30*100</f>
        <v>4.2987258881188066E-3</v>
      </c>
      <c r="E29" s="28">
        <f>(E30-B30)/B30*100</f>
        <v>8.5974517762233381E-3</v>
      </c>
      <c r="F29" s="28">
        <f>(F30-B30)/B30*100</f>
        <v>1.2896177664327869E-2</v>
      </c>
      <c r="G29" s="28">
        <f>(G30-B30)/B30*100</f>
        <v>1.7194903552432399E-2</v>
      </c>
      <c r="H29" s="29">
        <f>(H30-B30)/B30*100</f>
        <v>2.1493629440536934E-2</v>
      </c>
    </row>
    <row r="30" spans="1:26" x14ac:dyDescent="0.3">
      <c r="A30" s="30" t="s">
        <v>158</v>
      </c>
      <c r="B30">
        <v>815497.45</v>
      </c>
      <c r="D30" s="21">
        <v>815532.50600000005</v>
      </c>
      <c r="E30" s="21">
        <v>815567.56200000003</v>
      </c>
      <c r="F30" s="21">
        <v>815602.61800000002</v>
      </c>
      <c r="G30" s="21">
        <v>815637.674</v>
      </c>
      <c r="H30" s="31">
        <v>815672.73</v>
      </c>
    </row>
    <row r="31" spans="1:26" x14ac:dyDescent="0.3">
      <c r="A31" s="30" t="s">
        <v>159</v>
      </c>
      <c r="B31">
        <v>4840.7044030870002</v>
      </c>
      <c r="D31" s="21">
        <v>4840.7044030870002</v>
      </c>
      <c r="E31" s="21">
        <v>4840.7044030870002</v>
      </c>
      <c r="F31" s="21">
        <v>4840.7044030870002</v>
      </c>
      <c r="G31" s="21">
        <v>4840.7044030870002</v>
      </c>
      <c r="H31" s="31">
        <v>4840.7044030870002</v>
      </c>
    </row>
    <row r="32" spans="1:26" x14ac:dyDescent="0.3">
      <c r="A32" s="30"/>
      <c r="H32" s="33"/>
    </row>
    <row r="33" spans="1:25" x14ac:dyDescent="0.3">
      <c r="A33" s="30"/>
      <c r="H33" s="33"/>
    </row>
    <row r="34" spans="1:25" x14ac:dyDescent="0.3">
      <c r="A34" s="30"/>
      <c r="B34" t="s">
        <v>161</v>
      </c>
      <c r="D34" s="16">
        <f>(D35-B35)/B35*100</f>
        <v>2.3016688564837357E-3</v>
      </c>
      <c r="E34" s="16">
        <f>(E35-B35)/B35*100</f>
        <v>6.5942739452399327E-3</v>
      </c>
      <c r="F34" s="16">
        <f>(F35-B35)/B35*100</f>
        <v>1.0886879034010349E-2</v>
      </c>
      <c r="G34" s="16">
        <f>(G35-B35)/B35*100</f>
        <v>1.5179484122766545E-2</v>
      </c>
      <c r="H34" s="32">
        <f>(H35-B35)/B35*100</f>
        <v>1.9472089211522742E-2</v>
      </c>
    </row>
    <row r="35" spans="1:25" x14ac:dyDescent="0.3">
      <c r="A35" s="30"/>
      <c r="B35">
        <v>818710.3</v>
      </c>
      <c r="D35" s="21">
        <v>818729.14399999997</v>
      </c>
      <c r="E35" s="21">
        <v>818764.28799999994</v>
      </c>
      <c r="F35" s="21">
        <v>818799.43200000003</v>
      </c>
      <c r="G35" s="21">
        <v>818834.576</v>
      </c>
      <c r="H35" s="31">
        <v>818869.72</v>
      </c>
    </row>
    <row r="36" spans="1:25" x14ac:dyDescent="0.3">
      <c r="A36" s="34"/>
      <c r="B36" s="22">
        <v>4741.7772567669999</v>
      </c>
      <c r="C36" s="22"/>
      <c r="D36" s="35">
        <v>4741.7772567669999</v>
      </c>
      <c r="E36" s="35">
        <v>4741.7772567669999</v>
      </c>
      <c r="F36" s="35">
        <v>4741.7772567669999</v>
      </c>
      <c r="G36" s="35">
        <v>4741.7772567669999</v>
      </c>
      <c r="H36" s="36">
        <v>4741.7772567669999</v>
      </c>
    </row>
    <row r="38" spans="1:25" x14ac:dyDescent="0.3">
      <c r="A38" s="26" t="s">
        <v>219</v>
      </c>
      <c r="B38" s="27" t="s">
        <v>160</v>
      </c>
      <c r="C38" s="27"/>
      <c r="D38" s="28">
        <f>(D39-B39)/B39*100</f>
        <v>2.461197150278799E-3</v>
      </c>
      <c r="E38" s="28">
        <f>(E39-B39)/B39*100</f>
        <v>4.922394300557598E-3</v>
      </c>
      <c r="F38" s="28">
        <f>(F39-B39)/B39*100</f>
        <v>7.3835914508363978E-3</v>
      </c>
      <c r="G38" s="28">
        <f>(G39-B39)/B39*100</f>
        <v>9.8447886011294727E-3</v>
      </c>
      <c r="H38" s="29">
        <f>(H39-B39)/B39*100</f>
        <v>1.2305985751408271E-2</v>
      </c>
    </row>
    <row r="39" spans="1:25" x14ac:dyDescent="0.3">
      <c r="A39" s="30" t="s">
        <v>158</v>
      </c>
      <c r="B39">
        <v>815497.45</v>
      </c>
      <c r="D39" s="21">
        <v>815517.52099999995</v>
      </c>
      <c r="E39" s="21">
        <v>815537.59199999995</v>
      </c>
      <c r="F39" s="21">
        <v>815557.66299999994</v>
      </c>
      <c r="G39" s="21">
        <v>815577.73400000005</v>
      </c>
      <c r="H39" s="31">
        <v>815597.80500000005</v>
      </c>
    </row>
    <row r="40" spans="1:25" x14ac:dyDescent="0.3">
      <c r="A40" s="30" t="s">
        <v>159</v>
      </c>
      <c r="B40">
        <v>4840.7044030870002</v>
      </c>
      <c r="D40" s="21">
        <v>4840.7044030870002</v>
      </c>
      <c r="E40" s="21">
        <v>4840.7044030870002</v>
      </c>
      <c r="F40" s="21">
        <v>4840.7044030870002</v>
      </c>
      <c r="G40" s="21">
        <v>4840.7044030870002</v>
      </c>
      <c r="H40" s="31">
        <v>4840.7044030870002</v>
      </c>
    </row>
    <row r="41" spans="1:25" x14ac:dyDescent="0.3">
      <c r="A41" s="30"/>
      <c r="H41" s="33"/>
    </row>
    <row r="42" spans="1:25" x14ac:dyDescent="0.3">
      <c r="A42" s="30"/>
      <c r="H42" s="33"/>
    </row>
    <row r="43" spans="1:25" x14ac:dyDescent="0.3">
      <c r="A43" s="30"/>
      <c r="B43" t="s">
        <v>161</v>
      </c>
      <c r="D43" s="16">
        <f>(D44-B44)/B44*100</f>
        <v>2.4515387188846008E-3</v>
      </c>
      <c r="E43" s="16">
        <f>(E44-B44)/B44*100</f>
        <v>4.9030774377692016E-3</v>
      </c>
      <c r="F43" s="16">
        <f>(F44-B44)/B44*100</f>
        <v>7.3546161566538024E-3</v>
      </c>
      <c r="G43" s="16">
        <f>(G44-B44)/B44*100</f>
        <v>9.8061548755384031E-3</v>
      </c>
      <c r="H43" s="32">
        <f>(H44-B44)/B44*100</f>
        <v>1.2257693594423006E-2</v>
      </c>
    </row>
    <row r="44" spans="1:25" x14ac:dyDescent="0.3">
      <c r="A44" s="30"/>
      <c r="B44">
        <v>818710.3</v>
      </c>
      <c r="D44" s="21">
        <v>818730.37100000004</v>
      </c>
      <c r="E44" s="21">
        <v>818750.44200000004</v>
      </c>
      <c r="F44" s="21">
        <v>818770.51300000004</v>
      </c>
      <c r="G44" s="21">
        <v>818790.58400000003</v>
      </c>
      <c r="H44" s="31">
        <v>818810.65500000003</v>
      </c>
    </row>
    <row r="45" spans="1:25" x14ac:dyDescent="0.3">
      <c r="A45" s="34"/>
      <c r="B45" s="22">
        <v>4741.7772567669999</v>
      </c>
      <c r="C45" s="22"/>
      <c r="D45" s="35">
        <v>4741.7772567669999</v>
      </c>
      <c r="E45" s="35">
        <v>4741.7772567669999</v>
      </c>
      <c r="F45" s="35">
        <v>4741.7772567669999</v>
      </c>
      <c r="G45" s="35">
        <v>4741.7772567669999</v>
      </c>
      <c r="H45" s="36">
        <v>4741.7772567669999</v>
      </c>
    </row>
    <row r="46" spans="1:25" x14ac:dyDescent="0.3">
      <c r="L46" t="s">
        <v>160</v>
      </c>
      <c r="Q46" s="26"/>
      <c r="R46" s="65" t="s">
        <v>235</v>
      </c>
      <c r="S46" s="65"/>
      <c r="T46" s="65" t="s">
        <v>236</v>
      </c>
      <c r="U46" s="65"/>
      <c r="V46" s="65" t="s">
        <v>237</v>
      </c>
      <c r="W46" s="66"/>
      <c r="X46" s="65"/>
      <c r="Y46" s="66"/>
    </row>
    <row r="47" spans="1:25" x14ac:dyDescent="0.3">
      <c r="A47" s="26" t="s">
        <v>198</v>
      </c>
      <c r="B47" s="27" t="s">
        <v>160</v>
      </c>
      <c r="C47" s="27"/>
      <c r="D47" s="28">
        <f>(D48-B48)/B48*100</f>
        <v>4.1741393550693813E-3</v>
      </c>
      <c r="E47" s="28">
        <f>(E48-B48)/B48*100</f>
        <v>8.3482787101387627E-3</v>
      </c>
      <c r="F47" s="28">
        <f>(F48-B48)/B48*100</f>
        <v>1.252241806519387E-2</v>
      </c>
      <c r="G47" s="28">
        <f>(G48-B48)/B48*100</f>
        <v>1.6696557420263252E-2</v>
      </c>
      <c r="H47" s="29">
        <f>(H48-B48)/B48*100</f>
        <v>2.0870696775332633E-2</v>
      </c>
      <c r="L47" t="s">
        <v>235</v>
      </c>
      <c r="M47" t="s">
        <v>236</v>
      </c>
      <c r="N47" t="s">
        <v>237</v>
      </c>
      <c r="Q47" s="30"/>
      <c r="R47" t="s">
        <v>160</v>
      </c>
      <c r="S47" t="s">
        <v>161</v>
      </c>
      <c r="T47" t="s">
        <v>160</v>
      </c>
      <c r="U47" t="s">
        <v>161</v>
      </c>
      <c r="V47" t="s">
        <v>160</v>
      </c>
      <c r="W47" s="33" t="s">
        <v>161</v>
      </c>
      <c r="Y47" s="33"/>
    </row>
    <row r="48" spans="1:25" x14ac:dyDescent="0.3">
      <c r="A48" s="30" t="s">
        <v>158</v>
      </c>
      <c r="B48">
        <v>815497.45</v>
      </c>
      <c r="D48" s="21">
        <v>815531.49</v>
      </c>
      <c r="E48" s="21">
        <v>815565.53</v>
      </c>
      <c r="F48" s="21">
        <v>815599.57</v>
      </c>
      <c r="G48" s="21">
        <v>815633.61</v>
      </c>
      <c r="H48" s="31">
        <v>815667.65</v>
      </c>
      <c r="K48" s="21">
        <v>1</v>
      </c>
      <c r="L48">
        <v>2.461197150278799E-3</v>
      </c>
      <c r="M48">
        <v>4.1741393550693813E-3</v>
      </c>
      <c r="N48">
        <v>-2.2369168658920107E-3</v>
      </c>
      <c r="Q48" s="38">
        <v>0.01</v>
      </c>
      <c r="R48" s="52">
        <v>2.461197150278799E-3</v>
      </c>
      <c r="S48" s="52">
        <v>2.4515387188846008E-3</v>
      </c>
      <c r="T48" s="52">
        <v>4.1741393550693813E-3</v>
      </c>
      <c r="U48" s="52">
        <v>4.1577588555952978E-3</v>
      </c>
      <c r="V48" s="52">
        <v>-2.2369168658920107E-3</v>
      </c>
      <c r="W48" s="44">
        <v>-2.2281385735693909E-3</v>
      </c>
      <c r="X48" s="6"/>
      <c r="Y48" s="41"/>
    </row>
    <row r="49" spans="1:25" x14ac:dyDescent="0.3">
      <c r="A49" s="30" t="s">
        <v>159</v>
      </c>
      <c r="B49">
        <v>4840.7044030870002</v>
      </c>
      <c r="D49" s="21">
        <v>4840.7044030870002</v>
      </c>
      <c r="E49" s="21">
        <v>4840.7044030870002</v>
      </c>
      <c r="F49" s="21">
        <v>4840.7044030870002</v>
      </c>
      <c r="G49" s="21">
        <v>4840.7044030870002</v>
      </c>
      <c r="H49" s="31">
        <v>4840.7044030870002</v>
      </c>
      <c r="K49">
        <v>2</v>
      </c>
      <c r="L49">
        <v>4.922394300557598E-3</v>
      </c>
      <c r="M49">
        <v>8.3482787101387627E-3</v>
      </c>
      <c r="N49">
        <v>-4.4738337317840214E-3</v>
      </c>
      <c r="Q49" s="38">
        <v>0.02</v>
      </c>
      <c r="R49" s="52">
        <v>4.922394300557598E-3</v>
      </c>
      <c r="S49" s="52">
        <v>4.9030774377692016E-3</v>
      </c>
      <c r="T49" s="52">
        <v>8.3482787101387627E-3</v>
      </c>
      <c r="U49" s="52">
        <v>8.315517711204817E-3</v>
      </c>
      <c r="V49" s="52">
        <v>-4.4738337317840214E-3</v>
      </c>
      <c r="W49" s="44">
        <v>-4.4562771471245623E-3</v>
      </c>
      <c r="X49" s="6"/>
      <c r="Y49" s="41"/>
    </row>
    <row r="50" spans="1:25" x14ac:dyDescent="0.3">
      <c r="A50" s="30"/>
      <c r="H50" s="33"/>
      <c r="K50">
        <v>3</v>
      </c>
      <c r="L50">
        <v>7.3835914508363978E-3</v>
      </c>
      <c r="M50">
        <v>1.252241806519387E-2</v>
      </c>
      <c r="N50">
        <v>-6.7107505976760316E-3</v>
      </c>
      <c r="Q50" s="38">
        <v>0.03</v>
      </c>
      <c r="R50" s="52">
        <v>7.3835914508363978E-3</v>
      </c>
      <c r="S50" s="52">
        <v>7.3546161566538024E-3</v>
      </c>
      <c r="T50" s="52">
        <v>1.252241806519387E-2</v>
      </c>
      <c r="U50" s="52">
        <v>1.2473276566814335E-2</v>
      </c>
      <c r="V50" s="52">
        <v>-6.7107505976760316E-3</v>
      </c>
      <c r="W50" s="44">
        <v>-6.6844157206797346E-3</v>
      </c>
      <c r="X50" s="6"/>
      <c r="Y50" s="41"/>
    </row>
    <row r="51" spans="1:25" x14ac:dyDescent="0.3">
      <c r="A51" s="30"/>
      <c r="H51" s="33"/>
      <c r="K51">
        <v>4</v>
      </c>
      <c r="L51">
        <v>9.8447886011294727E-3</v>
      </c>
      <c r="M51">
        <v>1.6696557420263252E-2</v>
      </c>
      <c r="N51">
        <v>-8.9476674635823178E-3</v>
      </c>
      <c r="Q51" s="38">
        <v>0.04</v>
      </c>
      <c r="R51" s="52">
        <v>9.8447886011294727E-3</v>
      </c>
      <c r="S51" s="52">
        <v>9.8061548755384031E-3</v>
      </c>
      <c r="T51" s="52">
        <v>1.6696557420263252E-2</v>
      </c>
      <c r="U51" s="52">
        <v>1.6631035422409634E-2</v>
      </c>
      <c r="V51" s="52">
        <v>-8.9476674635823178E-3</v>
      </c>
      <c r="W51" s="44">
        <v>-8.9125542942349052E-3</v>
      </c>
      <c r="X51" s="6"/>
      <c r="Y51" s="41"/>
    </row>
    <row r="52" spans="1:25" x14ac:dyDescent="0.3">
      <c r="A52" s="30"/>
      <c r="B52" t="s">
        <v>161</v>
      </c>
      <c r="D52" s="16">
        <f>(D53-B53)/B53*100</f>
        <v>4.1577588555952978E-3</v>
      </c>
      <c r="E52" s="16">
        <f>(E53-B53)/B53*100</f>
        <v>8.315517711204817E-3</v>
      </c>
      <c r="F52" s="16">
        <f>(F53-B53)/B53*100</f>
        <v>1.2473276566814335E-2</v>
      </c>
      <c r="G52" s="16">
        <f>(G53-B53)/B53*100</f>
        <v>1.6631035422409634E-2</v>
      </c>
      <c r="H52" s="32">
        <f>(H53-B53)/B53*100</f>
        <v>2.0788794278019149E-2</v>
      </c>
      <c r="K52" s="21">
        <v>5</v>
      </c>
      <c r="L52">
        <v>1.2305985751408271E-2</v>
      </c>
      <c r="M52">
        <v>2.0870696775332633E-2</v>
      </c>
      <c r="N52">
        <v>-1.1184584329474329E-2</v>
      </c>
      <c r="Q52" s="39">
        <v>0.05</v>
      </c>
      <c r="R52" s="45">
        <v>1.2305985751408271E-2</v>
      </c>
      <c r="S52" s="45">
        <v>1.2257693594423006E-2</v>
      </c>
      <c r="T52" s="45">
        <v>2.0870696775332633E-2</v>
      </c>
      <c r="U52" s="45">
        <v>2.0788794278019149E-2</v>
      </c>
      <c r="V52" s="45">
        <v>-1.1184584329474329E-2</v>
      </c>
      <c r="W52" s="46">
        <v>-1.1140692867804296E-2</v>
      </c>
      <c r="X52" s="42"/>
      <c r="Y52" s="43"/>
    </row>
    <row r="53" spans="1:25" x14ac:dyDescent="0.3">
      <c r="A53" s="30"/>
      <c r="B53">
        <v>818710.3</v>
      </c>
      <c r="D53" s="21">
        <v>818744.34</v>
      </c>
      <c r="E53" s="21">
        <v>818778.38</v>
      </c>
      <c r="F53" s="21">
        <v>818812.42</v>
      </c>
      <c r="G53" s="21">
        <v>818846.46</v>
      </c>
      <c r="H53" s="31">
        <v>818880.5</v>
      </c>
    </row>
    <row r="54" spans="1:25" x14ac:dyDescent="0.3">
      <c r="A54" s="34"/>
      <c r="B54" s="22">
        <v>4741.7772567669999</v>
      </c>
      <c r="C54" s="22"/>
      <c r="D54" s="35">
        <v>4741.7772567669999</v>
      </c>
      <c r="E54" s="35">
        <v>4741.7772567669999</v>
      </c>
      <c r="F54" s="35">
        <v>4741.7772567669999</v>
      </c>
      <c r="G54" s="35">
        <v>4741.7772567669999</v>
      </c>
      <c r="H54" s="36">
        <v>4741.7772567669999</v>
      </c>
    </row>
    <row r="56" spans="1:25" x14ac:dyDescent="0.3">
      <c r="A56" s="26" t="s">
        <v>224</v>
      </c>
      <c r="B56" s="27" t="s">
        <v>160</v>
      </c>
      <c r="C56" s="27"/>
      <c r="D56" s="28">
        <f>(D57-B57)/B57*100</f>
        <v>-2.2369168658920107E-3</v>
      </c>
      <c r="E56" s="28">
        <f>(E57-B57)/B57*100</f>
        <v>-4.4738337317840214E-3</v>
      </c>
      <c r="F56" s="28">
        <f>(F57-B57)/B57*100</f>
        <v>-6.7107505976760316E-3</v>
      </c>
      <c r="G56" s="28">
        <f>(G57-B57)/B57*100</f>
        <v>-8.9476674635823178E-3</v>
      </c>
      <c r="H56" s="29">
        <f>(H57-B57)/B57*100</f>
        <v>-1.1184584329474329E-2</v>
      </c>
      <c r="L56" t="s">
        <v>161</v>
      </c>
    </row>
    <row r="57" spans="1:25" x14ac:dyDescent="0.3">
      <c r="A57" s="30" t="s">
        <v>158</v>
      </c>
      <c r="B57">
        <v>815497.45</v>
      </c>
      <c r="D57" s="21">
        <v>815479.20799999998</v>
      </c>
      <c r="E57" s="21">
        <v>815460.96600000001</v>
      </c>
      <c r="F57" s="21">
        <v>815442.72400000005</v>
      </c>
      <c r="G57" s="21">
        <v>815424.48199999996</v>
      </c>
      <c r="H57" s="31">
        <v>815406.24</v>
      </c>
      <c r="L57" t="s">
        <v>235</v>
      </c>
      <c r="M57" t="s">
        <v>236</v>
      </c>
      <c r="N57" t="s">
        <v>237</v>
      </c>
    </row>
    <row r="58" spans="1:25" x14ac:dyDescent="0.3">
      <c r="A58" s="30" t="s">
        <v>159</v>
      </c>
      <c r="B58">
        <v>4840.7044030870002</v>
      </c>
      <c r="D58" s="25">
        <v>4840.7044030870002</v>
      </c>
      <c r="E58" s="25">
        <v>4840.7044030870002</v>
      </c>
      <c r="F58" s="25">
        <v>4840.7044030870002</v>
      </c>
      <c r="G58" s="25">
        <v>4840.7044030870002</v>
      </c>
      <c r="H58" s="37">
        <v>4840.7044030870002</v>
      </c>
      <c r="K58" s="21">
        <v>1</v>
      </c>
      <c r="L58">
        <v>2.4515387188846008E-3</v>
      </c>
      <c r="M58">
        <v>4.1577588555952978E-3</v>
      </c>
      <c r="N58">
        <v>-2.2281385735693909E-3</v>
      </c>
    </row>
    <row r="59" spans="1:25" x14ac:dyDescent="0.3">
      <c r="A59" s="30"/>
      <c r="H59" s="33"/>
      <c r="K59">
        <v>2</v>
      </c>
      <c r="L59">
        <v>4.9030774377692016E-3</v>
      </c>
      <c r="M59">
        <v>8.315517711204817E-3</v>
      </c>
      <c r="N59">
        <v>-4.4562771471245623E-3</v>
      </c>
    </row>
    <row r="60" spans="1:25" x14ac:dyDescent="0.3">
      <c r="A60" s="30"/>
      <c r="H60" s="33"/>
      <c r="K60">
        <v>3</v>
      </c>
      <c r="L60">
        <v>7.3546161566538024E-3</v>
      </c>
      <c r="M60">
        <v>1.2473276566814335E-2</v>
      </c>
      <c r="N60">
        <v>-6.6844157206797346E-3</v>
      </c>
    </row>
    <row r="61" spans="1:25" x14ac:dyDescent="0.3">
      <c r="A61" s="30"/>
      <c r="B61" t="s">
        <v>161</v>
      </c>
      <c r="D61" s="16">
        <f>(D62-B62)/B62*100</f>
        <v>-2.2281385735693909E-3</v>
      </c>
      <c r="E61" s="16">
        <f>(E62-B62)/B62*100</f>
        <v>-4.4562771471245623E-3</v>
      </c>
      <c r="F61" s="16">
        <f>(F62-B62)/B62*100</f>
        <v>-6.6844157206797346E-3</v>
      </c>
      <c r="G61" s="16">
        <f>(G62-B62)/B62*100</f>
        <v>-8.9125542942349052E-3</v>
      </c>
      <c r="H61" s="32">
        <f>(H62-B62)/B62*100</f>
        <v>-1.1140692867804296E-2</v>
      </c>
      <c r="K61">
        <v>4</v>
      </c>
      <c r="L61">
        <v>9.8061548755384031E-3</v>
      </c>
      <c r="M61">
        <v>1.6631035422409634E-2</v>
      </c>
      <c r="N61">
        <v>-8.9125542942349052E-3</v>
      </c>
    </row>
    <row r="62" spans="1:25" x14ac:dyDescent="0.3">
      <c r="A62" s="30"/>
      <c r="B62">
        <v>818710.3</v>
      </c>
      <c r="D62" s="21">
        <v>818692.05799999996</v>
      </c>
      <c r="E62" s="21">
        <v>818673.81599999999</v>
      </c>
      <c r="F62" s="21">
        <v>818655.57400000002</v>
      </c>
      <c r="G62" s="21">
        <v>818637.33200000005</v>
      </c>
      <c r="H62" s="31">
        <v>818619.09</v>
      </c>
      <c r="K62" s="21">
        <v>5</v>
      </c>
      <c r="L62">
        <v>1.2257693594423006E-2</v>
      </c>
      <c r="M62">
        <v>2.0788794278019149E-2</v>
      </c>
      <c r="N62">
        <v>-1.1140692867804296E-2</v>
      </c>
    </row>
    <row r="63" spans="1:25" x14ac:dyDescent="0.3">
      <c r="A63" s="34"/>
      <c r="B63" s="22">
        <v>4741.7772567669999</v>
      </c>
      <c r="C63" s="22"/>
      <c r="D63" s="35">
        <v>4741.7772567669999</v>
      </c>
      <c r="E63" s="35">
        <v>4741.7772567669999</v>
      </c>
      <c r="F63" s="35">
        <v>4741.7772567669999</v>
      </c>
      <c r="G63" s="35">
        <v>4741.7772567669999</v>
      </c>
      <c r="H63" s="36">
        <v>4741.7772567669999</v>
      </c>
    </row>
    <row r="65" spans="1:28" x14ac:dyDescent="0.3">
      <c r="A65" s="26" t="s">
        <v>220</v>
      </c>
      <c r="B65" s="27" t="s">
        <v>160</v>
      </c>
      <c r="C65" s="27"/>
      <c r="D65" s="28">
        <f>(D66-B66)/B66*100</f>
        <v>8.9951231607281901E-3</v>
      </c>
      <c r="E65" s="28">
        <f>(E66-B66)/B66*100</f>
        <v>1.7990246321442104E-2</v>
      </c>
      <c r="F65" s="28">
        <f>(F66-B66)/B66*100</f>
        <v>2.6985369482156022E-2</v>
      </c>
      <c r="G65" s="28">
        <f>(G66-B66)/B66*100</f>
        <v>3.5980492642869934E-2</v>
      </c>
      <c r="H65" s="29">
        <f>(H66-B66)/B66*100</f>
        <v>4.4975615803583849E-2</v>
      </c>
    </row>
    <row r="66" spans="1:28" x14ac:dyDescent="0.3">
      <c r="A66" s="30" t="s">
        <v>158</v>
      </c>
      <c r="B66">
        <v>815497.45</v>
      </c>
      <c r="D66" s="21">
        <v>815570.80500000005</v>
      </c>
      <c r="E66" s="21">
        <v>815644.16000000003</v>
      </c>
      <c r="F66" s="21">
        <v>815717.51500000001</v>
      </c>
      <c r="G66" s="21">
        <v>815790.87</v>
      </c>
      <c r="H66" s="31">
        <v>815864.22499999998</v>
      </c>
    </row>
    <row r="67" spans="1:28" x14ac:dyDescent="0.3">
      <c r="A67" s="30" t="s">
        <v>159</v>
      </c>
      <c r="B67">
        <v>4840.7044030870002</v>
      </c>
      <c r="D67" s="21">
        <v>4840.7044030870002</v>
      </c>
      <c r="E67" s="21">
        <v>4840.7044030870002</v>
      </c>
      <c r="F67" s="21">
        <v>4840.7044030870002</v>
      </c>
      <c r="G67" s="21">
        <v>4840.7044030870002</v>
      </c>
      <c r="H67" s="31">
        <v>4840.7044030870002</v>
      </c>
    </row>
    <row r="68" spans="1:28" x14ac:dyDescent="0.3">
      <c r="A68" s="30"/>
      <c r="H68" s="33"/>
    </row>
    <row r="69" spans="1:28" x14ac:dyDescent="0.3">
      <c r="A69" s="30"/>
      <c r="H69" s="33"/>
    </row>
    <row r="70" spans="1:28" x14ac:dyDescent="0.3">
      <c r="A70" s="30"/>
      <c r="B70" t="s">
        <v>161</v>
      </c>
      <c r="D70" s="16">
        <f>(D71-B71)/B71*100</f>
        <v>1.1784143915131249E-2</v>
      </c>
      <c r="E70" s="16">
        <f>(E71-B71)/B71*100</f>
        <v>2.3568287830262498E-2</v>
      </c>
      <c r="F70" s="16">
        <f>(F71-B71)/B71*100</f>
        <v>3.5352431745393743E-2</v>
      </c>
      <c r="G70" s="16">
        <f>(G71-B71)/B71*100</f>
        <v>4.7173218658656341E-2</v>
      </c>
      <c r="H70" s="32">
        <f>(H71-B71)/B71*100</f>
        <v>5.8957362573787593E-2</v>
      </c>
      <c r="M70" t="s">
        <v>160</v>
      </c>
    </row>
    <row r="71" spans="1:28" x14ac:dyDescent="0.3">
      <c r="A71" s="30"/>
      <c r="B71">
        <v>818710.3</v>
      </c>
      <c r="D71" s="21">
        <v>818806.77800000005</v>
      </c>
      <c r="E71" s="21">
        <v>818903.25600000005</v>
      </c>
      <c r="F71" s="21">
        <v>818999.73400000005</v>
      </c>
      <c r="G71" s="21">
        <v>819096.51199999999</v>
      </c>
      <c r="H71" s="31">
        <v>819192.99</v>
      </c>
      <c r="M71" t="s">
        <v>227</v>
      </c>
      <c r="N71" t="s">
        <v>226</v>
      </c>
      <c r="O71" t="s">
        <v>228</v>
      </c>
      <c r="P71" t="s">
        <v>230</v>
      </c>
    </row>
    <row r="72" spans="1:28" x14ac:dyDescent="0.3">
      <c r="A72" s="34"/>
      <c r="B72" s="22">
        <v>4741.7772567669999</v>
      </c>
      <c r="C72" s="22"/>
      <c r="D72" s="35">
        <v>4741.7772567669999</v>
      </c>
      <c r="E72" s="35">
        <v>4741.7772567669999</v>
      </c>
      <c r="F72" s="35">
        <v>4741.7772567669999</v>
      </c>
      <c r="G72" s="35">
        <v>4741.7772567669999</v>
      </c>
      <c r="H72" s="36">
        <v>4741.7772567669999</v>
      </c>
      <c r="L72" s="21">
        <v>1</v>
      </c>
      <c r="M72">
        <v>8.9951231607281901E-3</v>
      </c>
      <c r="N72">
        <v>3.0889734848375157E-3</v>
      </c>
      <c r="O72">
        <v>1.5039899879532388E-3</v>
      </c>
      <c r="P72">
        <v>2.9845586886919537E-3</v>
      </c>
      <c r="T72" s="26"/>
      <c r="U72" s="65" t="s">
        <v>227</v>
      </c>
      <c r="V72" s="65"/>
      <c r="W72" s="65" t="s">
        <v>226</v>
      </c>
      <c r="X72" s="65"/>
      <c r="Y72" s="65" t="s">
        <v>228</v>
      </c>
      <c r="Z72" s="65"/>
      <c r="AA72" s="65" t="s">
        <v>230</v>
      </c>
      <c r="AB72" s="66"/>
    </row>
    <row r="73" spans="1:28" x14ac:dyDescent="0.3">
      <c r="L73">
        <v>2</v>
      </c>
      <c r="M73">
        <v>1.7990246321442104E-2</v>
      </c>
      <c r="N73">
        <v>6.1779469696750314E-3</v>
      </c>
      <c r="O73">
        <v>3.0079799759064776E-3</v>
      </c>
      <c r="P73">
        <v>5.9691173773839075E-3</v>
      </c>
      <c r="S73" s="61" t="s">
        <v>229</v>
      </c>
      <c r="T73" s="30"/>
      <c r="U73" t="s">
        <v>160</v>
      </c>
      <c r="V73" t="s">
        <v>161</v>
      </c>
      <c r="W73" t="s">
        <v>160</v>
      </c>
      <c r="X73" t="s">
        <v>161</v>
      </c>
      <c r="Y73" t="s">
        <v>160</v>
      </c>
      <c r="Z73" t="s">
        <v>161</v>
      </c>
      <c r="AA73" t="s">
        <v>160</v>
      </c>
      <c r="AB73" s="33" t="s">
        <v>161</v>
      </c>
    </row>
    <row r="74" spans="1:28" x14ac:dyDescent="0.3">
      <c r="A74" s="26" t="s">
        <v>221</v>
      </c>
      <c r="B74" s="27" t="s">
        <v>160</v>
      </c>
      <c r="C74" s="27"/>
      <c r="D74" s="28">
        <f>(D75-B75)/B75*100</f>
        <v>3.0889734848375157E-3</v>
      </c>
      <c r="E74" s="28">
        <f>(E75-B75)/B75*100</f>
        <v>6.1779469696750314E-3</v>
      </c>
      <c r="F74" s="28">
        <f>(F75-B75)/B75*100</f>
        <v>9.2669204545125471E-3</v>
      </c>
      <c r="G74" s="28">
        <f>(G75-B75)/B75*100</f>
        <v>1.2355893939350063E-2</v>
      </c>
      <c r="H74" s="28">
        <f>(H75-B75)/B75*100</f>
        <v>-1.5474027539865412E-2</v>
      </c>
      <c r="I74" s="29">
        <f>(I75-B75)/B75*100</f>
        <v>1.8533840909010821E-2</v>
      </c>
      <c r="L74">
        <v>3</v>
      </c>
      <c r="M74">
        <v>2.6985369482156022E-2</v>
      </c>
      <c r="N74">
        <v>9.2669204545125471E-3</v>
      </c>
      <c r="O74">
        <v>4.5119699638597162E-3</v>
      </c>
      <c r="P74">
        <v>8.9536760660615874E-3</v>
      </c>
      <c r="S74" s="61"/>
      <c r="T74" s="38">
        <v>0.01</v>
      </c>
      <c r="U74" s="6">
        <v>8.9951231607281901E-3</v>
      </c>
      <c r="V74" s="6">
        <v>1.1784143915131249E-2</v>
      </c>
      <c r="W74" s="6">
        <v>3.0889734848375157E-3</v>
      </c>
      <c r="X74" s="6">
        <v>3.8332240354023044E-3</v>
      </c>
      <c r="Y74" s="6">
        <v>1.5039899879532388E-3</v>
      </c>
      <c r="Z74" s="6">
        <v>1.9869055024704769E-3</v>
      </c>
      <c r="AA74" s="6">
        <v>2.9845586886919537E-3</v>
      </c>
      <c r="AB74" s="41">
        <v>3.0929133296512036E-3</v>
      </c>
    </row>
    <row r="75" spans="1:28" x14ac:dyDescent="0.3">
      <c r="A75" s="30" t="s">
        <v>158</v>
      </c>
      <c r="B75">
        <v>815497.45</v>
      </c>
      <c r="D75" s="21">
        <v>815522.64049999998</v>
      </c>
      <c r="E75" s="21">
        <v>815547.83100000001</v>
      </c>
      <c r="F75" s="21">
        <v>815573.02150000003</v>
      </c>
      <c r="G75" s="21">
        <v>815598.21200000006</v>
      </c>
      <c r="H75" s="21">
        <v>815371.25970000005</v>
      </c>
      <c r="I75" s="31">
        <v>815648.59299999999</v>
      </c>
      <c r="L75">
        <v>4</v>
      </c>
      <c r="M75">
        <v>3.5980492642869934E-2</v>
      </c>
      <c r="N75">
        <v>1.2355893939350063E-2</v>
      </c>
      <c r="O75">
        <v>6.0159599518129553E-3</v>
      </c>
      <c r="P75">
        <v>1.193823475475354E-2</v>
      </c>
      <c r="S75" s="61"/>
      <c r="T75" s="38">
        <v>0.02</v>
      </c>
      <c r="U75" s="6">
        <v>1.7990246321442104E-2</v>
      </c>
      <c r="V75" s="6">
        <v>2.3568287830262498E-2</v>
      </c>
      <c r="W75" s="6">
        <v>6.1779469696750314E-3</v>
      </c>
      <c r="X75" s="6">
        <v>7.3000180894200357E-3</v>
      </c>
      <c r="Y75" s="6">
        <v>3.0079799759064776E-3</v>
      </c>
      <c r="Z75" s="6">
        <v>3.0027715542256216E-3</v>
      </c>
      <c r="AA75" s="6">
        <v>5.9691173773839075E-3</v>
      </c>
      <c r="AB75" s="41">
        <v>6.1858266593166258E-3</v>
      </c>
    </row>
    <row r="76" spans="1:28" x14ac:dyDescent="0.3">
      <c r="A76" s="30" t="s">
        <v>159</v>
      </c>
      <c r="B76">
        <v>4840.7044030870002</v>
      </c>
      <c r="D76" s="21">
        <v>4840.7044030870002</v>
      </c>
      <c r="E76" s="21">
        <v>4840.7044030870002</v>
      </c>
      <c r="F76" s="21">
        <v>4840.7044030870002</v>
      </c>
      <c r="G76" s="21">
        <v>4840.7044030870002</v>
      </c>
      <c r="H76" s="24">
        <v>4839.7090925279999</v>
      </c>
      <c r="I76" s="31">
        <v>4840.7044030870002</v>
      </c>
      <c r="L76" s="21">
        <v>5</v>
      </c>
      <c r="M76">
        <v>4.4975615803583849E-2</v>
      </c>
      <c r="N76">
        <v>1.8533840909010821E-2</v>
      </c>
      <c r="O76">
        <v>7.5199499397661943E-3</v>
      </c>
      <c r="P76">
        <v>1.4922793443445496E-2</v>
      </c>
      <c r="S76" s="61"/>
      <c r="T76" s="38">
        <v>0.03</v>
      </c>
      <c r="U76" s="6">
        <v>2.6985369482156022E-2</v>
      </c>
      <c r="V76" s="6">
        <v>3.5352431745393743E-2</v>
      </c>
      <c r="W76" s="6">
        <v>9.2669204545125471E-3</v>
      </c>
      <c r="X76" s="6">
        <v>1.0766812143437767E-2</v>
      </c>
      <c r="Y76" s="6">
        <v>4.5119699638597162E-3</v>
      </c>
      <c r="Z76" s="6">
        <v>3.9918882173478679E-3</v>
      </c>
      <c r="AA76" s="6">
        <v>8.9536760660615874E-3</v>
      </c>
      <c r="AB76" s="41">
        <v>9.2787399889678289E-3</v>
      </c>
    </row>
    <row r="77" spans="1:28" x14ac:dyDescent="0.3">
      <c r="A77" s="30"/>
      <c r="I77" s="33"/>
      <c r="S77" s="61"/>
      <c r="T77" s="38">
        <v>0.04</v>
      </c>
      <c r="U77" s="6">
        <v>3.5980492642869934E-2</v>
      </c>
      <c r="V77" s="6">
        <v>4.7173218658656341E-2</v>
      </c>
      <c r="W77" s="6">
        <v>1.2355893939350063E-2</v>
      </c>
      <c r="X77" s="6">
        <v>1.4233606197455501E-2</v>
      </c>
      <c r="Y77" s="6">
        <v>6.0159599518129553E-3</v>
      </c>
      <c r="Z77" s="6">
        <v>2.269423018124737E-3</v>
      </c>
      <c r="AA77" s="6">
        <v>1.193823475475354E-2</v>
      </c>
      <c r="AB77" s="41">
        <v>1.2371653318633252E-2</v>
      </c>
    </row>
    <row r="78" spans="1:28" x14ac:dyDescent="0.3">
      <c r="A78" s="30"/>
      <c r="I78" s="33"/>
      <c r="S78" s="61"/>
      <c r="T78" s="39">
        <v>0.05</v>
      </c>
      <c r="U78" s="42">
        <v>4.4975615803583849E-2</v>
      </c>
      <c r="V78" s="42">
        <v>5.8957362573787593E-2</v>
      </c>
      <c r="W78" s="42">
        <v>1.8533840909010821E-2</v>
      </c>
      <c r="X78" s="42">
        <v>1.8059868063221806E-2</v>
      </c>
      <c r="Y78" s="42">
        <v>7.5199499397661943E-3</v>
      </c>
      <c r="Z78" s="42">
        <v>4.2017304533614472E-3</v>
      </c>
      <c r="AA78" s="42">
        <v>1.4922793443445496E-2</v>
      </c>
      <c r="AB78" s="43">
        <v>1.5464566648298674E-2</v>
      </c>
    </row>
    <row r="79" spans="1:28" x14ac:dyDescent="0.3">
      <c r="A79" s="30"/>
      <c r="B79" t="s">
        <v>161</v>
      </c>
      <c r="D79" s="16">
        <f>(D80-B80)/B80*100</f>
        <v>3.8332240354023044E-3</v>
      </c>
      <c r="E79" s="16">
        <f>(E80-B80)/B80*100</f>
        <v>7.3000180894200357E-3</v>
      </c>
      <c r="F79" s="16">
        <f>(F80-B80)/B80*100</f>
        <v>1.0766812143437767E-2</v>
      </c>
      <c r="G79" s="16">
        <f>(G80-B80)/B80*100</f>
        <v>1.4233606197455501E-2</v>
      </c>
      <c r="H79" s="16">
        <f>(H80-B80)/B80*100</f>
        <v>-9.4435113372899459E-3</v>
      </c>
      <c r="I79" s="32">
        <f>(I80-B80)/B80*100</f>
        <v>1.8059868063221806E-2</v>
      </c>
      <c r="U79" s="23"/>
      <c r="V79" s="23"/>
    </row>
    <row r="80" spans="1:28" x14ac:dyDescent="0.3">
      <c r="A80" s="30"/>
      <c r="B80">
        <v>818710.3</v>
      </c>
      <c r="D80" s="21">
        <v>818741.68299999996</v>
      </c>
      <c r="E80" s="21">
        <v>818770.06599999999</v>
      </c>
      <c r="F80" s="21">
        <v>818798.44900000002</v>
      </c>
      <c r="G80" s="21">
        <v>818826.83200000005</v>
      </c>
      <c r="H80" s="21">
        <v>818632.98499999999</v>
      </c>
      <c r="I80" s="31">
        <v>818858.15800000005</v>
      </c>
      <c r="M80" t="s">
        <v>161</v>
      </c>
      <c r="T80" s="20"/>
    </row>
    <row r="81" spans="1:20" x14ac:dyDescent="0.3">
      <c r="A81" s="34"/>
      <c r="B81" s="22">
        <v>4741.7772567669999</v>
      </c>
      <c r="C81" s="22"/>
      <c r="D81" s="35">
        <v>4741.7772567669999</v>
      </c>
      <c r="E81" s="35">
        <v>4741.7772567669999</v>
      </c>
      <c r="F81" s="35">
        <v>4741.7772567669999</v>
      </c>
      <c r="G81" s="35">
        <v>4741.7772567669999</v>
      </c>
      <c r="H81" s="50">
        <v>4741.899710183</v>
      </c>
      <c r="I81" s="36">
        <v>4741.899710183</v>
      </c>
      <c r="M81" t="s">
        <v>227</v>
      </c>
      <c r="N81" t="s">
        <v>226</v>
      </c>
      <c r="O81" t="s">
        <v>228</v>
      </c>
      <c r="P81" t="s">
        <v>230</v>
      </c>
      <c r="T81" s="20"/>
    </row>
    <row r="82" spans="1:20" x14ac:dyDescent="0.3">
      <c r="L82" s="21">
        <v>1</v>
      </c>
      <c r="M82">
        <v>1.1784143915131249E-2</v>
      </c>
      <c r="N82">
        <v>3.8332240354023044E-3</v>
      </c>
      <c r="O82">
        <v>1.9869055024704769E-3</v>
      </c>
      <c r="P82">
        <v>3.0929133296512036E-3</v>
      </c>
      <c r="T82" s="20"/>
    </row>
    <row r="83" spans="1:20" x14ac:dyDescent="0.3">
      <c r="A83" s="26" t="s">
        <v>222</v>
      </c>
      <c r="B83" s="27" t="s">
        <v>160</v>
      </c>
      <c r="C83" s="27"/>
      <c r="D83" s="28">
        <f>(D84-B84)/B84*100</f>
        <v>1.5039899879532388E-3</v>
      </c>
      <c r="E83" s="28">
        <f>(E84-B84)/B84*100</f>
        <v>3.0079799759064776E-3</v>
      </c>
      <c r="F83" s="28">
        <f>(F84-B84)/B84*100</f>
        <v>4.5119699638597162E-3</v>
      </c>
      <c r="G83" s="28">
        <f>(G84-B84)/B84*100</f>
        <v>6.0159599518129553E-3</v>
      </c>
      <c r="H83" s="29">
        <f>(H84-B84)/B84*100</f>
        <v>7.5199499397661943E-3</v>
      </c>
      <c r="L83">
        <v>2</v>
      </c>
      <c r="M83">
        <v>2.3568287830262498E-2</v>
      </c>
      <c r="N83">
        <v>7.3000180894200357E-3</v>
      </c>
      <c r="O83">
        <v>3.0027715542256216E-3</v>
      </c>
      <c r="P83">
        <v>6.1858266593166258E-3</v>
      </c>
      <c r="T83" s="20"/>
    </row>
    <row r="84" spans="1:20" x14ac:dyDescent="0.3">
      <c r="A84" s="30" t="s">
        <v>158</v>
      </c>
      <c r="B84">
        <v>815497.45</v>
      </c>
      <c r="D84" s="21">
        <v>815509.71499999997</v>
      </c>
      <c r="E84" s="21">
        <v>815521.98</v>
      </c>
      <c r="F84" s="21">
        <v>815534.245</v>
      </c>
      <c r="G84" s="21">
        <v>815546.51</v>
      </c>
      <c r="H84" s="31">
        <v>815558.77500000002</v>
      </c>
      <c r="L84">
        <v>3</v>
      </c>
      <c r="M84">
        <v>3.5352431745393743E-2</v>
      </c>
      <c r="N84">
        <v>1.0766812143437767E-2</v>
      </c>
      <c r="O84">
        <v>3.9918882173478679E-3</v>
      </c>
      <c r="P84">
        <v>9.2787399889678289E-3</v>
      </c>
      <c r="T84" s="20"/>
    </row>
    <row r="85" spans="1:20" x14ac:dyDescent="0.3">
      <c r="A85" s="30" t="s">
        <v>159</v>
      </c>
      <c r="B85">
        <v>4840.7044030870002</v>
      </c>
      <c r="D85" s="21">
        <v>4840.7044030870002</v>
      </c>
      <c r="E85" s="21">
        <v>4840.7044030870002</v>
      </c>
      <c r="F85" s="21">
        <v>4840.7044030870002</v>
      </c>
      <c r="G85" s="21">
        <v>4840.7044030870002</v>
      </c>
      <c r="H85" s="31">
        <v>4840.7044030870002</v>
      </c>
      <c r="L85">
        <v>4</v>
      </c>
      <c r="M85">
        <v>4.7173218658656341E-2</v>
      </c>
      <c r="N85">
        <v>1.4233606197455501E-2</v>
      </c>
      <c r="O85">
        <v>2.269423018124737E-3</v>
      </c>
      <c r="P85">
        <v>1.2371653318633252E-2</v>
      </c>
    </row>
    <row r="86" spans="1:20" x14ac:dyDescent="0.3">
      <c r="A86" s="30"/>
      <c r="H86" s="33"/>
      <c r="L86" s="21">
        <v>5</v>
      </c>
      <c r="M86">
        <v>5.8957362573787593E-2</v>
      </c>
      <c r="N86">
        <v>1.8059868063221806E-2</v>
      </c>
      <c r="O86">
        <v>4.2017304533614472E-3</v>
      </c>
      <c r="P86">
        <v>1.5464566648298674E-2</v>
      </c>
    </row>
    <row r="87" spans="1:20" x14ac:dyDescent="0.3">
      <c r="A87" s="30"/>
      <c r="H87" s="33"/>
    </row>
    <row r="88" spans="1:20" x14ac:dyDescent="0.3">
      <c r="A88" s="30"/>
      <c r="B88" t="s">
        <v>161</v>
      </c>
      <c r="D88" s="16">
        <f>(D89-B89)/B89*100</f>
        <v>1.9869055024704769E-3</v>
      </c>
      <c r="E88" s="16">
        <f>(E89-B89)/B89*100</f>
        <v>3.0027715542256216E-3</v>
      </c>
      <c r="F88" s="16">
        <f>(F89-B89)/B89*100</f>
        <v>3.9918882173478679E-3</v>
      </c>
      <c r="G88" s="16">
        <f>(G89-B89)/B89*100</f>
        <v>2.269423018124737E-3</v>
      </c>
      <c r="H88" s="32">
        <f>(H89-B89)/B89*100</f>
        <v>4.2017304533614472E-3</v>
      </c>
    </row>
    <row r="89" spans="1:20" x14ac:dyDescent="0.3">
      <c r="A89" s="30"/>
      <c r="B89">
        <v>818710.3</v>
      </c>
      <c r="D89" s="21">
        <v>818726.56700000004</v>
      </c>
      <c r="E89" s="21">
        <v>818734.88399999996</v>
      </c>
      <c r="F89" s="21">
        <v>818742.98199999996</v>
      </c>
      <c r="G89" s="21">
        <v>818728.88</v>
      </c>
      <c r="H89" s="31">
        <v>818744.7</v>
      </c>
    </row>
    <row r="90" spans="1:20" x14ac:dyDescent="0.3">
      <c r="A90" s="34"/>
      <c r="B90" s="22">
        <v>4741.7772567669999</v>
      </c>
      <c r="C90" s="22"/>
      <c r="D90" s="35">
        <v>4741.7772567669999</v>
      </c>
      <c r="E90" s="35">
        <v>4741.7772567669999</v>
      </c>
      <c r="F90" s="35">
        <v>4741.7772567669999</v>
      </c>
      <c r="G90" s="50">
        <v>4741.971872393</v>
      </c>
      <c r="H90" s="51">
        <v>4741.971872393</v>
      </c>
    </row>
    <row r="92" spans="1:20" x14ac:dyDescent="0.3">
      <c r="A92" s="26" t="s">
        <v>223</v>
      </c>
      <c r="B92" s="27" t="s">
        <v>160</v>
      </c>
      <c r="C92" s="27"/>
      <c r="D92" s="28">
        <f>(D93-B93)/B93*100</f>
        <v>2.9845586886919537E-3</v>
      </c>
      <c r="E92" s="28">
        <f>(E93-B93)/B93*100</f>
        <v>5.9691173773839075E-3</v>
      </c>
      <c r="F92" s="28">
        <f>(F93-B93)/B93*100</f>
        <v>8.9536760660615874E-3</v>
      </c>
      <c r="G92" s="28">
        <f>(G93-B93)/B93*100</f>
        <v>1.193823475475354E-2</v>
      </c>
      <c r="H92" s="29">
        <f>(H93-B93)/B93*100</f>
        <v>1.4922793443445496E-2</v>
      </c>
    </row>
    <row r="93" spans="1:20" x14ac:dyDescent="0.3">
      <c r="A93" s="30" t="s">
        <v>158</v>
      </c>
      <c r="B93">
        <v>815497.45</v>
      </c>
      <c r="D93" s="21">
        <v>815521.78899999999</v>
      </c>
      <c r="E93" s="21">
        <v>815546.12800000003</v>
      </c>
      <c r="F93" s="21">
        <v>815570.46699999995</v>
      </c>
      <c r="G93" s="21">
        <v>815594.80599999998</v>
      </c>
      <c r="H93" s="31">
        <v>815619.14500000002</v>
      </c>
    </row>
    <row r="94" spans="1:20" x14ac:dyDescent="0.3">
      <c r="A94" s="30" t="s">
        <v>159</v>
      </c>
      <c r="B94">
        <v>4840.7044030870002</v>
      </c>
      <c r="D94" s="21">
        <v>4840.7044030870002</v>
      </c>
      <c r="E94" s="21">
        <v>4840.7044030870002</v>
      </c>
      <c r="F94" s="21">
        <v>4840.7044030870002</v>
      </c>
      <c r="G94" s="21">
        <v>4840.7044030870002</v>
      </c>
      <c r="H94" s="31">
        <v>4840.7044030870002</v>
      </c>
    </row>
    <row r="95" spans="1:20" x14ac:dyDescent="0.3">
      <c r="A95" s="30"/>
      <c r="H95" s="33"/>
    </row>
    <row r="96" spans="1:20" x14ac:dyDescent="0.3">
      <c r="A96" s="30"/>
      <c r="H96" s="33"/>
    </row>
    <row r="97" spans="1:8" x14ac:dyDescent="0.3">
      <c r="A97" s="30"/>
      <c r="B97" t="s">
        <v>161</v>
      </c>
      <c r="D97" s="16">
        <f>(D98-B98)/B98*100</f>
        <v>3.0929133296512036E-3</v>
      </c>
      <c r="E97" s="16">
        <f>(E98-B98)/B98*100</f>
        <v>6.1858266593166258E-3</v>
      </c>
      <c r="F97" s="16">
        <f>(F98-B98)/B98*100</f>
        <v>9.2787399889678289E-3</v>
      </c>
      <c r="G97" s="16">
        <f>(G98-B98)/B98*100</f>
        <v>1.2371653318633252E-2</v>
      </c>
      <c r="H97" s="32">
        <f>(H98-B98)/B98*100</f>
        <v>1.5464566648298674E-2</v>
      </c>
    </row>
    <row r="98" spans="1:8" x14ac:dyDescent="0.3">
      <c r="A98" s="30"/>
      <c r="B98">
        <v>818710.3</v>
      </c>
      <c r="D98" s="21">
        <v>818735.62199999997</v>
      </c>
      <c r="E98" s="21">
        <v>818760.94400000002</v>
      </c>
      <c r="F98" s="21">
        <v>818786.26599999995</v>
      </c>
      <c r="G98" s="21">
        <v>818811.58799999999</v>
      </c>
      <c r="H98" s="31">
        <v>818836.91</v>
      </c>
    </row>
    <row r="99" spans="1:8" x14ac:dyDescent="0.3">
      <c r="A99" s="34"/>
      <c r="B99" s="22">
        <v>4741.7772567669999</v>
      </c>
      <c r="C99" s="22"/>
      <c r="D99" s="35">
        <v>4741.7772567669999</v>
      </c>
      <c r="E99" s="35">
        <v>4741.7772567669999</v>
      </c>
      <c r="F99" s="35">
        <v>4741.7772567669999</v>
      </c>
      <c r="G99" s="35">
        <v>4741.7772567669999</v>
      </c>
      <c r="H99" s="36">
        <v>4741.7772567669999</v>
      </c>
    </row>
  </sheetData>
  <mergeCells count="13">
    <mergeCell ref="AA72:AB72"/>
    <mergeCell ref="S73:S78"/>
    <mergeCell ref="R46:S46"/>
    <mergeCell ref="T46:U46"/>
    <mergeCell ref="V46:W46"/>
    <mergeCell ref="X46:Y46"/>
    <mergeCell ref="S12:T12"/>
    <mergeCell ref="U12:V12"/>
    <mergeCell ref="W12:X12"/>
    <mergeCell ref="Y12:Z12"/>
    <mergeCell ref="U72:V72"/>
    <mergeCell ref="W72:X72"/>
    <mergeCell ref="Y72:Z7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7162E-F107-4BD6-8F67-7866D86DD335}">
  <dimension ref="G11:N29"/>
  <sheetViews>
    <sheetView topLeftCell="D1" workbookViewId="0">
      <selection activeCell="S23" sqref="S23"/>
    </sheetView>
  </sheetViews>
  <sheetFormatPr defaultRowHeight="14.4" x14ac:dyDescent="0.3"/>
  <sheetData>
    <row r="11" spans="7:14" x14ac:dyDescent="0.3">
      <c r="G11" t="s">
        <v>216</v>
      </c>
      <c r="H11" t="s">
        <v>160</v>
      </c>
      <c r="J11" s="16">
        <f>(J12-H12)/H12*100</f>
        <v>7.9697367539291658E-2</v>
      </c>
      <c r="K11" s="16">
        <f>(K12-H12)/H12*100</f>
        <v>0.15939473507858332</v>
      </c>
      <c r="L11" s="16">
        <f>(L12-H12)/H12*100</f>
        <v>0.23909210261786074</v>
      </c>
      <c r="M11" s="16">
        <f>(M12-H12)/H12*100</f>
        <v>0.31878947015715237</v>
      </c>
      <c r="N11" s="16">
        <f>(N12-H12)/H12*100</f>
        <v>0.39848683769642973</v>
      </c>
    </row>
    <row r="12" spans="7:14" x14ac:dyDescent="0.3">
      <c r="G12" t="s">
        <v>158</v>
      </c>
      <c r="H12" s="21">
        <v>815497.45</v>
      </c>
      <c r="J12" s="21">
        <v>816147.38</v>
      </c>
      <c r="K12" s="21">
        <v>816797.31</v>
      </c>
      <c r="L12" s="21">
        <v>817447.24</v>
      </c>
      <c r="M12" s="21">
        <v>818097.17</v>
      </c>
      <c r="N12" s="21">
        <v>818747.1</v>
      </c>
    </row>
    <row r="13" spans="7:14" x14ac:dyDescent="0.3">
      <c r="H13" s="21"/>
      <c r="J13" s="15">
        <f>(J14-H14)/H14*100</f>
        <v>0</v>
      </c>
      <c r="K13" s="15">
        <f>(K14-H14)/H14*100</f>
        <v>0</v>
      </c>
      <c r="L13" s="15">
        <f>(L14-H14)/H14*100</f>
        <v>0</v>
      </c>
      <c r="M13" s="15">
        <f>(M14-H14)/H14*100</f>
        <v>0</v>
      </c>
      <c r="N13" s="15">
        <f>(N14-H14)/H14*100</f>
        <v>0</v>
      </c>
    </row>
    <row r="14" spans="7:14" x14ac:dyDescent="0.3">
      <c r="G14" t="s">
        <v>159</v>
      </c>
      <c r="H14" s="21">
        <v>4840.7044030870002</v>
      </c>
      <c r="J14" s="21">
        <v>4840.7044030870002</v>
      </c>
      <c r="K14" s="21">
        <v>4840.7044030870002</v>
      </c>
      <c r="L14" s="21">
        <v>4840.7044030870002</v>
      </c>
      <c r="M14" s="21">
        <v>4840.7044030870002</v>
      </c>
      <c r="N14" s="21">
        <v>4840.7044030870002</v>
      </c>
    </row>
    <row r="17" spans="7:14" x14ac:dyDescent="0.3">
      <c r="H17" t="s">
        <v>161</v>
      </c>
      <c r="J17" s="16">
        <f>(J18-H18)/H18*100</f>
        <v>7.680339576539813E-2</v>
      </c>
      <c r="K17" s="16">
        <f>(K18-H18)/H18*100</f>
        <v>0.15939636048641173</v>
      </c>
      <c r="L17" s="16">
        <f>(L18-H18)/H18*100</f>
        <v>0.2294452591369536</v>
      </c>
      <c r="M17" s="16">
        <f>(M18-H18)/H18*100</f>
        <v>0.30361037031499327</v>
      </c>
      <c r="N17" s="16">
        <f>(N18-H18)/H18*100</f>
        <v>0.38401697882703334</v>
      </c>
    </row>
    <row r="18" spans="7:14" x14ac:dyDescent="0.3">
      <c r="G18" t="s">
        <v>158</v>
      </c>
      <c r="H18" s="21">
        <v>818713.8</v>
      </c>
      <c r="J18" s="21">
        <v>819342.6</v>
      </c>
      <c r="K18" s="21">
        <v>820018.8</v>
      </c>
      <c r="L18" s="21">
        <v>820592.3</v>
      </c>
      <c r="M18" s="21">
        <v>821199.5</v>
      </c>
      <c r="N18" s="21">
        <v>821857.8</v>
      </c>
    </row>
    <row r="19" spans="7:14" x14ac:dyDescent="0.3">
      <c r="H19" s="21"/>
      <c r="J19" s="15">
        <f>(J20-H20)/H20*100</f>
        <v>6.4035994297774804E-3</v>
      </c>
      <c r="K19" s="15">
        <f>(K20-H20)/H20*100</f>
        <v>5.6829951592582721E-4</v>
      </c>
      <c r="L19" s="15">
        <f>(L20-H20)/H20*100</f>
        <v>1.4526360319382016E-2</v>
      </c>
      <c r="M19" s="15">
        <f>(M20-H20)/H20*100</f>
        <v>1.9230394864996777E-2</v>
      </c>
      <c r="N19" s="15">
        <f>(N20-H20)/H20*100</f>
        <v>1.8275318843444292E-2</v>
      </c>
    </row>
    <row r="20" spans="7:14" x14ac:dyDescent="0.3">
      <c r="G20" t="s">
        <v>159</v>
      </c>
      <c r="H20" s="21">
        <v>4757.7240947110004</v>
      </c>
      <c r="I20" t="s">
        <v>238</v>
      </c>
      <c r="J20" s="21">
        <v>4758.0287603039997</v>
      </c>
      <c r="K20" s="21">
        <v>4757.7511328339997</v>
      </c>
      <c r="L20" s="21">
        <v>4758.4152188560001</v>
      </c>
      <c r="M20" s="21">
        <v>4758.6390238410004</v>
      </c>
      <c r="N20" s="21">
        <v>4758.5935839590002</v>
      </c>
    </row>
    <row r="25" spans="7:14" x14ac:dyDescent="0.3">
      <c r="J25" s="20">
        <v>0.01</v>
      </c>
      <c r="K25" s="20">
        <v>0.02</v>
      </c>
      <c r="L25" s="20">
        <v>0.03</v>
      </c>
      <c r="M25" s="20">
        <v>0.04</v>
      </c>
      <c r="N25" s="20">
        <v>0.05</v>
      </c>
    </row>
    <row r="26" spans="7:14" x14ac:dyDescent="0.3">
      <c r="H26" s="61" t="s">
        <v>160</v>
      </c>
      <c r="I26" t="s">
        <v>240</v>
      </c>
      <c r="J26" s="6">
        <v>7.9697367539291658E-2</v>
      </c>
      <c r="K26" s="6">
        <v>0.15939473507858332</v>
      </c>
      <c r="L26" s="6">
        <v>0.23909210261786074</v>
      </c>
      <c r="M26" s="6">
        <v>0.31878947015715237</v>
      </c>
      <c r="N26" s="6">
        <v>0.39848683769642973</v>
      </c>
    </row>
    <row r="27" spans="7:14" x14ac:dyDescent="0.3">
      <c r="H27" s="61"/>
      <c r="I27" t="s">
        <v>239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</row>
    <row r="28" spans="7:14" x14ac:dyDescent="0.3">
      <c r="H28" s="61" t="s">
        <v>161</v>
      </c>
      <c r="I28" t="s">
        <v>158</v>
      </c>
      <c r="J28" s="6">
        <v>7.680339576539813E-2</v>
      </c>
      <c r="K28" s="6">
        <v>0.15939636048641173</v>
      </c>
      <c r="L28" s="6">
        <v>0.2294452591369536</v>
      </c>
      <c r="M28" s="6">
        <v>0.30361037031499327</v>
      </c>
      <c r="N28" s="6">
        <v>0.38401697882703334</v>
      </c>
    </row>
    <row r="29" spans="7:14" x14ac:dyDescent="0.3">
      <c r="H29" s="61"/>
      <c r="I29" t="s">
        <v>239</v>
      </c>
      <c r="J29" s="6">
        <v>6.4035994297774804E-3</v>
      </c>
      <c r="K29" s="6">
        <v>5.6829951592582721E-4</v>
      </c>
      <c r="L29" s="6">
        <v>1.4526360319382016E-2</v>
      </c>
      <c r="M29" s="6">
        <v>1.9230394864996777E-2</v>
      </c>
      <c r="N29" s="6">
        <v>1.8275318843444292E-2</v>
      </c>
    </row>
  </sheetData>
  <mergeCells count="2">
    <mergeCell ref="H26:H27"/>
    <mergeCell ref="H28:H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Cost</vt:lpstr>
      <vt:lpstr>Time</vt:lpstr>
      <vt:lpstr>Constraints</vt:lpstr>
      <vt:lpstr>sensitivity</vt:lpstr>
      <vt:lpstr>Sheet3</vt:lpstr>
      <vt:lpstr>Sheet1</vt:lpstr>
      <vt:lpstr>Sheet2</vt:lpstr>
      <vt:lpstr>mixed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suhail</dc:creator>
  <cp:lastModifiedBy>fatima suhail</cp:lastModifiedBy>
  <dcterms:created xsi:type="dcterms:W3CDTF">2025-09-15T05:41:46Z</dcterms:created>
  <dcterms:modified xsi:type="dcterms:W3CDTF">2026-06-08T06:50:40Z</dcterms:modified>
</cp:coreProperties>
</file>